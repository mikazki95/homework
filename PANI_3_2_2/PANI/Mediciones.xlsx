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y Morales\Desktop\PANI_0811 FINAL\PANI\"/>
    </mc:Choice>
  </mc:AlternateContent>
  <bookViews>
    <workbookView xWindow="0" yWindow="0" windowWidth="20490" windowHeight="7815" activeTab="1"/>
  </bookViews>
  <sheets>
    <sheet name="Hoja1" sheetId="1" r:id="rId1"/>
    <sheet name="Hoja2" sheetId="9" r:id="rId2"/>
    <sheet name="Hoja4" sheetId="4" r:id="rId3"/>
    <sheet name="Hoja8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3" i="9" l="1"/>
  <c r="BA4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40" i="9"/>
  <c r="BA41" i="9"/>
  <c r="BA42" i="9"/>
  <c r="BA43" i="9"/>
  <c r="BA44" i="9"/>
  <c r="BA45" i="9"/>
  <c r="BA46" i="9"/>
  <c r="BA47" i="9"/>
  <c r="BA48" i="9"/>
  <c r="BA49" i="9"/>
  <c r="BA50" i="9"/>
  <c r="BA51" i="9"/>
  <c r="BA52" i="9"/>
  <c r="BA53" i="9"/>
  <c r="BA54" i="9"/>
  <c r="BA55" i="9"/>
  <c r="BA56" i="9"/>
  <c r="BA57" i="9"/>
  <c r="BA58" i="9"/>
  <c r="BA59" i="9"/>
  <c r="BA60" i="9"/>
  <c r="BA61" i="9"/>
  <c r="BA62" i="9"/>
  <c r="BA63" i="9"/>
  <c r="BA64" i="9"/>
  <c r="BA65" i="9"/>
  <c r="BA66" i="9"/>
  <c r="BA67" i="9"/>
  <c r="BA68" i="9"/>
  <c r="BA69" i="9"/>
  <c r="BA70" i="9"/>
  <c r="BA71" i="9"/>
  <c r="BA72" i="9"/>
  <c r="BA73" i="9"/>
  <c r="BA74" i="9"/>
  <c r="BA75" i="9"/>
  <c r="BA76" i="9"/>
  <c r="BA77" i="9"/>
  <c r="BA78" i="9"/>
  <c r="BA79" i="9"/>
  <c r="BA80" i="9"/>
  <c r="BA81" i="9"/>
  <c r="BA82" i="9"/>
  <c r="BA83" i="9"/>
  <c r="BA84" i="9"/>
  <c r="BA85" i="9"/>
  <c r="BA86" i="9"/>
  <c r="BA87" i="9"/>
  <c r="BA88" i="9"/>
  <c r="BA89" i="9"/>
  <c r="BA90" i="9"/>
  <c r="BA91" i="9"/>
  <c r="BA92" i="9"/>
  <c r="BA93" i="9"/>
  <c r="BA94" i="9"/>
  <c r="BA95" i="9"/>
  <c r="BA96" i="9"/>
  <c r="BA97" i="9"/>
  <c r="BA98" i="9"/>
  <c r="BA99" i="9"/>
  <c r="BA100" i="9"/>
  <c r="BA101" i="9"/>
  <c r="BA102" i="9"/>
  <c r="BA103" i="9"/>
  <c r="BA104" i="9"/>
  <c r="BA105" i="9"/>
  <c r="BA106" i="9"/>
  <c r="BA107" i="9"/>
  <c r="BA108" i="9"/>
  <c r="BA109" i="9"/>
  <c r="BA110" i="9"/>
  <c r="BA111" i="9"/>
  <c r="BA112" i="9"/>
  <c r="BA113" i="9"/>
  <c r="BA114" i="9"/>
  <c r="BA115" i="9"/>
  <c r="BA116" i="9"/>
  <c r="BA117" i="9"/>
  <c r="BA118" i="9"/>
  <c r="BA119" i="9"/>
  <c r="BA120" i="9"/>
  <c r="BA121" i="9"/>
  <c r="BA122" i="9"/>
  <c r="BA123" i="9"/>
  <c r="BA124" i="9"/>
  <c r="BA125" i="9"/>
  <c r="BA126" i="9"/>
  <c r="BA127" i="9"/>
  <c r="BA128" i="9"/>
  <c r="BA129" i="9"/>
  <c r="BA130" i="9"/>
  <c r="BA131" i="9"/>
  <c r="BA132" i="9"/>
  <c r="BA133" i="9"/>
  <c r="BA134" i="9"/>
  <c r="BA135" i="9"/>
  <c r="BA136" i="9"/>
  <c r="BA137" i="9"/>
  <c r="BA138" i="9"/>
  <c r="BA139" i="9"/>
  <c r="BA140" i="9"/>
  <c r="BA141" i="9"/>
  <c r="BA142" i="9"/>
  <c r="BA143" i="9"/>
  <c r="BA144" i="9"/>
  <c r="BA145" i="9"/>
  <c r="BA146" i="9"/>
  <c r="BA147" i="9"/>
  <c r="BA148" i="9"/>
  <c r="BA149" i="9"/>
  <c r="BA150" i="9"/>
  <c r="BA151" i="9"/>
  <c r="BA152" i="9"/>
  <c r="BA153" i="9"/>
  <c r="BA154" i="9"/>
  <c r="BA155" i="9"/>
  <c r="BA156" i="9"/>
  <c r="BA157" i="9"/>
  <c r="BA158" i="9"/>
  <c r="BA159" i="9"/>
  <c r="BA160" i="9"/>
  <c r="BA161" i="9"/>
  <c r="BA162" i="9"/>
  <c r="BA163" i="9"/>
  <c r="BA164" i="9"/>
  <c r="BA165" i="9"/>
  <c r="BA166" i="9"/>
  <c r="BA167" i="9"/>
  <c r="BA168" i="9"/>
  <c r="BA169" i="9"/>
  <c r="BA170" i="9"/>
  <c r="BA171" i="9"/>
  <c r="BA172" i="9"/>
  <c r="BA173" i="9"/>
  <c r="BA174" i="9"/>
  <c r="BA175" i="9"/>
  <c r="BA176" i="9"/>
  <c r="BA177" i="9"/>
  <c r="BA178" i="9"/>
  <c r="BA179" i="9"/>
  <c r="BA180" i="9"/>
  <c r="BA181" i="9"/>
  <c r="BA182" i="9"/>
  <c r="BA183" i="9"/>
  <c r="BA184" i="9"/>
  <c r="BA185" i="9"/>
  <c r="BA186" i="9"/>
  <c r="BA187" i="9"/>
  <c r="BA188" i="9"/>
  <c r="BA189" i="9"/>
  <c r="BA190" i="9"/>
  <c r="BA191" i="9"/>
  <c r="BA192" i="9"/>
  <c r="BA193" i="9"/>
  <c r="BA194" i="9"/>
  <c r="BA195" i="9"/>
  <c r="BA196" i="9"/>
  <c r="BA197" i="9"/>
  <c r="BA198" i="9"/>
  <c r="BA199" i="9"/>
  <c r="BA200" i="9"/>
  <c r="BA201" i="9"/>
  <c r="BA202" i="9"/>
  <c r="BA203" i="9"/>
  <c r="BA204" i="9"/>
  <c r="BA205" i="9"/>
  <c r="BA206" i="9"/>
  <c r="BA207" i="9"/>
  <c r="BA208" i="9"/>
  <c r="BA209" i="9"/>
  <c r="BA210" i="9"/>
  <c r="BA211" i="9"/>
  <c r="BA212" i="9"/>
  <c r="BA213" i="9"/>
  <c r="BA214" i="9"/>
  <c r="BA215" i="9"/>
  <c r="BA216" i="9"/>
  <c r="BA217" i="9"/>
  <c r="BA218" i="9"/>
  <c r="BA219" i="9"/>
  <c r="BA220" i="9"/>
  <c r="BA221" i="9"/>
  <c r="BA222" i="9"/>
  <c r="BA223" i="9"/>
  <c r="BA224" i="9"/>
  <c r="BA225" i="9"/>
  <c r="BA226" i="9"/>
  <c r="BA227" i="9"/>
  <c r="BA228" i="9"/>
  <c r="BA229" i="9"/>
  <c r="BA230" i="9"/>
  <c r="BA231" i="9"/>
  <c r="BA232" i="9"/>
  <c r="BA233" i="9"/>
  <c r="BA234" i="9"/>
  <c r="BA235" i="9"/>
  <c r="BA236" i="9"/>
  <c r="BA237" i="9"/>
  <c r="BA238" i="9"/>
  <c r="BA239" i="9"/>
  <c r="BA240" i="9"/>
  <c r="BA241" i="9"/>
  <c r="BA242" i="9"/>
  <c r="BA243" i="9"/>
  <c r="BA244" i="9"/>
  <c r="BA245" i="9"/>
  <c r="BA246" i="9"/>
  <c r="BA247" i="9"/>
  <c r="BA248" i="9"/>
  <c r="BA249" i="9"/>
  <c r="BA250" i="9"/>
  <c r="BA251" i="9"/>
  <c r="BA252" i="9"/>
  <c r="BA253" i="9"/>
  <c r="BA254" i="9"/>
  <c r="BA255" i="9"/>
  <c r="BA256" i="9"/>
  <c r="BA257" i="9"/>
  <c r="BA258" i="9"/>
  <c r="BA259" i="9"/>
  <c r="BA260" i="9"/>
  <c r="BA261" i="9"/>
  <c r="BA262" i="9"/>
  <c r="BA263" i="9"/>
  <c r="BA264" i="9"/>
  <c r="BA265" i="9"/>
  <c r="BA266" i="9"/>
  <c r="BA267" i="9"/>
  <c r="BA268" i="9"/>
  <c r="BA269" i="9"/>
  <c r="BA270" i="9"/>
  <c r="BA271" i="9"/>
  <c r="BA272" i="9"/>
  <c r="BA273" i="9"/>
  <c r="BA274" i="9"/>
  <c r="BA275" i="9"/>
  <c r="BA276" i="9"/>
  <c r="BA277" i="9"/>
  <c r="BA278" i="9"/>
  <c r="BA279" i="9"/>
  <c r="BA280" i="9"/>
  <c r="BA281" i="9"/>
  <c r="BA282" i="9"/>
  <c r="BA283" i="9"/>
  <c r="BA284" i="9"/>
  <c r="BA285" i="9"/>
  <c r="BA286" i="9"/>
  <c r="BA287" i="9"/>
  <c r="BA288" i="9"/>
  <c r="BA289" i="9"/>
  <c r="BA290" i="9"/>
  <c r="BA291" i="9"/>
  <c r="BA292" i="9"/>
  <c r="BA293" i="9"/>
  <c r="BA294" i="9"/>
  <c r="BA295" i="9"/>
  <c r="BA296" i="9"/>
  <c r="BA297" i="9"/>
  <c r="BA298" i="9"/>
  <c r="BA299" i="9"/>
  <c r="BA300" i="9"/>
  <c r="BA301" i="9"/>
  <c r="BA302" i="9"/>
  <c r="BA303" i="9"/>
  <c r="BA304" i="9"/>
  <c r="BA305" i="9"/>
  <c r="BA306" i="9"/>
  <c r="BA307" i="9"/>
  <c r="BA308" i="9"/>
  <c r="BA309" i="9"/>
  <c r="BA310" i="9"/>
  <c r="BA311" i="9"/>
  <c r="BA312" i="9"/>
  <c r="BA313" i="9"/>
  <c r="BA314" i="9"/>
  <c r="BA315" i="9"/>
  <c r="BA316" i="9"/>
  <c r="BA317" i="9"/>
  <c r="BA318" i="9"/>
  <c r="BA319" i="9"/>
  <c r="BA320" i="9"/>
  <c r="BA321" i="9"/>
  <c r="BA322" i="9"/>
  <c r="BA323" i="9"/>
  <c r="BA324" i="9"/>
  <c r="BA325" i="9"/>
  <c r="BA326" i="9"/>
  <c r="BA327" i="9"/>
  <c r="BA328" i="9"/>
  <c r="BA329" i="9"/>
  <c r="BA330" i="9"/>
  <c r="BA331" i="9"/>
  <c r="BA332" i="9"/>
  <c r="BA333" i="9"/>
  <c r="BA334" i="9"/>
  <c r="BA335" i="9"/>
  <c r="BA336" i="9"/>
  <c r="BA337" i="9"/>
  <c r="BA338" i="9"/>
  <c r="BA339" i="9"/>
  <c r="BA340" i="9"/>
  <c r="BA341" i="9"/>
  <c r="BA342" i="9"/>
  <c r="BA343" i="9"/>
  <c r="BA344" i="9"/>
  <c r="BA345" i="9"/>
  <c r="BA346" i="9"/>
  <c r="BA347" i="9"/>
  <c r="BA348" i="9"/>
  <c r="BA349" i="9"/>
  <c r="BA350" i="9"/>
  <c r="BA351" i="9"/>
  <c r="BA352" i="9"/>
  <c r="BA353" i="9"/>
  <c r="BA354" i="9"/>
  <c r="BA355" i="9"/>
  <c r="BA356" i="9"/>
  <c r="BA357" i="9"/>
  <c r="BA358" i="9"/>
  <c r="BA359" i="9"/>
  <c r="BA360" i="9"/>
  <c r="BA361" i="9"/>
  <c r="BA362" i="9"/>
  <c r="BA363" i="9"/>
  <c r="BA364" i="9"/>
  <c r="BA365" i="9"/>
  <c r="BA366" i="9"/>
  <c r="BA367" i="9"/>
  <c r="BA368" i="9"/>
  <c r="BA369" i="9"/>
  <c r="BA370" i="9"/>
  <c r="BA371" i="9"/>
  <c r="BA372" i="9"/>
  <c r="BA373" i="9"/>
  <c r="BA374" i="9"/>
  <c r="BA375" i="9"/>
  <c r="BA376" i="9"/>
  <c r="BA377" i="9"/>
  <c r="BA378" i="9"/>
  <c r="BA379" i="9"/>
  <c r="BA380" i="9"/>
  <c r="BA381" i="9"/>
  <c r="BA382" i="9"/>
  <c r="BA383" i="9"/>
  <c r="BA384" i="9"/>
  <c r="BA385" i="9"/>
  <c r="BA386" i="9"/>
  <c r="BA387" i="9"/>
  <c r="BA388" i="9"/>
  <c r="BA389" i="9"/>
  <c r="BA390" i="9"/>
  <c r="BA391" i="9"/>
  <c r="BA392" i="9"/>
  <c r="BA393" i="9"/>
  <c r="BA394" i="9"/>
  <c r="BA395" i="9"/>
  <c r="BA396" i="9"/>
  <c r="BA397" i="9"/>
  <c r="BA398" i="9"/>
  <c r="BA399" i="9"/>
  <c r="BA400" i="9"/>
  <c r="BA401" i="9"/>
  <c r="BA402" i="9"/>
  <c r="BA403" i="9"/>
  <c r="BA404" i="9"/>
  <c r="BA405" i="9"/>
  <c r="BA406" i="9"/>
  <c r="BA407" i="9"/>
  <c r="BA408" i="9"/>
  <c r="BA409" i="9"/>
  <c r="BA410" i="9"/>
  <c r="BA411" i="9"/>
  <c r="BA412" i="9"/>
  <c r="BA413" i="9"/>
  <c r="BA414" i="9"/>
  <c r="BA415" i="9"/>
  <c r="BA416" i="9"/>
  <c r="BA417" i="9"/>
  <c r="BA418" i="9"/>
  <c r="BA419" i="9"/>
  <c r="BA420" i="9"/>
  <c r="BA421" i="9"/>
  <c r="BA422" i="9"/>
  <c r="BA423" i="9"/>
  <c r="BA424" i="9"/>
  <c r="BA425" i="9"/>
  <c r="BA426" i="9"/>
  <c r="BA427" i="9"/>
  <c r="BA428" i="9"/>
  <c r="BA429" i="9"/>
  <c r="BA430" i="9"/>
  <c r="BA431" i="9"/>
  <c r="BA432" i="9"/>
  <c r="BA433" i="9"/>
  <c r="BA434" i="9"/>
  <c r="BA435" i="9"/>
  <c r="BA436" i="9"/>
  <c r="BA437" i="9"/>
  <c r="BA438" i="9"/>
  <c r="BA439" i="9"/>
  <c r="BA440" i="9"/>
  <c r="BA441" i="9"/>
  <c r="BA442" i="9"/>
  <c r="BA443" i="9"/>
  <c r="BA444" i="9"/>
  <c r="BA445" i="9"/>
  <c r="BA446" i="9"/>
  <c r="BA447" i="9"/>
  <c r="BA448" i="9"/>
  <c r="BA449" i="9"/>
  <c r="BA450" i="9"/>
  <c r="BA451" i="9"/>
  <c r="BA452" i="9"/>
  <c r="BA453" i="9"/>
  <c r="BA454" i="9"/>
  <c r="BA455" i="9"/>
  <c r="BA456" i="9"/>
  <c r="BA457" i="9"/>
  <c r="BA458" i="9"/>
  <c r="BA459" i="9"/>
  <c r="BA460" i="9"/>
  <c r="BA461" i="9"/>
  <c r="BA462" i="9"/>
  <c r="BA463" i="9"/>
  <c r="BA464" i="9"/>
  <c r="BA465" i="9"/>
  <c r="BA466" i="9"/>
  <c r="BA467" i="9"/>
  <c r="BA468" i="9"/>
  <c r="BA469" i="9"/>
  <c r="BA470" i="9"/>
  <c r="BA471" i="9"/>
  <c r="BA472" i="9"/>
  <c r="BA473" i="9"/>
  <c r="BA474" i="9"/>
  <c r="BA475" i="9"/>
  <c r="BA476" i="9"/>
  <c r="BA477" i="9"/>
  <c r="BA478" i="9"/>
  <c r="BA479" i="9"/>
  <c r="BA480" i="9"/>
  <c r="BA481" i="9"/>
  <c r="BA482" i="9"/>
  <c r="BA483" i="9"/>
  <c r="BA484" i="9"/>
  <c r="BA485" i="9"/>
  <c r="BA486" i="9"/>
  <c r="BA487" i="9"/>
  <c r="BA488" i="9"/>
  <c r="BA489" i="9"/>
  <c r="BA490" i="9"/>
  <c r="BA491" i="9"/>
  <c r="BA492" i="9"/>
  <c r="BA493" i="9"/>
  <c r="BA494" i="9"/>
  <c r="BA495" i="9"/>
  <c r="BA496" i="9"/>
  <c r="BA497" i="9"/>
  <c r="BA498" i="9"/>
  <c r="BA499" i="9"/>
  <c r="BA500" i="9"/>
  <c r="BA501" i="9"/>
  <c r="BA502" i="9"/>
  <c r="BA503" i="9"/>
  <c r="BA504" i="9"/>
  <c r="BA505" i="9"/>
  <c r="BA506" i="9"/>
  <c r="BA507" i="9"/>
  <c r="BA508" i="9"/>
  <c r="BA509" i="9"/>
  <c r="BA510" i="9"/>
  <c r="BA511" i="9"/>
  <c r="BA512" i="9"/>
  <c r="BA513" i="9"/>
  <c r="BA514" i="9"/>
  <c r="BA515" i="9"/>
  <c r="BA516" i="9"/>
  <c r="BA517" i="9"/>
  <c r="BA518" i="9"/>
  <c r="BA519" i="9"/>
  <c r="BA520" i="9"/>
  <c r="BA521" i="9"/>
  <c r="BA522" i="9"/>
  <c r="BA523" i="9"/>
  <c r="BA524" i="9"/>
  <c r="BA525" i="9"/>
  <c r="BA526" i="9"/>
  <c r="BA527" i="9"/>
  <c r="BA528" i="9"/>
  <c r="BA529" i="9"/>
  <c r="BA530" i="9"/>
  <c r="BA531" i="9"/>
  <c r="BA532" i="9"/>
  <c r="BA533" i="9"/>
  <c r="BA534" i="9"/>
  <c r="BA535" i="9"/>
  <c r="BA536" i="9"/>
  <c r="BA537" i="9"/>
  <c r="BA538" i="9"/>
  <c r="BA539" i="9"/>
  <c r="BA540" i="9"/>
  <c r="BA541" i="9"/>
  <c r="BA542" i="9"/>
  <c r="BA543" i="9"/>
  <c r="BA544" i="9"/>
  <c r="BA545" i="9"/>
  <c r="BA546" i="9"/>
  <c r="BA547" i="9"/>
  <c r="BA548" i="9"/>
  <c r="BA549" i="9"/>
  <c r="BA550" i="9"/>
  <c r="BA551" i="9"/>
  <c r="BA552" i="9"/>
  <c r="BA553" i="9"/>
  <c r="BA554" i="9"/>
  <c r="BA555" i="9"/>
  <c r="BA556" i="9"/>
  <c r="BA557" i="9"/>
  <c r="BA558" i="9"/>
  <c r="BA559" i="9"/>
  <c r="BA560" i="9"/>
  <c r="BA561" i="9"/>
  <c r="BA562" i="9"/>
  <c r="BA563" i="9"/>
  <c r="BA564" i="9"/>
  <c r="BA565" i="9"/>
  <c r="BA566" i="9"/>
  <c r="BA567" i="9"/>
  <c r="BA568" i="9"/>
  <c r="BA569" i="9"/>
  <c r="BA570" i="9"/>
  <c r="BA571" i="9"/>
  <c r="BA572" i="9"/>
  <c r="BA573" i="9"/>
  <c r="BA574" i="9"/>
  <c r="BA575" i="9"/>
  <c r="BA576" i="9"/>
  <c r="BA577" i="9"/>
  <c r="BA578" i="9"/>
  <c r="BA579" i="9"/>
  <c r="BA580" i="9"/>
  <c r="BA581" i="9"/>
  <c r="BA582" i="9"/>
  <c r="BA583" i="9"/>
  <c r="BA584" i="9"/>
  <c r="BA585" i="9"/>
  <c r="BA586" i="9"/>
  <c r="BA587" i="9"/>
  <c r="BA588" i="9"/>
  <c r="BA589" i="9"/>
  <c r="BA590" i="9"/>
  <c r="BA591" i="9"/>
  <c r="BA592" i="9"/>
  <c r="BA593" i="9"/>
  <c r="BA594" i="9"/>
  <c r="BA595" i="9"/>
  <c r="BA596" i="9"/>
  <c r="BA597" i="9"/>
  <c r="BA598" i="9"/>
  <c r="BA599" i="9"/>
  <c r="BA600" i="9"/>
  <c r="BA601" i="9"/>
  <c r="BA602" i="9"/>
  <c r="BA603" i="9"/>
  <c r="BA604" i="9"/>
  <c r="BA605" i="9"/>
  <c r="BA606" i="9"/>
  <c r="BA607" i="9"/>
  <c r="BA608" i="9"/>
  <c r="BA609" i="9"/>
  <c r="BA610" i="9"/>
  <c r="BA611" i="9"/>
  <c r="BA612" i="9"/>
  <c r="BA613" i="9"/>
  <c r="BA614" i="9"/>
  <c r="BA615" i="9"/>
  <c r="BA616" i="9"/>
  <c r="BA617" i="9"/>
  <c r="BA618" i="9"/>
  <c r="BA619" i="9"/>
  <c r="BA620" i="9"/>
  <c r="BA621" i="9"/>
  <c r="BA622" i="9"/>
  <c r="BA623" i="9"/>
  <c r="BA624" i="9"/>
  <c r="BA625" i="9"/>
  <c r="BA626" i="9"/>
  <c r="BA627" i="9"/>
  <c r="BA628" i="9"/>
  <c r="BA629" i="9"/>
  <c r="BA630" i="9"/>
  <c r="BA631" i="9"/>
  <c r="BA632" i="9"/>
  <c r="BA633" i="9"/>
  <c r="BA634" i="9"/>
  <c r="BA635" i="9"/>
  <c r="BA636" i="9"/>
  <c r="BA637" i="9"/>
  <c r="BA638" i="9"/>
  <c r="BA639" i="9"/>
  <c r="BA640" i="9"/>
  <c r="BA641" i="9"/>
  <c r="BA642" i="9"/>
  <c r="BA643" i="9"/>
  <c r="BA644" i="9"/>
  <c r="BA645" i="9"/>
  <c r="BA646" i="9"/>
  <c r="BA647" i="9"/>
  <c r="BA648" i="9"/>
  <c r="BA649" i="9"/>
  <c r="BA650" i="9"/>
  <c r="BA651" i="9"/>
  <c r="BA652" i="9"/>
  <c r="BA653" i="9"/>
  <c r="BA654" i="9"/>
  <c r="BA655" i="9"/>
  <c r="BA656" i="9"/>
  <c r="BA657" i="9"/>
  <c r="BA658" i="9"/>
  <c r="BA659" i="9"/>
  <c r="BA660" i="9"/>
  <c r="BA661" i="9"/>
  <c r="BA662" i="9"/>
  <c r="BA663" i="9"/>
  <c r="BA664" i="9"/>
  <c r="BA665" i="9"/>
  <c r="BA666" i="9"/>
  <c r="BA667" i="9"/>
  <c r="BA668" i="9"/>
  <c r="BA669" i="9"/>
  <c r="BA670" i="9"/>
  <c r="BA671" i="9"/>
  <c r="BA672" i="9"/>
  <c r="BA673" i="9"/>
  <c r="BA674" i="9"/>
  <c r="BA675" i="9"/>
  <c r="BA676" i="9"/>
  <c r="BA677" i="9"/>
  <c r="BA678" i="9"/>
  <c r="BA679" i="9"/>
  <c r="BA680" i="9"/>
  <c r="BA681" i="9"/>
  <c r="BA682" i="9"/>
  <c r="BA683" i="9"/>
  <c r="BA684" i="9"/>
  <c r="BA685" i="9"/>
  <c r="BA686" i="9"/>
  <c r="BA687" i="9"/>
  <c r="BA688" i="9"/>
  <c r="BA689" i="9"/>
  <c r="BA690" i="9"/>
  <c r="BA691" i="9"/>
  <c r="BA692" i="9"/>
  <c r="BA693" i="9"/>
  <c r="BA694" i="9"/>
  <c r="BA695" i="9"/>
  <c r="BA696" i="9"/>
  <c r="BA697" i="9"/>
  <c r="BA698" i="9"/>
  <c r="BA699" i="9"/>
  <c r="BA700" i="9"/>
  <c r="BA701" i="9"/>
  <c r="BA702" i="9"/>
  <c r="BA703" i="9"/>
  <c r="BA704" i="9"/>
  <c r="BA705" i="9"/>
  <c r="BA706" i="9"/>
  <c r="BA707" i="9"/>
  <c r="BA708" i="9"/>
  <c r="BA709" i="9"/>
  <c r="BA710" i="9"/>
  <c r="BA711" i="9"/>
  <c r="BA712" i="9"/>
  <c r="BA713" i="9"/>
  <c r="BA714" i="9"/>
  <c r="BA715" i="9"/>
  <c r="BA716" i="9"/>
  <c r="BA717" i="9"/>
  <c r="BA718" i="9"/>
  <c r="BA719" i="9"/>
  <c r="BA720" i="9"/>
  <c r="BA721" i="9"/>
  <c r="BA722" i="9"/>
  <c r="BA723" i="9"/>
  <c r="BA724" i="9"/>
  <c r="BA725" i="9"/>
  <c r="BA726" i="9"/>
  <c r="BA727" i="9"/>
  <c r="BA728" i="9"/>
  <c r="BA729" i="9"/>
  <c r="BA730" i="9"/>
  <c r="BA731" i="9"/>
  <c r="BA732" i="9"/>
  <c r="BA733" i="9"/>
  <c r="BA734" i="9"/>
  <c r="BA735" i="9"/>
  <c r="BA736" i="9"/>
  <c r="BA737" i="9"/>
  <c r="BA738" i="9"/>
  <c r="BA739" i="9"/>
  <c r="BA740" i="9"/>
  <c r="BA741" i="9"/>
  <c r="BA742" i="9"/>
  <c r="BA743" i="9"/>
  <c r="BA744" i="9"/>
  <c r="BA745" i="9"/>
  <c r="BA746" i="9"/>
  <c r="BA747" i="9"/>
  <c r="BA748" i="9"/>
  <c r="BA749" i="9"/>
  <c r="BA750" i="9"/>
  <c r="BA751" i="9"/>
  <c r="BA752" i="9"/>
  <c r="BA753" i="9"/>
  <c r="BA754" i="9"/>
  <c r="BA755" i="9"/>
  <c r="BA756" i="9"/>
  <c r="BA757" i="9"/>
  <c r="BA758" i="9"/>
  <c r="BA759" i="9"/>
  <c r="BA760" i="9"/>
  <c r="BA761" i="9"/>
  <c r="BA762" i="9"/>
  <c r="BA763" i="9"/>
  <c r="BA764" i="9"/>
  <c r="BA765" i="9"/>
  <c r="BA766" i="9"/>
  <c r="BA767" i="9"/>
  <c r="BA768" i="9"/>
  <c r="BA769" i="9"/>
  <c r="BA770" i="9"/>
  <c r="BA771" i="9"/>
  <c r="BA772" i="9"/>
  <c r="BA773" i="9"/>
  <c r="BA774" i="9"/>
  <c r="BA775" i="9"/>
  <c r="BA776" i="9"/>
  <c r="BA777" i="9"/>
  <c r="BA778" i="9"/>
  <c r="BA779" i="9"/>
  <c r="BA780" i="9"/>
  <c r="BA781" i="9"/>
  <c r="BA782" i="9"/>
  <c r="BA783" i="9"/>
  <c r="BA784" i="9"/>
  <c r="BA785" i="9"/>
  <c r="BA786" i="9"/>
  <c r="BA787" i="9"/>
  <c r="BA788" i="9"/>
  <c r="BA789" i="9"/>
  <c r="BA790" i="9"/>
  <c r="BA791" i="9"/>
  <c r="BA792" i="9"/>
  <c r="BA793" i="9"/>
  <c r="BA794" i="9"/>
  <c r="BA795" i="9"/>
  <c r="BA796" i="9"/>
  <c r="BA797" i="9"/>
  <c r="BA798" i="9"/>
  <c r="BA799" i="9"/>
  <c r="BA800" i="9"/>
  <c r="BA801" i="9"/>
  <c r="BA802" i="9"/>
  <c r="BA803" i="9"/>
  <c r="BA804" i="9"/>
  <c r="BA805" i="9"/>
  <c r="BA806" i="9"/>
  <c r="BA807" i="9"/>
  <c r="BA808" i="9"/>
  <c r="BA809" i="9"/>
  <c r="BA810" i="9"/>
  <c r="BA811" i="9"/>
  <c r="BA812" i="9"/>
  <c r="BA813" i="9"/>
  <c r="BA814" i="9"/>
  <c r="BA815" i="9"/>
  <c r="BA816" i="9"/>
  <c r="BA817" i="9"/>
  <c r="BA818" i="9"/>
  <c r="BA819" i="9"/>
  <c r="BA820" i="9"/>
  <c r="BA821" i="9"/>
  <c r="BA822" i="9"/>
  <c r="BA823" i="9"/>
  <c r="BA824" i="9"/>
  <c r="BA825" i="9"/>
  <c r="BA826" i="9"/>
  <c r="BA827" i="9"/>
  <c r="BA828" i="9"/>
  <c r="BA829" i="9"/>
  <c r="BA830" i="9"/>
  <c r="BA831" i="9"/>
  <c r="BA832" i="9"/>
  <c r="BA833" i="9"/>
  <c r="BA834" i="9"/>
  <c r="BA835" i="9"/>
  <c r="BA836" i="9"/>
  <c r="BA837" i="9"/>
  <c r="BA838" i="9"/>
  <c r="BA839" i="9"/>
  <c r="BA840" i="9"/>
  <c r="BA841" i="9"/>
  <c r="BA842" i="9"/>
  <c r="BA843" i="9"/>
  <c r="BA844" i="9"/>
  <c r="BA845" i="9"/>
  <c r="BA846" i="9"/>
  <c r="BA847" i="9"/>
  <c r="BA848" i="9"/>
  <c r="BA849" i="9"/>
  <c r="BA850" i="9"/>
  <c r="BA851" i="9"/>
  <c r="BA852" i="9"/>
  <c r="BA853" i="9"/>
  <c r="BA854" i="9"/>
  <c r="BA855" i="9"/>
  <c r="BA856" i="9"/>
  <c r="BA857" i="9"/>
  <c r="BA858" i="9"/>
  <c r="BA859" i="9"/>
  <c r="BA860" i="9"/>
  <c r="BA861" i="9"/>
  <c r="BA862" i="9"/>
  <c r="BA863" i="9"/>
  <c r="BA864" i="9"/>
  <c r="BA865" i="9"/>
  <c r="BA866" i="9"/>
  <c r="BA867" i="9"/>
  <c r="BA868" i="9"/>
  <c r="BA869" i="9"/>
  <c r="BA870" i="9"/>
  <c r="BA871" i="9"/>
  <c r="BA872" i="9"/>
  <c r="BA873" i="9"/>
  <c r="BA874" i="9"/>
  <c r="BA875" i="9"/>
  <c r="BA876" i="9"/>
  <c r="BA877" i="9"/>
  <c r="BA878" i="9"/>
  <c r="BA879" i="9"/>
  <c r="BA880" i="9"/>
  <c r="BA881" i="9"/>
  <c r="BA882" i="9"/>
  <c r="BA883" i="9"/>
  <c r="BA884" i="9"/>
  <c r="BA885" i="9"/>
  <c r="BA886" i="9"/>
  <c r="BA887" i="9"/>
  <c r="BA888" i="9"/>
  <c r="BA889" i="9"/>
  <c r="BA890" i="9"/>
  <c r="BA891" i="9"/>
  <c r="BA892" i="9"/>
  <c r="BA893" i="9"/>
  <c r="BA894" i="9"/>
  <c r="BA895" i="9"/>
  <c r="BA896" i="9"/>
  <c r="BA897" i="9"/>
  <c r="BA898" i="9"/>
  <c r="BA899" i="9"/>
  <c r="BA900" i="9"/>
  <c r="BA901" i="9"/>
  <c r="BA902" i="9"/>
  <c r="BA903" i="9"/>
  <c r="BA904" i="9"/>
  <c r="BA905" i="9"/>
  <c r="BA906" i="9"/>
  <c r="BA907" i="9"/>
  <c r="BA908" i="9"/>
  <c r="BA909" i="9"/>
  <c r="BA910" i="9"/>
  <c r="BA911" i="9"/>
  <c r="BA912" i="9"/>
  <c r="BA913" i="9"/>
  <c r="BA914" i="9"/>
  <c r="BA915" i="9"/>
  <c r="BA916" i="9"/>
  <c r="BA917" i="9"/>
  <c r="BA918" i="9"/>
  <c r="BA919" i="9"/>
  <c r="BA920" i="9"/>
  <c r="BA921" i="9"/>
  <c r="BA922" i="9"/>
  <c r="BA923" i="9"/>
  <c r="BA924" i="9"/>
  <c r="BA925" i="9"/>
  <c r="BA926" i="9"/>
  <c r="BA927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403" i="9" s="1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E290" i="9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E386" i="9"/>
  <c r="AE387" i="9"/>
  <c r="AE388" i="9"/>
  <c r="AE389" i="9"/>
  <c r="AE390" i="9"/>
  <c r="AE391" i="9"/>
  <c r="AE392" i="9"/>
  <c r="AE393" i="9"/>
  <c r="AE394" i="9"/>
  <c r="AE395" i="9"/>
  <c r="AE396" i="9"/>
  <c r="AE397" i="9"/>
  <c r="AE398" i="9"/>
  <c r="AE399" i="9"/>
  <c r="AE400" i="9"/>
  <c r="AE401" i="9"/>
  <c r="AE40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419" i="9" s="1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T396" i="9" s="1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440" i="9" s="1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P51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P71" i="9"/>
  <c r="AP72" i="9"/>
  <c r="AP73" i="9"/>
  <c r="AP74" i="9"/>
  <c r="AP75" i="9"/>
  <c r="AP76" i="9"/>
  <c r="AP77" i="9"/>
  <c r="AP78" i="9"/>
  <c r="AP79" i="9"/>
  <c r="AP80" i="9"/>
  <c r="AP81" i="9"/>
  <c r="AP82" i="9"/>
  <c r="AP83" i="9"/>
  <c r="AP84" i="9"/>
  <c r="AP85" i="9"/>
  <c r="AP86" i="9"/>
  <c r="AP87" i="9"/>
  <c r="AP88" i="9"/>
  <c r="AP89" i="9"/>
  <c r="AP90" i="9"/>
  <c r="AP91" i="9"/>
  <c r="AP92" i="9"/>
  <c r="AP93" i="9"/>
  <c r="AP94" i="9"/>
  <c r="AP95" i="9"/>
  <c r="AP96" i="9"/>
  <c r="AP97" i="9"/>
  <c r="AP98" i="9"/>
  <c r="AP99" i="9"/>
  <c r="AP100" i="9"/>
  <c r="AP101" i="9"/>
  <c r="AP102" i="9"/>
  <c r="AP103" i="9"/>
  <c r="AP104" i="9"/>
  <c r="AP105" i="9"/>
  <c r="AP106" i="9"/>
  <c r="AP107" i="9"/>
  <c r="AP108" i="9"/>
  <c r="AP109" i="9"/>
  <c r="AP110" i="9"/>
  <c r="AP111" i="9"/>
  <c r="AP112" i="9"/>
  <c r="AP113" i="9"/>
  <c r="AP114" i="9"/>
  <c r="AP115" i="9"/>
  <c r="AP116" i="9"/>
  <c r="AP117" i="9"/>
  <c r="AP118" i="9"/>
  <c r="AP119" i="9"/>
  <c r="AP120" i="9"/>
  <c r="AP121" i="9"/>
  <c r="AP122" i="9"/>
  <c r="AP123" i="9"/>
  <c r="AP124" i="9"/>
  <c r="AP125" i="9"/>
  <c r="AP126" i="9"/>
  <c r="AP127" i="9"/>
  <c r="AP128" i="9"/>
  <c r="AP129" i="9"/>
  <c r="AP130" i="9"/>
  <c r="AP131" i="9"/>
  <c r="AP132" i="9"/>
  <c r="AP133" i="9"/>
  <c r="AP134" i="9"/>
  <c r="AP135" i="9"/>
  <c r="AP136" i="9"/>
  <c r="AP137" i="9"/>
  <c r="AP138" i="9"/>
  <c r="AP139" i="9"/>
  <c r="AP140" i="9"/>
  <c r="AP141" i="9"/>
  <c r="AP142" i="9"/>
  <c r="AP143" i="9"/>
  <c r="AP144" i="9"/>
  <c r="AP145" i="9"/>
  <c r="AP146" i="9"/>
  <c r="AP147" i="9"/>
  <c r="AP148" i="9"/>
  <c r="AP149" i="9"/>
  <c r="AP150" i="9"/>
  <c r="AP151" i="9"/>
  <c r="AP152" i="9"/>
  <c r="AP153" i="9"/>
  <c r="AP154" i="9"/>
  <c r="AP155" i="9"/>
  <c r="AP156" i="9"/>
  <c r="AP157" i="9"/>
  <c r="AP158" i="9"/>
  <c r="AP159" i="9"/>
  <c r="AP160" i="9"/>
  <c r="AP161" i="9"/>
  <c r="AP162" i="9"/>
  <c r="AP163" i="9"/>
  <c r="AP164" i="9"/>
  <c r="AP165" i="9"/>
  <c r="AP166" i="9"/>
  <c r="AP167" i="9"/>
  <c r="AP168" i="9"/>
  <c r="AP169" i="9"/>
  <c r="AP170" i="9"/>
  <c r="AP171" i="9"/>
  <c r="AP172" i="9"/>
  <c r="AP173" i="9"/>
  <c r="AP174" i="9"/>
  <c r="AP175" i="9"/>
  <c r="AP176" i="9"/>
  <c r="AP177" i="9"/>
  <c r="AP178" i="9"/>
  <c r="AP179" i="9"/>
  <c r="AP180" i="9"/>
  <c r="AP181" i="9"/>
  <c r="AP182" i="9"/>
  <c r="AP183" i="9"/>
  <c r="AP184" i="9"/>
  <c r="AP185" i="9"/>
  <c r="AP186" i="9"/>
  <c r="AP187" i="9"/>
  <c r="AP188" i="9"/>
  <c r="AP189" i="9"/>
  <c r="AP190" i="9"/>
  <c r="AP191" i="9"/>
  <c r="AP192" i="9"/>
  <c r="AP193" i="9"/>
  <c r="AP194" i="9"/>
  <c r="AP195" i="9"/>
  <c r="AP196" i="9"/>
  <c r="AP197" i="9"/>
  <c r="AP198" i="9"/>
  <c r="AP199" i="9"/>
  <c r="AP200" i="9"/>
  <c r="AP201" i="9"/>
  <c r="AP202" i="9"/>
  <c r="AP203" i="9"/>
  <c r="AP204" i="9"/>
  <c r="AP205" i="9"/>
  <c r="AP206" i="9"/>
  <c r="AP207" i="9"/>
  <c r="AP208" i="9"/>
  <c r="AP209" i="9"/>
  <c r="AP210" i="9"/>
  <c r="AP211" i="9"/>
  <c r="AP212" i="9"/>
  <c r="AP213" i="9"/>
  <c r="AP214" i="9"/>
  <c r="AP215" i="9"/>
  <c r="AP216" i="9"/>
  <c r="AP217" i="9"/>
  <c r="AP218" i="9"/>
  <c r="AP219" i="9"/>
  <c r="AP220" i="9"/>
  <c r="AP221" i="9"/>
  <c r="AP222" i="9"/>
  <c r="AP223" i="9"/>
  <c r="AP224" i="9"/>
  <c r="AP225" i="9"/>
  <c r="AP226" i="9"/>
  <c r="AP227" i="9"/>
  <c r="AP228" i="9"/>
  <c r="AP229" i="9"/>
  <c r="AP230" i="9"/>
  <c r="AP231" i="9"/>
  <c r="AP232" i="9"/>
  <c r="AP233" i="9"/>
  <c r="AP234" i="9"/>
  <c r="AP235" i="9"/>
  <c r="AP236" i="9"/>
  <c r="AP237" i="9"/>
  <c r="AP238" i="9"/>
  <c r="AP239" i="9"/>
  <c r="AP240" i="9"/>
  <c r="AP241" i="9"/>
  <c r="AP242" i="9"/>
  <c r="AP243" i="9"/>
  <c r="AP244" i="9"/>
  <c r="AP245" i="9"/>
  <c r="AP246" i="9"/>
  <c r="AP247" i="9"/>
  <c r="AP248" i="9"/>
  <c r="AP249" i="9"/>
  <c r="AP250" i="9"/>
  <c r="AP251" i="9"/>
  <c r="AP252" i="9"/>
  <c r="AP253" i="9"/>
  <c r="AP254" i="9"/>
  <c r="AP255" i="9"/>
  <c r="AP256" i="9"/>
  <c r="AP257" i="9"/>
  <c r="AP258" i="9"/>
  <c r="AP259" i="9"/>
  <c r="AP260" i="9"/>
  <c r="AP261" i="9"/>
  <c r="AP262" i="9"/>
  <c r="AP263" i="9"/>
  <c r="AP264" i="9"/>
  <c r="AP265" i="9"/>
  <c r="AP266" i="9"/>
  <c r="AP267" i="9"/>
  <c r="AP268" i="9"/>
  <c r="AP269" i="9"/>
  <c r="AP270" i="9"/>
  <c r="AP271" i="9"/>
  <c r="AP272" i="9"/>
  <c r="AP273" i="9"/>
  <c r="AP274" i="9"/>
  <c r="AP275" i="9"/>
  <c r="AP276" i="9"/>
  <c r="AP277" i="9"/>
  <c r="AP278" i="9"/>
  <c r="AP279" i="9"/>
  <c r="AP280" i="9"/>
  <c r="AP281" i="9"/>
  <c r="AP282" i="9"/>
  <c r="AP283" i="9"/>
  <c r="AP284" i="9"/>
  <c r="AP285" i="9"/>
  <c r="AP286" i="9"/>
  <c r="AP287" i="9"/>
  <c r="AP288" i="9"/>
  <c r="AP289" i="9"/>
  <c r="AP290" i="9"/>
  <c r="AP291" i="9"/>
  <c r="AP292" i="9"/>
  <c r="AP293" i="9"/>
  <c r="AP294" i="9"/>
  <c r="AP295" i="9"/>
  <c r="AP296" i="9"/>
  <c r="AP297" i="9"/>
  <c r="AP298" i="9"/>
  <c r="AP299" i="9"/>
  <c r="AP300" i="9"/>
  <c r="AP301" i="9"/>
  <c r="AP302" i="9"/>
  <c r="AP303" i="9"/>
  <c r="AP304" i="9"/>
  <c r="AP305" i="9"/>
  <c r="AP306" i="9"/>
  <c r="AP307" i="9"/>
  <c r="AP308" i="9"/>
  <c r="AP309" i="9"/>
  <c r="AP310" i="9"/>
  <c r="AP311" i="9"/>
  <c r="AP312" i="9"/>
  <c r="AP313" i="9"/>
  <c r="AP314" i="9"/>
  <c r="AP315" i="9"/>
  <c r="AP316" i="9"/>
  <c r="AP317" i="9"/>
  <c r="AP318" i="9"/>
  <c r="AP319" i="9"/>
  <c r="AP320" i="9"/>
  <c r="AP321" i="9"/>
  <c r="AP322" i="9"/>
  <c r="AP323" i="9"/>
  <c r="AP324" i="9"/>
  <c r="AP325" i="9"/>
  <c r="AP326" i="9"/>
  <c r="AP327" i="9"/>
  <c r="AP328" i="9"/>
  <c r="AP329" i="9"/>
  <c r="AP330" i="9"/>
  <c r="AP331" i="9"/>
  <c r="AP332" i="9"/>
  <c r="AP333" i="9"/>
  <c r="AP334" i="9"/>
  <c r="AP335" i="9"/>
  <c r="AP336" i="9"/>
  <c r="AP337" i="9"/>
  <c r="AP338" i="9"/>
  <c r="AP339" i="9"/>
  <c r="AP340" i="9"/>
  <c r="AP341" i="9"/>
  <c r="AP342" i="9"/>
  <c r="AP343" i="9"/>
  <c r="AP344" i="9"/>
  <c r="AP345" i="9"/>
  <c r="AP346" i="9"/>
  <c r="AP347" i="9"/>
  <c r="AP348" i="9"/>
  <c r="AP349" i="9"/>
  <c r="AP350" i="9"/>
  <c r="AP351" i="9"/>
  <c r="AP352" i="9"/>
  <c r="AP353" i="9"/>
  <c r="AP354" i="9"/>
  <c r="AP355" i="9"/>
  <c r="AP356" i="9"/>
  <c r="AP357" i="9"/>
  <c r="AP358" i="9"/>
  <c r="AP359" i="9"/>
  <c r="AP360" i="9"/>
  <c r="AP361" i="9"/>
  <c r="AP362" i="9"/>
  <c r="AP363" i="9"/>
  <c r="AP364" i="9"/>
  <c r="AP365" i="9"/>
  <c r="AP366" i="9"/>
  <c r="AP367" i="9"/>
  <c r="AP368" i="9"/>
  <c r="AP369" i="9"/>
  <c r="AP370" i="9"/>
  <c r="AP371" i="9"/>
  <c r="AP372" i="9"/>
  <c r="AP373" i="9"/>
  <c r="AP374" i="9"/>
  <c r="AP375" i="9"/>
  <c r="AP376" i="9"/>
  <c r="AP377" i="9"/>
  <c r="AP378" i="9"/>
  <c r="AP379" i="9"/>
  <c r="AP380" i="9"/>
  <c r="AP381" i="9"/>
  <c r="AP382" i="9"/>
  <c r="AP383" i="9"/>
  <c r="AP384" i="9"/>
  <c r="AP385" i="9"/>
  <c r="AP386" i="9"/>
  <c r="AP387" i="9"/>
  <c r="AP388" i="9"/>
  <c r="AP389" i="9"/>
  <c r="AP390" i="9"/>
  <c r="AP391" i="9"/>
  <c r="AP392" i="9"/>
  <c r="AP393" i="9"/>
  <c r="AP394" i="9"/>
  <c r="AP395" i="9"/>
  <c r="AP396" i="9"/>
  <c r="AP397" i="9"/>
  <c r="AP398" i="9"/>
  <c r="AP399" i="9"/>
  <c r="AP400" i="9"/>
  <c r="AP401" i="9"/>
  <c r="AP402" i="9"/>
  <c r="AP403" i="9"/>
  <c r="AP404" i="9"/>
  <c r="AP405" i="9"/>
  <c r="AP406" i="9"/>
  <c r="AP407" i="9"/>
  <c r="AP408" i="9"/>
  <c r="AP409" i="9"/>
  <c r="AP410" i="9"/>
  <c r="AP411" i="9"/>
  <c r="AP412" i="9"/>
  <c r="AP413" i="9"/>
  <c r="AP414" i="9"/>
  <c r="AP415" i="9"/>
  <c r="AP416" i="9"/>
  <c r="AP417" i="9"/>
  <c r="AP418" i="9"/>
  <c r="AP419" i="9"/>
  <c r="AP420" i="9"/>
  <c r="AP421" i="9"/>
  <c r="AP422" i="9"/>
  <c r="AP423" i="9"/>
  <c r="AP424" i="9"/>
  <c r="AP425" i="9"/>
  <c r="AP426" i="9"/>
  <c r="AP427" i="9"/>
  <c r="AP428" i="9"/>
  <c r="AP429" i="9"/>
  <c r="AP430" i="9"/>
  <c r="AP431" i="9"/>
  <c r="AP432" i="9"/>
  <c r="AP433" i="9"/>
  <c r="AP434" i="9"/>
  <c r="AP435" i="9"/>
  <c r="AP436" i="9"/>
  <c r="AP437" i="9"/>
  <c r="AP438" i="9"/>
  <c r="AP439" i="9"/>
  <c r="AP3" i="9"/>
  <c r="AE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 l="1"/>
  <c r="J2" i="9"/>
  <c r="C2" i="9"/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2" i="8"/>
  <c r="C17" i="8"/>
  <c r="B3" i="8"/>
  <c r="B4" i="8"/>
  <c r="B5" i="8"/>
  <c r="C5" i="8" s="1"/>
  <c r="B6" i="8"/>
  <c r="B7" i="8"/>
  <c r="C7" i="8" s="1"/>
  <c r="B8" i="8"/>
  <c r="B9" i="8"/>
  <c r="B10" i="8"/>
  <c r="B11" i="8"/>
  <c r="B12" i="8"/>
  <c r="B13" i="8"/>
  <c r="C13" i="8" s="1"/>
  <c r="B14" i="8"/>
  <c r="B15" i="8"/>
  <c r="B16" i="8"/>
  <c r="B17" i="8"/>
  <c r="O4" i="8"/>
  <c r="C3" i="8"/>
  <c r="C11" i="8"/>
  <c r="C15" i="8"/>
  <c r="B2" i="8"/>
  <c r="C2" i="8" s="1"/>
  <c r="N3" i="8"/>
  <c r="O3" i="8" s="1"/>
  <c r="C4" i="8"/>
  <c r="C6" i="8"/>
  <c r="C8" i="8"/>
  <c r="C10" i="8"/>
  <c r="C12" i="8"/>
  <c r="C14" i="8"/>
  <c r="C16" i="8"/>
  <c r="G2" i="8"/>
  <c r="G3" i="8" s="1"/>
  <c r="H3" i="8" s="1"/>
  <c r="C9" i="8"/>
  <c r="H2" i="8"/>
  <c r="N4" i="8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  <c r="L43" i="4"/>
  <c r="M5" i="4" s="1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2" i="4"/>
  <c r="AL51" i="4"/>
  <c r="V3" i="4"/>
  <c r="V7" i="4"/>
  <c r="V11" i="4"/>
  <c r="V15" i="4"/>
  <c r="V19" i="4"/>
  <c r="V23" i="4"/>
  <c r="V27" i="4"/>
  <c r="V31" i="4"/>
  <c r="V35" i="4"/>
  <c r="V39" i="4"/>
  <c r="V43" i="4"/>
  <c r="V47" i="4"/>
  <c r="V51" i="4"/>
  <c r="U53" i="4"/>
  <c r="BD45" i="4"/>
  <c r="BE4" i="4" s="1"/>
  <c r="BD44" i="4"/>
  <c r="BF38" i="4"/>
  <c r="BF39" i="4"/>
  <c r="BF40" i="4"/>
  <c r="BF41" i="4"/>
  <c r="BF42" i="4"/>
  <c r="BF43" i="4"/>
  <c r="BC44" i="4"/>
  <c r="AT38" i="4"/>
  <c r="AU38" i="4"/>
  <c r="BF37" i="4"/>
  <c r="BF36" i="4"/>
  <c r="BF35" i="4"/>
  <c r="BF34" i="4"/>
  <c r="BF33" i="4"/>
  <c r="BF32" i="4"/>
  <c r="BF31" i="4"/>
  <c r="BF30" i="4"/>
  <c r="BF29" i="4"/>
  <c r="BF28" i="4"/>
  <c r="BF27" i="4"/>
  <c r="BF26" i="4"/>
  <c r="BF25" i="4"/>
  <c r="BF24" i="4"/>
  <c r="BF23" i="4"/>
  <c r="BF22" i="4"/>
  <c r="BF21" i="4"/>
  <c r="BF20" i="4"/>
  <c r="BF19" i="4"/>
  <c r="BF18" i="4"/>
  <c r="BF17" i="4"/>
  <c r="BF16" i="4"/>
  <c r="BF15" i="4"/>
  <c r="BF14" i="4"/>
  <c r="BF13" i="4"/>
  <c r="BF12" i="4"/>
  <c r="BF11" i="4"/>
  <c r="BF10" i="4"/>
  <c r="BF9" i="4"/>
  <c r="BF8" i="4"/>
  <c r="BF7" i="4"/>
  <c r="BF6" i="4"/>
  <c r="BF5" i="4"/>
  <c r="BF4" i="4"/>
  <c r="BF3" i="4"/>
  <c r="BF2" i="4"/>
  <c r="BF45" i="4" l="1"/>
  <c r="BF44" i="4"/>
  <c r="BH3" i="4" s="1"/>
  <c r="BH4" i="4"/>
  <c r="BH12" i="4"/>
  <c r="BI3" i="4"/>
  <c r="BI5" i="4"/>
  <c r="BI7" i="4"/>
  <c r="BI9" i="4"/>
  <c r="BI11" i="4"/>
  <c r="BI13" i="4"/>
  <c r="BI15" i="4"/>
  <c r="BI17" i="4"/>
  <c r="BI19" i="4"/>
  <c r="BI21" i="4"/>
  <c r="BI23" i="4"/>
  <c r="BI25" i="4"/>
  <c r="BI27" i="4"/>
  <c r="BI29" i="4"/>
  <c r="BI31" i="4"/>
  <c r="BI33" i="4"/>
  <c r="BI35" i="4"/>
  <c r="BI37" i="4"/>
  <c r="BH6" i="4"/>
  <c r="BH10" i="4"/>
  <c r="BH14" i="4"/>
  <c r="BH16" i="4"/>
  <c r="BH18" i="4"/>
  <c r="BH20" i="4"/>
  <c r="BH22" i="4"/>
  <c r="BH24" i="4"/>
  <c r="BH26" i="4"/>
  <c r="BH28" i="4"/>
  <c r="BH30" i="4"/>
  <c r="BH32" i="4"/>
  <c r="BH34" i="4"/>
  <c r="BH36" i="4"/>
  <c r="AU39" i="4"/>
  <c r="AV38" i="4" s="1"/>
  <c r="BE2" i="4"/>
  <c r="BE40" i="4"/>
  <c r="BE36" i="4"/>
  <c r="BE32" i="4"/>
  <c r="BE28" i="4"/>
  <c r="BE24" i="4"/>
  <c r="BE20" i="4"/>
  <c r="BE16" i="4"/>
  <c r="BE12" i="4"/>
  <c r="BE8" i="4"/>
  <c r="V4" i="4"/>
  <c r="V6" i="4"/>
  <c r="V8" i="4"/>
  <c r="V10" i="4"/>
  <c r="V12" i="4"/>
  <c r="V14" i="4"/>
  <c r="V16" i="4"/>
  <c r="V18" i="4"/>
  <c r="V20" i="4"/>
  <c r="V22" i="4"/>
  <c r="V24" i="4"/>
  <c r="V26" i="4"/>
  <c r="V28" i="4"/>
  <c r="V30" i="4"/>
  <c r="V32" i="4"/>
  <c r="V34" i="4"/>
  <c r="V36" i="4"/>
  <c r="V38" i="4"/>
  <c r="V40" i="4"/>
  <c r="V42" i="4"/>
  <c r="V44" i="4"/>
  <c r="V46" i="4"/>
  <c r="V48" i="4"/>
  <c r="V50" i="4"/>
  <c r="V2" i="4"/>
  <c r="V49" i="4"/>
  <c r="V45" i="4"/>
  <c r="V41" i="4"/>
  <c r="V37" i="4"/>
  <c r="V33" i="4"/>
  <c r="V29" i="4"/>
  <c r="V25" i="4"/>
  <c r="V21" i="4"/>
  <c r="V17" i="4"/>
  <c r="V13" i="4"/>
  <c r="V9" i="4"/>
  <c r="V5" i="4"/>
  <c r="M41" i="4"/>
  <c r="M37" i="4"/>
  <c r="M33" i="4"/>
  <c r="M29" i="4"/>
  <c r="M25" i="4"/>
  <c r="M21" i="4"/>
  <c r="M17" i="4"/>
  <c r="M13" i="4"/>
  <c r="M9" i="4"/>
  <c r="BE3" i="4"/>
  <c r="BE5" i="4"/>
  <c r="BE7" i="4"/>
  <c r="BE9" i="4"/>
  <c r="BE11" i="4"/>
  <c r="BE13" i="4"/>
  <c r="BE15" i="4"/>
  <c r="BE17" i="4"/>
  <c r="BE19" i="4"/>
  <c r="BE21" i="4"/>
  <c r="BE23" i="4"/>
  <c r="BE25" i="4"/>
  <c r="BE27" i="4"/>
  <c r="BE29" i="4"/>
  <c r="BE31" i="4"/>
  <c r="BE33" i="4"/>
  <c r="BE35" i="4"/>
  <c r="BE37" i="4"/>
  <c r="BE39" i="4"/>
  <c r="BE41" i="4"/>
  <c r="BE43" i="4"/>
  <c r="BE42" i="4"/>
  <c r="BE38" i="4"/>
  <c r="BE34" i="4"/>
  <c r="BE30" i="4"/>
  <c r="BE26" i="4"/>
  <c r="BE22" i="4"/>
  <c r="BE18" i="4"/>
  <c r="BE14" i="4"/>
  <c r="BE10" i="4"/>
  <c r="BE6" i="4"/>
  <c r="M4" i="4"/>
  <c r="M6" i="4"/>
  <c r="M8" i="4"/>
  <c r="M10" i="4"/>
  <c r="M12" i="4"/>
  <c r="M14" i="4"/>
  <c r="M16" i="4"/>
  <c r="M18" i="4"/>
  <c r="M20" i="4"/>
  <c r="M22" i="4"/>
  <c r="M24" i="4"/>
  <c r="M26" i="4"/>
  <c r="M28" i="4"/>
  <c r="M30" i="4"/>
  <c r="M32" i="4"/>
  <c r="M34" i="4"/>
  <c r="M36" i="4"/>
  <c r="M38" i="4"/>
  <c r="M40" i="4"/>
  <c r="M2" i="4"/>
  <c r="M39" i="4"/>
  <c r="M35" i="4"/>
  <c r="M31" i="4"/>
  <c r="M27" i="4"/>
  <c r="M23" i="4"/>
  <c r="M19" i="4"/>
  <c r="M15" i="4"/>
  <c r="M11" i="4"/>
  <c r="M7" i="4"/>
  <c r="M3" i="4"/>
  <c r="BG2" i="4"/>
  <c r="BG36" i="4"/>
  <c r="BG34" i="4"/>
  <c r="BG32" i="4"/>
  <c r="BG30" i="4"/>
  <c r="BG28" i="4"/>
  <c r="BG26" i="4"/>
  <c r="BG24" i="4"/>
  <c r="BG22" i="4"/>
  <c r="BG20" i="4"/>
  <c r="BG18" i="4"/>
  <c r="BG16" i="4"/>
  <c r="BG14" i="4"/>
  <c r="BG12" i="4"/>
  <c r="BG10" i="4"/>
  <c r="BG8" i="4"/>
  <c r="BG6" i="4"/>
  <c r="BG4" i="4"/>
  <c r="BI2" i="4"/>
  <c r="BI36" i="4"/>
  <c r="BI34" i="4"/>
  <c r="BI32" i="4"/>
  <c r="BI30" i="4"/>
  <c r="BI28" i="4"/>
  <c r="BI26" i="4"/>
  <c r="BI24" i="4"/>
  <c r="BI22" i="4"/>
  <c r="BI20" i="4"/>
  <c r="BI18" i="4"/>
  <c r="BI16" i="4"/>
  <c r="BI14" i="4"/>
  <c r="BI12" i="4"/>
  <c r="BI10" i="4"/>
  <c r="BI8" i="4"/>
  <c r="BI6" i="4"/>
  <c r="BH37" i="4"/>
  <c r="BH35" i="4"/>
  <c r="BH33" i="4"/>
  <c r="BH31" i="4"/>
  <c r="BH29" i="4"/>
  <c r="BH27" i="4"/>
  <c r="BH25" i="4"/>
  <c r="BH23" i="4"/>
  <c r="BH21" i="4"/>
  <c r="BH19" i="4"/>
  <c r="BH17" i="4"/>
  <c r="BH15" i="4"/>
  <c r="BH13" i="4"/>
  <c r="BH11" i="4"/>
  <c r="BH9" i="4"/>
  <c r="BH7" i="4"/>
  <c r="BH5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L50" i="4"/>
  <c r="AK50" i="4"/>
  <c r="AN2" i="4"/>
  <c r="AE2" i="4"/>
  <c r="W2" i="4"/>
  <c r="N2" i="4"/>
  <c r="U52" i="4"/>
  <c r="AD42" i="4"/>
  <c r="AC42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" i="4"/>
  <c r="AE3" i="4"/>
  <c r="T5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L42" i="4"/>
  <c r="O16" i="4" s="1"/>
  <c r="K4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" i="4"/>
  <c r="C23" i="4"/>
  <c r="C24" i="4"/>
  <c r="O40" i="4" l="1"/>
  <c r="O24" i="4"/>
  <c r="O8" i="4"/>
  <c r="O32" i="4"/>
  <c r="N43" i="4"/>
  <c r="Q18" i="4" s="1"/>
  <c r="AW39" i="4"/>
  <c r="AW38" i="4"/>
  <c r="AV3" i="4"/>
  <c r="AV5" i="4"/>
  <c r="AV7" i="4"/>
  <c r="AV9" i="4"/>
  <c r="AV11" i="4"/>
  <c r="AV13" i="4"/>
  <c r="AV15" i="4"/>
  <c r="AV17" i="4"/>
  <c r="AV19" i="4"/>
  <c r="AV21" i="4"/>
  <c r="AV23" i="4"/>
  <c r="AV25" i="4"/>
  <c r="AV27" i="4"/>
  <c r="AV29" i="4"/>
  <c r="AV31" i="4"/>
  <c r="AV33" i="4"/>
  <c r="AV35" i="4"/>
  <c r="AV37" i="4"/>
  <c r="AV2" i="4"/>
  <c r="AV4" i="4"/>
  <c r="AV8" i="4"/>
  <c r="AV12" i="4"/>
  <c r="AV16" i="4"/>
  <c r="AV20" i="4"/>
  <c r="AV24" i="4"/>
  <c r="AV28" i="4"/>
  <c r="AV32" i="4"/>
  <c r="AV36" i="4"/>
  <c r="AV6" i="4"/>
  <c r="AV10" i="4"/>
  <c r="AV14" i="4"/>
  <c r="AV18" i="4"/>
  <c r="AV22" i="4"/>
  <c r="AV26" i="4"/>
  <c r="AV30" i="4"/>
  <c r="AV34" i="4"/>
  <c r="BH8" i="4"/>
  <c r="BH2" i="4"/>
  <c r="BI4" i="4"/>
  <c r="BG3" i="4"/>
  <c r="BG7" i="4"/>
  <c r="BG11" i="4"/>
  <c r="BG15" i="4"/>
  <c r="BG19" i="4"/>
  <c r="BG23" i="4"/>
  <c r="BG27" i="4"/>
  <c r="BG31" i="4"/>
  <c r="BG35" i="4"/>
  <c r="BG5" i="4"/>
  <c r="BG9" i="4"/>
  <c r="BG13" i="4"/>
  <c r="BG17" i="4"/>
  <c r="BG21" i="4"/>
  <c r="BG25" i="4"/>
  <c r="BG29" i="4"/>
  <c r="BG33" i="4"/>
  <c r="BG37" i="4"/>
  <c r="Q24" i="4"/>
  <c r="O2" i="4"/>
  <c r="Q4" i="4"/>
  <c r="Q8" i="4"/>
  <c r="Q12" i="4"/>
  <c r="Q16" i="4"/>
  <c r="Q20" i="4"/>
  <c r="Q41" i="4"/>
  <c r="AF4" i="4"/>
  <c r="AF38" i="4"/>
  <c r="AF34" i="4"/>
  <c r="AF30" i="4"/>
  <c r="AF26" i="4"/>
  <c r="AF22" i="4"/>
  <c r="AF18" i="4"/>
  <c r="AF14" i="4"/>
  <c r="AF10" i="4"/>
  <c r="AH10" i="4"/>
  <c r="AF6" i="4"/>
  <c r="AE43" i="4"/>
  <c r="AH4" i="4" s="1"/>
  <c r="AH2" i="4"/>
  <c r="AN51" i="4"/>
  <c r="AQ2" i="4" s="1"/>
  <c r="AH40" i="4"/>
  <c r="AH38" i="4"/>
  <c r="AH36" i="4"/>
  <c r="AH34" i="4"/>
  <c r="AH32" i="4"/>
  <c r="AH30" i="4"/>
  <c r="AH28" i="4"/>
  <c r="AH26" i="4"/>
  <c r="AH24" i="4"/>
  <c r="AH22" i="4"/>
  <c r="AH20" i="4"/>
  <c r="AH18" i="4"/>
  <c r="AH16" i="4"/>
  <c r="E23" i="4"/>
  <c r="E24" i="4"/>
  <c r="H21" i="4" s="1"/>
  <c r="O6" i="4"/>
  <c r="O41" i="4"/>
  <c r="O36" i="4"/>
  <c r="O28" i="4"/>
  <c r="O20" i="4"/>
  <c r="O12" i="4"/>
  <c r="O4" i="4"/>
  <c r="AF3" i="4"/>
  <c r="AH3" i="4"/>
  <c r="AF41" i="4"/>
  <c r="AF39" i="4"/>
  <c r="AF37" i="4"/>
  <c r="AF35" i="4"/>
  <c r="AF33" i="4"/>
  <c r="AF31" i="4"/>
  <c r="AF29" i="4"/>
  <c r="AF27" i="4"/>
  <c r="AF25" i="4"/>
  <c r="AF23" i="4"/>
  <c r="AF21" i="4"/>
  <c r="AF19" i="4"/>
  <c r="AF17" i="4"/>
  <c r="AF15" i="4"/>
  <c r="AH15" i="4"/>
  <c r="AF13" i="4"/>
  <c r="AH13" i="4"/>
  <c r="AF11" i="4"/>
  <c r="AH11" i="4"/>
  <c r="AF9" i="4"/>
  <c r="AH9" i="4"/>
  <c r="AF7" i="4"/>
  <c r="AH7" i="4"/>
  <c r="AF5" i="4"/>
  <c r="AH5" i="4"/>
  <c r="H3" i="4"/>
  <c r="W53" i="4"/>
  <c r="Z50" i="4" s="1"/>
  <c r="G2" i="4"/>
  <c r="Z2" i="4"/>
  <c r="AF2" i="4"/>
  <c r="Z36" i="4"/>
  <c r="Z32" i="4"/>
  <c r="Z28" i="4"/>
  <c r="Z24" i="4"/>
  <c r="Z20" i="4"/>
  <c r="Z16" i="4"/>
  <c r="Z12" i="4"/>
  <c r="Z8" i="4"/>
  <c r="Z4" i="4"/>
  <c r="AH41" i="4"/>
  <c r="AH39" i="4"/>
  <c r="AH37" i="4"/>
  <c r="AH35" i="4"/>
  <c r="AH33" i="4"/>
  <c r="AH31" i="4"/>
  <c r="AH29" i="4"/>
  <c r="AH27" i="4"/>
  <c r="AH25" i="4"/>
  <c r="AH23" i="4"/>
  <c r="AH21" i="4"/>
  <c r="AH19" i="4"/>
  <c r="AH17" i="4"/>
  <c r="AQ48" i="4"/>
  <c r="AQ46" i="4"/>
  <c r="AQ44" i="4"/>
  <c r="AQ42" i="4"/>
  <c r="AQ40" i="4"/>
  <c r="AQ38" i="4"/>
  <c r="AQ36" i="4"/>
  <c r="AQ34" i="4"/>
  <c r="AQ32" i="4"/>
  <c r="AQ30" i="4"/>
  <c r="AQ28" i="4"/>
  <c r="AQ26" i="4"/>
  <c r="AQ22" i="4"/>
  <c r="AQ20" i="4"/>
  <c r="AQ18" i="4"/>
  <c r="AQ16" i="4"/>
  <c r="AQ14" i="4"/>
  <c r="AQ12" i="4"/>
  <c r="AQ10" i="4"/>
  <c r="AQ8" i="4"/>
  <c r="AQ6" i="4"/>
  <c r="AQ4" i="4"/>
  <c r="AN50" i="4"/>
  <c r="AQ47" i="4"/>
  <c r="AQ43" i="4"/>
  <c r="AQ39" i="4"/>
  <c r="AQ35" i="4"/>
  <c r="AQ31" i="4"/>
  <c r="AQ27" i="4"/>
  <c r="AQ23" i="4"/>
  <c r="AQ19" i="4"/>
  <c r="AQ15" i="4"/>
  <c r="AQ11" i="4"/>
  <c r="AQ7" i="4"/>
  <c r="AQ3" i="4"/>
  <c r="AQ24" i="4"/>
  <c r="AZ7" i="4"/>
  <c r="AZ6" i="4"/>
  <c r="AZ5" i="4"/>
  <c r="AZ4" i="4"/>
  <c r="AZ3" i="4"/>
  <c r="AZ2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Y6" i="4"/>
  <c r="Q21" i="4"/>
  <c r="Q19" i="4"/>
  <c r="Q17" i="4"/>
  <c r="Q15" i="4"/>
  <c r="Q13" i="4"/>
  <c r="Q11" i="4"/>
  <c r="Q9" i="4"/>
  <c r="Q7" i="4"/>
  <c r="Q5" i="4"/>
  <c r="Q3" i="4"/>
  <c r="Q40" i="4"/>
  <c r="Q38" i="4"/>
  <c r="Q36" i="4"/>
  <c r="Q34" i="4"/>
  <c r="Q32" i="4"/>
  <c r="Q30" i="4"/>
  <c r="Q28" i="4"/>
  <c r="Q26" i="4"/>
  <c r="AF40" i="4"/>
  <c r="AF36" i="4"/>
  <c r="AF32" i="4"/>
  <c r="AF28" i="4"/>
  <c r="AF24" i="4"/>
  <c r="AF20" i="4"/>
  <c r="AF16" i="4"/>
  <c r="AF12" i="4"/>
  <c r="AF8" i="4"/>
  <c r="F3" i="4"/>
  <c r="F7" i="4"/>
  <c r="F11" i="4"/>
  <c r="F15" i="4"/>
  <c r="F19" i="4"/>
  <c r="F2" i="4"/>
  <c r="F6" i="4"/>
  <c r="F10" i="4"/>
  <c r="F14" i="4"/>
  <c r="F18" i="4"/>
  <c r="F22" i="4"/>
  <c r="N42" i="4"/>
  <c r="P36" i="4" s="1"/>
  <c r="AE42" i="4"/>
  <c r="O38" i="4"/>
  <c r="O34" i="4"/>
  <c r="O30" i="4"/>
  <c r="O26" i="4"/>
  <c r="O22" i="4"/>
  <c r="O18" i="4"/>
  <c r="O14" i="4"/>
  <c r="O10" i="4"/>
  <c r="O39" i="4"/>
  <c r="O37" i="4"/>
  <c r="W52" i="4"/>
  <c r="Y50" i="4" s="1"/>
  <c r="O35" i="4"/>
  <c r="O33" i="4"/>
  <c r="O31" i="4"/>
  <c r="O29" i="4"/>
  <c r="O27" i="4"/>
  <c r="O25" i="4"/>
  <c r="O23" i="4"/>
  <c r="O21" i="4"/>
  <c r="O19" i="4"/>
  <c r="O17" i="4"/>
  <c r="O15" i="4"/>
  <c r="O13" i="4"/>
  <c r="O11" i="4"/>
  <c r="O9" i="4"/>
  <c r="O7" i="4"/>
  <c r="O5" i="4"/>
  <c r="O3" i="4"/>
  <c r="P35" i="4"/>
  <c r="P31" i="4"/>
  <c r="P27" i="4"/>
  <c r="P23" i="4"/>
  <c r="P19" i="4"/>
  <c r="P15" i="4"/>
  <c r="P11" i="4"/>
  <c r="P7" i="4"/>
  <c r="P3" i="4"/>
  <c r="P37" i="4" l="1"/>
  <c r="P39" i="4"/>
  <c r="Z52" i="4"/>
  <c r="Z40" i="4"/>
  <c r="Z44" i="4"/>
  <c r="Z48" i="4"/>
  <c r="Z5" i="4"/>
  <c r="Z13" i="4"/>
  <c r="Z21" i="4"/>
  <c r="Z29" i="4"/>
  <c r="Z37" i="4"/>
  <c r="Z45" i="4"/>
  <c r="Z10" i="4"/>
  <c r="Z26" i="4"/>
  <c r="Z42" i="4"/>
  <c r="Y6" i="4"/>
  <c r="Y14" i="4"/>
  <c r="Y22" i="4"/>
  <c r="Y30" i="4"/>
  <c r="Y38" i="4"/>
  <c r="Y46" i="4"/>
  <c r="Z51" i="4"/>
  <c r="Q25" i="4"/>
  <c r="Q29" i="4"/>
  <c r="Q33" i="4"/>
  <c r="Q37" i="4"/>
  <c r="Q6" i="4"/>
  <c r="Q14" i="4"/>
  <c r="Q22" i="4"/>
  <c r="Y3" i="4"/>
  <c r="Y7" i="4"/>
  <c r="Y11" i="4"/>
  <c r="Y15" i="4"/>
  <c r="Y19" i="4"/>
  <c r="Y23" i="4"/>
  <c r="Y27" i="4"/>
  <c r="Y31" i="4"/>
  <c r="Y35" i="4"/>
  <c r="Y39" i="4"/>
  <c r="Y43" i="4"/>
  <c r="Y47" i="4"/>
  <c r="Y2" i="4"/>
  <c r="Z9" i="4"/>
  <c r="Z17" i="4"/>
  <c r="Z25" i="4"/>
  <c r="Z33" i="4"/>
  <c r="Z41" i="4"/>
  <c r="Z49" i="4"/>
  <c r="Z18" i="4"/>
  <c r="Z34" i="4"/>
  <c r="AO3" i="4"/>
  <c r="AO5" i="4"/>
  <c r="AO7" i="4"/>
  <c r="AO9" i="4"/>
  <c r="AO11" i="4"/>
  <c r="AO13" i="4"/>
  <c r="AO15" i="4"/>
  <c r="AO17" i="4"/>
  <c r="AO4" i="4"/>
  <c r="AO6" i="4"/>
  <c r="AO8" i="4"/>
  <c r="AO10" i="4"/>
  <c r="AO12" i="4"/>
  <c r="AO14" i="4"/>
  <c r="AO16" i="4"/>
  <c r="AO18" i="4"/>
  <c r="AO19" i="4"/>
  <c r="AO21" i="4"/>
  <c r="AO23" i="4"/>
  <c r="AO25" i="4"/>
  <c r="AO27" i="4"/>
  <c r="AO29" i="4"/>
  <c r="AO31" i="4"/>
  <c r="AO33" i="4"/>
  <c r="AO35" i="4"/>
  <c r="AO37" i="4"/>
  <c r="AO39" i="4"/>
  <c r="AO41" i="4"/>
  <c r="AO43" i="4"/>
  <c r="AO45" i="4"/>
  <c r="AO47" i="4"/>
  <c r="AO49" i="4"/>
  <c r="AO20" i="4"/>
  <c r="AO22" i="4"/>
  <c r="AO24" i="4"/>
  <c r="AO26" i="4"/>
  <c r="AO28" i="4"/>
  <c r="AO30" i="4"/>
  <c r="AO32" i="4"/>
  <c r="AO34" i="4"/>
  <c r="AO36" i="4"/>
  <c r="AO38" i="4"/>
  <c r="AO40" i="4"/>
  <c r="AO42" i="4"/>
  <c r="AO44" i="4"/>
  <c r="AO46" i="4"/>
  <c r="AO48" i="4"/>
  <c r="AO2" i="4"/>
  <c r="AH8" i="4"/>
  <c r="Y10" i="4"/>
  <c r="Y18" i="4"/>
  <c r="Y26" i="4"/>
  <c r="Y34" i="4"/>
  <c r="Y42" i="4"/>
  <c r="AX3" i="4"/>
  <c r="AX5" i="4"/>
  <c r="AX7" i="4"/>
  <c r="AX9" i="4"/>
  <c r="AX11" i="4"/>
  <c r="AX13" i="4"/>
  <c r="AX15" i="4"/>
  <c r="AX17" i="4"/>
  <c r="AX19" i="4"/>
  <c r="AX21" i="4"/>
  <c r="AX23" i="4"/>
  <c r="AX25" i="4"/>
  <c r="AX27" i="4"/>
  <c r="AX29" i="4"/>
  <c r="AX31" i="4"/>
  <c r="AX33" i="4"/>
  <c r="AX35" i="4"/>
  <c r="AX37" i="4"/>
  <c r="AX4" i="4"/>
  <c r="AX6" i="4"/>
  <c r="AX8" i="4"/>
  <c r="AX10" i="4"/>
  <c r="AX12" i="4"/>
  <c r="AX14" i="4"/>
  <c r="AX16" i="4"/>
  <c r="AX18" i="4"/>
  <c r="AX20" i="4"/>
  <c r="AX22" i="4"/>
  <c r="AX24" i="4"/>
  <c r="AX26" i="4"/>
  <c r="AX28" i="4"/>
  <c r="AX30" i="4"/>
  <c r="AX32" i="4"/>
  <c r="AX34" i="4"/>
  <c r="AX36" i="4"/>
  <c r="AX2" i="4"/>
  <c r="Q23" i="4"/>
  <c r="Q27" i="4"/>
  <c r="Q31" i="4"/>
  <c r="Q35" i="4"/>
  <c r="Q39" i="4"/>
  <c r="Q2" i="4"/>
  <c r="Q10" i="4"/>
  <c r="AG5" i="4"/>
  <c r="AG9" i="4"/>
  <c r="AG13" i="4"/>
  <c r="AP2" i="4"/>
  <c r="AP6" i="4"/>
  <c r="AP10" i="4"/>
  <c r="AP14" i="4"/>
  <c r="AP18" i="4"/>
  <c r="AP22" i="4"/>
  <c r="AP26" i="4"/>
  <c r="AP30" i="4"/>
  <c r="AP34" i="4"/>
  <c r="AP38" i="4"/>
  <c r="AP42" i="4"/>
  <c r="AP46" i="4"/>
  <c r="AP4" i="4"/>
  <c r="AP12" i="4"/>
  <c r="AP20" i="4"/>
  <c r="AP28" i="4"/>
  <c r="AP36" i="4"/>
  <c r="AP44" i="4"/>
  <c r="AP8" i="4"/>
  <c r="AP16" i="4"/>
  <c r="AP24" i="4"/>
  <c r="AP32" i="4"/>
  <c r="AP40" i="4"/>
  <c r="AP48" i="4"/>
  <c r="AP7" i="4"/>
  <c r="AP11" i="4"/>
  <c r="AP15" i="4"/>
  <c r="AP19" i="4"/>
  <c r="AP23" i="4"/>
  <c r="AP27" i="4"/>
  <c r="AP31" i="4"/>
  <c r="AP35" i="4"/>
  <c r="AP39" i="4"/>
  <c r="AP43" i="4"/>
  <c r="AP47" i="4"/>
  <c r="AG3" i="4"/>
  <c r="AG11" i="4"/>
  <c r="G3" i="4"/>
  <c r="G5" i="4"/>
  <c r="G7" i="4"/>
  <c r="G9" i="4"/>
  <c r="G11" i="4"/>
  <c r="G13" i="4"/>
  <c r="G15" i="4"/>
  <c r="G17" i="4"/>
  <c r="G19" i="4"/>
  <c r="G21" i="4"/>
  <c r="AG2" i="4"/>
  <c r="H4" i="4"/>
  <c r="H8" i="4"/>
  <c r="H12" i="4"/>
  <c r="H16" i="4"/>
  <c r="H20" i="4"/>
  <c r="AG6" i="4"/>
  <c r="AG12" i="4"/>
  <c r="AG14" i="4"/>
  <c r="AG18" i="4"/>
  <c r="AG20" i="4"/>
  <c r="AG26" i="4"/>
  <c r="AG28" i="4"/>
  <c r="AG34" i="4"/>
  <c r="AG36" i="4"/>
  <c r="AG4" i="4"/>
  <c r="H7" i="4"/>
  <c r="H11" i="4"/>
  <c r="H15" i="4"/>
  <c r="H19" i="4"/>
  <c r="G6" i="4"/>
  <c r="G10" i="4"/>
  <c r="G14" i="4"/>
  <c r="G18" i="4"/>
  <c r="G22" i="4"/>
  <c r="Y51" i="4"/>
  <c r="Y5" i="4"/>
  <c r="Y9" i="4"/>
  <c r="Y13" i="4"/>
  <c r="Y17" i="4"/>
  <c r="Y21" i="4"/>
  <c r="Y25" i="4"/>
  <c r="Y29" i="4"/>
  <c r="Y33" i="4"/>
  <c r="Y37" i="4"/>
  <c r="Y41" i="4"/>
  <c r="Y45" i="4"/>
  <c r="Y49" i="4"/>
  <c r="F20" i="4"/>
  <c r="F16" i="4"/>
  <c r="F12" i="4"/>
  <c r="F8" i="4"/>
  <c r="F4" i="4"/>
  <c r="F21" i="4"/>
  <c r="F17" i="4"/>
  <c r="F13" i="4"/>
  <c r="F9" i="4"/>
  <c r="F5" i="4"/>
  <c r="AP3" i="4"/>
  <c r="AP5" i="4"/>
  <c r="AP9" i="4"/>
  <c r="AP13" i="4"/>
  <c r="AP17" i="4"/>
  <c r="AP21" i="4"/>
  <c r="AP25" i="4"/>
  <c r="AP29" i="4"/>
  <c r="AP33" i="4"/>
  <c r="AP37" i="4"/>
  <c r="AP41" i="4"/>
  <c r="AP45" i="4"/>
  <c r="AP49" i="4"/>
  <c r="AG7" i="4"/>
  <c r="AG15" i="4"/>
  <c r="P41" i="4"/>
  <c r="X3" i="4"/>
  <c r="X5" i="4"/>
  <c r="X7" i="4"/>
  <c r="X9" i="4"/>
  <c r="X11" i="4"/>
  <c r="X13" i="4"/>
  <c r="X15" i="4"/>
  <c r="X17" i="4"/>
  <c r="X19" i="4"/>
  <c r="X21" i="4"/>
  <c r="X23" i="4"/>
  <c r="X25" i="4"/>
  <c r="X27" i="4"/>
  <c r="X29" i="4"/>
  <c r="X31" i="4"/>
  <c r="X33" i="4"/>
  <c r="X35" i="4"/>
  <c r="X37" i="4"/>
  <c r="X39" i="4"/>
  <c r="X41" i="4"/>
  <c r="X43" i="4"/>
  <c r="X45" i="4"/>
  <c r="X47" i="4"/>
  <c r="X49" i="4"/>
  <c r="X51" i="4"/>
  <c r="X2" i="4"/>
  <c r="X6" i="4"/>
  <c r="X10" i="4"/>
  <c r="X14" i="4"/>
  <c r="X18" i="4"/>
  <c r="X22" i="4"/>
  <c r="X26" i="4"/>
  <c r="X30" i="4"/>
  <c r="X34" i="4"/>
  <c r="X38" i="4"/>
  <c r="X42" i="4"/>
  <c r="X46" i="4"/>
  <c r="X50" i="4"/>
  <c r="X4" i="4"/>
  <c r="X8" i="4"/>
  <c r="X12" i="4"/>
  <c r="X16" i="4"/>
  <c r="X20" i="4"/>
  <c r="X24" i="4"/>
  <c r="X28" i="4"/>
  <c r="X32" i="4"/>
  <c r="X36" i="4"/>
  <c r="X40" i="4"/>
  <c r="X44" i="4"/>
  <c r="X48" i="4"/>
  <c r="AG17" i="4"/>
  <c r="AG19" i="4"/>
  <c r="AG21" i="4"/>
  <c r="AG23" i="4"/>
  <c r="AG25" i="4"/>
  <c r="AG27" i="4"/>
  <c r="AG29" i="4"/>
  <c r="AG31" i="4"/>
  <c r="AG33" i="4"/>
  <c r="AG35" i="4"/>
  <c r="AG37" i="4"/>
  <c r="AG39" i="4"/>
  <c r="AG41" i="4"/>
  <c r="Z3" i="4"/>
  <c r="Z7" i="4"/>
  <c r="Z11" i="4"/>
  <c r="Z15" i="4"/>
  <c r="Z19" i="4"/>
  <c r="Z23" i="4"/>
  <c r="Z27" i="4"/>
  <c r="Z31" i="4"/>
  <c r="Z35" i="4"/>
  <c r="Z39" i="4"/>
  <c r="Z43" i="4"/>
  <c r="Z47" i="4"/>
  <c r="H2" i="4"/>
  <c r="Z6" i="4"/>
  <c r="Z14" i="4"/>
  <c r="Z22" i="4"/>
  <c r="Z30" i="4"/>
  <c r="Z38" i="4"/>
  <c r="Z46" i="4"/>
  <c r="P2" i="4"/>
  <c r="AQ9" i="4"/>
  <c r="AQ17" i="4"/>
  <c r="AQ25" i="4"/>
  <c r="AQ33" i="4"/>
  <c r="AQ41" i="4"/>
  <c r="AQ49" i="4"/>
  <c r="AQ5" i="4"/>
  <c r="AQ13" i="4"/>
  <c r="AQ21" i="4"/>
  <c r="AQ29" i="4"/>
  <c r="AQ37" i="4"/>
  <c r="AQ45" i="4"/>
  <c r="H6" i="4"/>
  <c r="H10" i="4"/>
  <c r="H14" i="4"/>
  <c r="H18" i="4"/>
  <c r="H22" i="4"/>
  <c r="AH6" i="4"/>
  <c r="AG8" i="4"/>
  <c r="AG10" i="4"/>
  <c r="AH12" i="4"/>
  <c r="AH14" i="4"/>
  <c r="AG16" i="4"/>
  <c r="AG22" i="4"/>
  <c r="AG24" i="4"/>
  <c r="AG30" i="4"/>
  <c r="AG32" i="4"/>
  <c r="AG38" i="4"/>
  <c r="AG40" i="4"/>
  <c r="Y4" i="4"/>
  <c r="Y8" i="4"/>
  <c r="Y12" i="4"/>
  <c r="Y16" i="4"/>
  <c r="Y20" i="4"/>
  <c r="Y24" i="4"/>
  <c r="Y28" i="4"/>
  <c r="Y32" i="4"/>
  <c r="Y36" i="4"/>
  <c r="Y40" i="4"/>
  <c r="Y44" i="4"/>
  <c r="Y48" i="4"/>
  <c r="H5" i="4"/>
  <c r="H9" i="4"/>
  <c r="H13" i="4"/>
  <c r="H17" i="4"/>
  <c r="G4" i="4"/>
  <c r="G8" i="4"/>
  <c r="G12" i="4"/>
  <c r="G16" i="4"/>
  <c r="G20" i="4"/>
  <c r="AY5" i="4"/>
  <c r="AY2" i="4"/>
  <c r="AY37" i="4"/>
  <c r="AY36" i="4"/>
  <c r="AY35" i="4"/>
  <c r="AY34" i="4"/>
  <c r="AY33" i="4"/>
  <c r="AY32" i="4"/>
  <c r="AY31" i="4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6" i="4"/>
  <c r="AY15" i="4"/>
  <c r="AY14" i="4"/>
  <c r="AY13" i="4"/>
  <c r="AY12" i="4"/>
  <c r="AY11" i="4"/>
  <c r="AY10" i="4"/>
  <c r="AY9" i="4"/>
  <c r="AY8" i="4"/>
  <c r="AY7" i="4"/>
  <c r="AY3" i="4"/>
  <c r="AY4" i="4"/>
  <c r="P8" i="4"/>
  <c r="P16" i="4"/>
  <c r="P24" i="4"/>
  <c r="P32" i="4"/>
  <c r="P40" i="4"/>
  <c r="P5" i="4"/>
  <c r="P9" i="4"/>
  <c r="P13" i="4"/>
  <c r="P17" i="4"/>
  <c r="P21" i="4"/>
  <c r="P25" i="4"/>
  <c r="P29" i="4"/>
  <c r="P33" i="4"/>
  <c r="P4" i="4"/>
  <c r="P12" i="4"/>
  <c r="P20" i="4"/>
  <c r="P28" i="4"/>
  <c r="P6" i="4"/>
  <c r="P10" i="4"/>
  <c r="P14" i="4"/>
  <c r="P18" i="4"/>
  <c r="P22" i="4"/>
  <c r="P26" i="4"/>
  <c r="P30" i="4"/>
  <c r="P34" i="4"/>
  <c r="P38" i="4"/>
  <c r="BK697" i="1"/>
  <c r="AW565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2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2" i="1"/>
  <c r="U4" i="1"/>
  <c r="U3" i="1"/>
  <c r="U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6" i="1"/>
  <c r="U5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E415" i="1" s="1"/>
  <c r="D416" i="1"/>
  <c r="D417" i="1"/>
  <c r="D418" i="1"/>
  <c r="D3" i="1"/>
  <c r="E3" i="1" s="1"/>
  <c r="D2" i="1"/>
  <c r="E13" i="1" l="1"/>
  <c r="E412" i="1"/>
  <c r="E410" i="1"/>
  <c r="E408" i="1"/>
  <c r="E406" i="1"/>
  <c r="E404" i="1"/>
  <c r="E402" i="1"/>
  <c r="E400" i="1"/>
  <c r="E398" i="1"/>
  <c r="E396" i="1"/>
  <c r="E394" i="1"/>
  <c r="E392" i="1"/>
  <c r="E390" i="1"/>
  <c r="E388" i="1"/>
  <c r="E386" i="1"/>
  <c r="E384" i="1"/>
  <c r="E382" i="1"/>
  <c r="E380" i="1"/>
  <c r="E378" i="1"/>
  <c r="E376" i="1"/>
  <c r="E374" i="1"/>
  <c r="E372" i="1"/>
  <c r="E370" i="1"/>
  <c r="E368" i="1"/>
  <c r="E366" i="1"/>
  <c r="E364" i="1"/>
  <c r="E362" i="1"/>
  <c r="E360" i="1"/>
  <c r="E358" i="1"/>
  <c r="E356" i="1"/>
  <c r="E354" i="1"/>
  <c r="E352" i="1"/>
  <c r="E350" i="1"/>
  <c r="E348" i="1"/>
  <c r="E346" i="1"/>
  <c r="E344" i="1"/>
  <c r="E342" i="1"/>
  <c r="E340" i="1"/>
  <c r="E338" i="1"/>
  <c r="E336" i="1"/>
  <c r="E334" i="1"/>
  <c r="E332" i="1"/>
  <c r="E330" i="1"/>
  <c r="E328" i="1"/>
  <c r="E326" i="1"/>
  <c r="E324" i="1"/>
  <c r="E322" i="1"/>
  <c r="E320" i="1"/>
  <c r="E318" i="1"/>
  <c r="E316" i="1"/>
  <c r="E314" i="1"/>
  <c r="E312" i="1"/>
  <c r="E310" i="1"/>
  <c r="E308" i="1"/>
  <c r="E306" i="1"/>
  <c r="E304" i="1"/>
  <c r="E302" i="1"/>
  <c r="E300" i="1"/>
  <c r="E298" i="1"/>
  <c r="E296" i="1"/>
  <c r="E294" i="1"/>
  <c r="E292" i="1"/>
  <c r="E290" i="1"/>
  <c r="E288" i="1"/>
  <c r="E286" i="1"/>
  <c r="E284" i="1"/>
  <c r="E282" i="1"/>
  <c r="E280" i="1"/>
  <c r="E278" i="1"/>
  <c r="E276" i="1"/>
  <c r="E274" i="1"/>
  <c r="E272" i="1"/>
  <c r="E270" i="1"/>
  <c r="E268" i="1"/>
  <c r="E266" i="1"/>
  <c r="E264" i="1"/>
  <c r="E262" i="1"/>
  <c r="E260" i="1"/>
  <c r="E258" i="1"/>
  <c r="E256" i="1"/>
  <c r="E254" i="1"/>
  <c r="E252" i="1"/>
  <c r="E250" i="1"/>
  <c r="E248" i="1"/>
  <c r="E246" i="1"/>
  <c r="E244" i="1"/>
  <c r="E242" i="1"/>
  <c r="E240" i="1"/>
  <c r="E238" i="1"/>
  <c r="E236" i="1"/>
  <c r="E234" i="1"/>
  <c r="E232" i="1"/>
  <c r="E230" i="1"/>
  <c r="E228" i="1"/>
  <c r="E226" i="1"/>
  <c r="E224" i="1"/>
  <c r="E222" i="1"/>
  <c r="E220" i="1"/>
  <c r="E218" i="1"/>
  <c r="E216" i="1"/>
  <c r="E214" i="1"/>
  <c r="E212" i="1"/>
  <c r="E210" i="1"/>
  <c r="E208" i="1"/>
  <c r="E206" i="1"/>
  <c r="E204" i="1"/>
  <c r="E202" i="1"/>
  <c r="E200" i="1"/>
  <c r="E198" i="1"/>
  <c r="E196" i="1"/>
  <c r="E194" i="1"/>
  <c r="E192" i="1"/>
  <c r="E190" i="1"/>
  <c r="E188" i="1"/>
  <c r="E186" i="1"/>
  <c r="E184" i="1"/>
  <c r="E182" i="1"/>
  <c r="E180" i="1"/>
  <c r="E178" i="1"/>
  <c r="E176" i="1"/>
  <c r="E174" i="1"/>
  <c r="E172" i="1"/>
  <c r="E170" i="1"/>
  <c r="E168" i="1"/>
  <c r="E166" i="1"/>
  <c r="E164" i="1"/>
  <c r="E162" i="1"/>
  <c r="E160" i="1"/>
  <c r="E158" i="1"/>
  <c r="E156" i="1"/>
  <c r="E154" i="1"/>
  <c r="E152" i="1"/>
  <c r="E150" i="1"/>
  <c r="E148" i="1"/>
  <c r="E146" i="1"/>
  <c r="E144" i="1"/>
  <c r="E142" i="1"/>
  <c r="E140" i="1"/>
  <c r="E138" i="1"/>
  <c r="E136" i="1"/>
  <c r="E134" i="1"/>
  <c r="E132" i="1"/>
  <c r="E130" i="1"/>
  <c r="E128" i="1"/>
  <c r="E126" i="1"/>
  <c r="E124" i="1"/>
  <c r="E122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E96" i="1"/>
  <c r="E94" i="1"/>
  <c r="E92" i="1"/>
  <c r="E90" i="1"/>
  <c r="E88" i="1"/>
  <c r="E86" i="1"/>
  <c r="E84" i="1"/>
  <c r="E82" i="1"/>
  <c r="E80" i="1"/>
  <c r="E78" i="1"/>
  <c r="E76" i="1"/>
  <c r="E74" i="1"/>
  <c r="E7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418" i="1"/>
  <c r="E416" i="1"/>
  <c r="E414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43" i="1"/>
  <c r="E339" i="1"/>
  <c r="E335" i="1"/>
  <c r="E331" i="1"/>
  <c r="E327" i="1"/>
  <c r="E323" i="1"/>
  <c r="E319" i="1"/>
  <c r="E315" i="1"/>
  <c r="E311" i="1"/>
  <c r="E307" i="1"/>
  <c r="E303" i="1"/>
  <c r="E299" i="1"/>
  <c r="E295" i="1"/>
  <c r="E291" i="1"/>
  <c r="E287" i="1"/>
  <c r="E283" i="1"/>
  <c r="E279" i="1"/>
  <c r="E275" i="1"/>
  <c r="E271" i="1"/>
  <c r="E267" i="1"/>
  <c r="E263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11" i="1"/>
  <c r="E9" i="1"/>
  <c r="E7" i="1"/>
  <c r="E5" i="1"/>
  <c r="E417" i="1"/>
  <c r="E413" i="1"/>
  <c r="E409" i="1"/>
  <c r="E405" i="1"/>
  <c r="E401" i="1"/>
  <c r="E397" i="1"/>
  <c r="E393" i="1"/>
  <c r="E389" i="1"/>
  <c r="E385" i="1"/>
  <c r="E381" i="1"/>
  <c r="E377" i="1"/>
  <c r="E373" i="1"/>
  <c r="E369" i="1"/>
  <c r="E365" i="1"/>
  <c r="E361" i="1"/>
  <c r="E357" i="1"/>
  <c r="E353" i="1"/>
  <c r="E349" i="1"/>
  <c r="E345" i="1"/>
  <c r="E341" i="1"/>
  <c r="E337" i="1"/>
  <c r="E333" i="1"/>
  <c r="E329" i="1"/>
  <c r="E325" i="1"/>
  <c r="E321" i="1"/>
  <c r="E317" i="1"/>
  <c r="E313" i="1"/>
  <c r="E309" i="1"/>
  <c r="E305" i="1"/>
  <c r="E301" i="1"/>
  <c r="E297" i="1"/>
  <c r="E293" i="1"/>
  <c r="E289" i="1"/>
  <c r="E285" i="1"/>
  <c r="E281" i="1"/>
  <c r="E277" i="1"/>
  <c r="E273" i="1"/>
  <c r="E269" i="1"/>
  <c r="E265" i="1"/>
  <c r="E261" i="1"/>
  <c r="E257" i="1"/>
  <c r="E253" i="1"/>
  <c r="E249" i="1"/>
  <c r="E245" i="1"/>
  <c r="E241" i="1"/>
  <c r="E237" i="1"/>
  <c r="E233" i="1"/>
  <c r="E229" i="1"/>
  <c r="E225" i="1"/>
  <c r="E221" i="1"/>
  <c r="E217" i="1"/>
  <c r="E213" i="1"/>
  <c r="E209" i="1"/>
  <c r="E205" i="1"/>
  <c r="E201" i="1"/>
  <c r="E197" i="1"/>
  <c r="E193" i="1"/>
  <c r="E189" i="1"/>
  <c r="E185" i="1"/>
  <c r="E181" i="1"/>
  <c r="E177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2" i="1"/>
  <c r="E10" i="1"/>
  <c r="E8" i="1"/>
  <c r="E6" i="1"/>
  <c r="E4" i="1"/>
</calcChain>
</file>

<file path=xl/sharedStrings.xml><?xml version="1.0" encoding="utf-8"?>
<sst xmlns="http://schemas.openxmlformats.org/spreadsheetml/2006/main" count="1040" uniqueCount="21">
  <si>
    <t>LF&gt;</t>
  </si>
  <si>
    <t>Ing. Hernández</t>
  </si>
  <si>
    <t>m_sub</t>
  </si>
  <si>
    <t>142/97  99</t>
  </si>
  <si>
    <t>121/88  83</t>
  </si>
  <si>
    <t>100/69 84</t>
  </si>
  <si>
    <t xml:space="preserve">  </t>
  </si>
  <si>
    <t>area</t>
  </si>
  <si>
    <t>area-area_P</t>
  </si>
  <si>
    <t>%_del area max</t>
  </si>
  <si>
    <t>%_des</t>
  </si>
  <si>
    <t>104/70</t>
  </si>
  <si>
    <t>107/71 64</t>
  </si>
  <si>
    <t>92/65  56</t>
  </si>
  <si>
    <t>98/66 59</t>
  </si>
  <si>
    <t xml:space="preserve">frec in </t>
  </si>
  <si>
    <t xml:space="preserve">prescaler </t>
  </si>
  <si>
    <t>fout</t>
  </si>
  <si>
    <t>contador</t>
  </si>
  <si>
    <t>top</t>
  </si>
  <si>
    <t>fre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</si>
</sst>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9" fontId="0" fillId="0" borderId="0" xfId="1" applyFont="1"/>
    <xf numFmtId="0" fontId="0" fillId="5" borderId="0" xfId="0" applyFill="1"/>
    <xf numFmtId="164" fontId="0" fillId="6" borderId="0" xfId="0" applyNumberFormat="1" applyFill="1"/>
    <xf numFmtId="164" fontId="0" fillId="0" borderId="0" xfId="1" applyNumberFormat="1" applyFont="1"/>
    <xf numFmtId="164" fontId="0" fillId="5" borderId="0" xfId="1" applyNumberFormat="1" applyFont="1" applyFill="1"/>
    <xf numFmtId="164" fontId="0" fillId="5" borderId="0" xfId="0" applyNumberFormat="1" applyFill="1"/>
    <xf numFmtId="164" fontId="0" fillId="7" borderId="0" xfId="0" applyNumberFormat="1" applyFill="1"/>
    <xf numFmtId="9" fontId="0" fillId="6" borderId="0" xfId="1" applyFont="1" applyFill="1"/>
    <xf numFmtId="164" fontId="0" fillId="8" borderId="0" xfId="0" applyNumberFormat="1" applyFill="1"/>
    <xf numFmtId="9" fontId="0" fillId="8" borderId="0" xfId="1" applyFont="1" applyFill="1"/>
    <xf numFmtId="164" fontId="0" fillId="0" borderId="0" xfId="0" applyNumberFormat="1" applyFill="1"/>
    <xf numFmtId="9" fontId="0" fillId="4" borderId="0" xfId="1" applyFont="1" applyFill="1"/>
    <xf numFmtId="0" fontId="2" fillId="0" borderId="0" xfId="0" applyFont="1"/>
    <xf numFmtId="165" fontId="0" fillId="0" borderId="0" xfId="0" applyNumberFormat="1"/>
    <xf numFmtId="0" fontId="4" fillId="0" borderId="0" xfId="0" applyFont="1"/>
    <xf numFmtId="0" fontId="3" fillId="0" borderId="0" xfId="0" applyFont="1"/>
    <xf numFmtId="2" fontId="0" fillId="2" borderId="0" xfId="0" applyNumberFormat="1" applyFill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FFF"/>
      <color rgb="FF7055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Tonatiuh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yVal>
            <c:numRef>
              <c:f>Hoja1!$B$1:$B$418</c:f>
              <c:numCache>
                <c:formatCode>General</c:formatCode>
                <c:ptCount val="418"/>
                <c:pt idx="0">
                  <c:v>150.26</c:v>
                </c:pt>
                <c:pt idx="1">
                  <c:v>151.34</c:v>
                </c:pt>
                <c:pt idx="2">
                  <c:v>152.27000000000001</c:v>
                </c:pt>
                <c:pt idx="3">
                  <c:v>153.5</c:v>
                </c:pt>
                <c:pt idx="4">
                  <c:v>154.47</c:v>
                </c:pt>
                <c:pt idx="5">
                  <c:v>155.59</c:v>
                </c:pt>
                <c:pt idx="6">
                  <c:v>156.78</c:v>
                </c:pt>
                <c:pt idx="7">
                  <c:v>157.47999999999999</c:v>
                </c:pt>
                <c:pt idx="8">
                  <c:v>158.6</c:v>
                </c:pt>
                <c:pt idx="9">
                  <c:v>159.53</c:v>
                </c:pt>
                <c:pt idx="10">
                  <c:v>160.49</c:v>
                </c:pt>
                <c:pt idx="11">
                  <c:v>161.5</c:v>
                </c:pt>
                <c:pt idx="12">
                  <c:v>162.31</c:v>
                </c:pt>
                <c:pt idx="13">
                  <c:v>163</c:v>
                </c:pt>
                <c:pt idx="14">
                  <c:v>162.77000000000001</c:v>
                </c:pt>
                <c:pt idx="15">
                  <c:v>161.57</c:v>
                </c:pt>
                <c:pt idx="16">
                  <c:v>160.61000000000001</c:v>
                </c:pt>
                <c:pt idx="17">
                  <c:v>159.63999999999999</c:v>
                </c:pt>
                <c:pt idx="18">
                  <c:v>158.83000000000001</c:v>
                </c:pt>
                <c:pt idx="19">
                  <c:v>158.02000000000001</c:v>
                </c:pt>
                <c:pt idx="20">
                  <c:v>157.16999999999999</c:v>
                </c:pt>
                <c:pt idx="21">
                  <c:v>156.44</c:v>
                </c:pt>
                <c:pt idx="22">
                  <c:v>155.69999999999999</c:v>
                </c:pt>
                <c:pt idx="23">
                  <c:v>154.97</c:v>
                </c:pt>
                <c:pt idx="24">
                  <c:v>154.27000000000001</c:v>
                </c:pt>
                <c:pt idx="25">
                  <c:v>153.69999999999999</c:v>
                </c:pt>
                <c:pt idx="26">
                  <c:v>153.22999999999999</c:v>
                </c:pt>
                <c:pt idx="27">
                  <c:v>152.41999999999999</c:v>
                </c:pt>
                <c:pt idx="28">
                  <c:v>151.72999999999999</c:v>
                </c:pt>
                <c:pt idx="29">
                  <c:v>150.99</c:v>
                </c:pt>
                <c:pt idx="30">
                  <c:v>150.37</c:v>
                </c:pt>
                <c:pt idx="31">
                  <c:v>149.72</c:v>
                </c:pt>
                <c:pt idx="32">
                  <c:v>149.1</c:v>
                </c:pt>
                <c:pt idx="33">
                  <c:v>148.44</c:v>
                </c:pt>
                <c:pt idx="34">
                  <c:v>147.83000000000001</c:v>
                </c:pt>
                <c:pt idx="35">
                  <c:v>147.16999999999999</c:v>
                </c:pt>
                <c:pt idx="36">
                  <c:v>146.55000000000001</c:v>
                </c:pt>
                <c:pt idx="37">
                  <c:v>145.93</c:v>
                </c:pt>
                <c:pt idx="38">
                  <c:v>145.35</c:v>
                </c:pt>
                <c:pt idx="39">
                  <c:v>144.77000000000001</c:v>
                </c:pt>
                <c:pt idx="40">
                  <c:v>144.16</c:v>
                </c:pt>
                <c:pt idx="41">
                  <c:v>143.54</c:v>
                </c:pt>
                <c:pt idx="42">
                  <c:v>143</c:v>
                </c:pt>
                <c:pt idx="43">
                  <c:v>142.41999999999999</c:v>
                </c:pt>
                <c:pt idx="44">
                  <c:v>141.72</c:v>
                </c:pt>
                <c:pt idx="45">
                  <c:v>141.22</c:v>
                </c:pt>
                <c:pt idx="46">
                  <c:v>140.91</c:v>
                </c:pt>
                <c:pt idx="47">
                  <c:v>140.49</c:v>
                </c:pt>
                <c:pt idx="48">
                  <c:v>139.75</c:v>
                </c:pt>
                <c:pt idx="49">
                  <c:v>139.1</c:v>
                </c:pt>
                <c:pt idx="50">
                  <c:v>138.6</c:v>
                </c:pt>
                <c:pt idx="51">
                  <c:v>138.02000000000001</c:v>
                </c:pt>
                <c:pt idx="52">
                  <c:v>137.44</c:v>
                </c:pt>
                <c:pt idx="53">
                  <c:v>136.86000000000001</c:v>
                </c:pt>
                <c:pt idx="54">
                  <c:v>136.36000000000001</c:v>
                </c:pt>
                <c:pt idx="55">
                  <c:v>135.74</c:v>
                </c:pt>
                <c:pt idx="56">
                  <c:v>135.24</c:v>
                </c:pt>
                <c:pt idx="57">
                  <c:v>134.72999999999999</c:v>
                </c:pt>
                <c:pt idx="58">
                  <c:v>134.12</c:v>
                </c:pt>
                <c:pt idx="59">
                  <c:v>133.65</c:v>
                </c:pt>
                <c:pt idx="60">
                  <c:v>133.07</c:v>
                </c:pt>
                <c:pt idx="61">
                  <c:v>132.53</c:v>
                </c:pt>
                <c:pt idx="62">
                  <c:v>132.03</c:v>
                </c:pt>
                <c:pt idx="63">
                  <c:v>131.49</c:v>
                </c:pt>
                <c:pt idx="64">
                  <c:v>131.03</c:v>
                </c:pt>
                <c:pt idx="65">
                  <c:v>130.41</c:v>
                </c:pt>
                <c:pt idx="66">
                  <c:v>130.02000000000001</c:v>
                </c:pt>
                <c:pt idx="67">
                  <c:v>129.91</c:v>
                </c:pt>
                <c:pt idx="68">
                  <c:v>129.44</c:v>
                </c:pt>
                <c:pt idx="69">
                  <c:v>128.75</c:v>
                </c:pt>
                <c:pt idx="70">
                  <c:v>128.21</c:v>
                </c:pt>
                <c:pt idx="71">
                  <c:v>127.71</c:v>
                </c:pt>
                <c:pt idx="72">
                  <c:v>127.17</c:v>
                </c:pt>
                <c:pt idx="73">
                  <c:v>126.74</c:v>
                </c:pt>
                <c:pt idx="74">
                  <c:v>126.2</c:v>
                </c:pt>
                <c:pt idx="75">
                  <c:v>125.74</c:v>
                </c:pt>
                <c:pt idx="76">
                  <c:v>125.12</c:v>
                </c:pt>
                <c:pt idx="77">
                  <c:v>124.66</c:v>
                </c:pt>
                <c:pt idx="78">
                  <c:v>124.19</c:v>
                </c:pt>
                <c:pt idx="79">
                  <c:v>123.73</c:v>
                </c:pt>
                <c:pt idx="80">
                  <c:v>123.19</c:v>
                </c:pt>
                <c:pt idx="81">
                  <c:v>122.8</c:v>
                </c:pt>
                <c:pt idx="82">
                  <c:v>122.34</c:v>
                </c:pt>
                <c:pt idx="83">
                  <c:v>121.8</c:v>
                </c:pt>
                <c:pt idx="84">
                  <c:v>121.37</c:v>
                </c:pt>
                <c:pt idx="85">
                  <c:v>120.83</c:v>
                </c:pt>
                <c:pt idx="86">
                  <c:v>120.68</c:v>
                </c:pt>
                <c:pt idx="87">
                  <c:v>120.56</c:v>
                </c:pt>
                <c:pt idx="88">
                  <c:v>119.79</c:v>
                </c:pt>
                <c:pt idx="89">
                  <c:v>119.25</c:v>
                </c:pt>
                <c:pt idx="90">
                  <c:v>118.82</c:v>
                </c:pt>
                <c:pt idx="91">
                  <c:v>118.24</c:v>
                </c:pt>
                <c:pt idx="92">
                  <c:v>117.9</c:v>
                </c:pt>
                <c:pt idx="93">
                  <c:v>117.43</c:v>
                </c:pt>
                <c:pt idx="94">
                  <c:v>116.89</c:v>
                </c:pt>
                <c:pt idx="95">
                  <c:v>116.39</c:v>
                </c:pt>
                <c:pt idx="96">
                  <c:v>116.04</c:v>
                </c:pt>
                <c:pt idx="97">
                  <c:v>115.58</c:v>
                </c:pt>
                <c:pt idx="98">
                  <c:v>115.04</c:v>
                </c:pt>
                <c:pt idx="99">
                  <c:v>114.65</c:v>
                </c:pt>
                <c:pt idx="100">
                  <c:v>114.23</c:v>
                </c:pt>
                <c:pt idx="101">
                  <c:v>113.77</c:v>
                </c:pt>
                <c:pt idx="102">
                  <c:v>113.26</c:v>
                </c:pt>
                <c:pt idx="103">
                  <c:v>112.95</c:v>
                </c:pt>
                <c:pt idx="104">
                  <c:v>112.53</c:v>
                </c:pt>
                <c:pt idx="105">
                  <c:v>112.72</c:v>
                </c:pt>
                <c:pt idx="106">
                  <c:v>112.72</c:v>
                </c:pt>
                <c:pt idx="107">
                  <c:v>111.8</c:v>
                </c:pt>
                <c:pt idx="108">
                  <c:v>111.1</c:v>
                </c:pt>
                <c:pt idx="109">
                  <c:v>110.64</c:v>
                </c:pt>
                <c:pt idx="110">
                  <c:v>110.17</c:v>
                </c:pt>
                <c:pt idx="111">
                  <c:v>109.75</c:v>
                </c:pt>
                <c:pt idx="112">
                  <c:v>109.36</c:v>
                </c:pt>
                <c:pt idx="113">
                  <c:v>108.86</c:v>
                </c:pt>
                <c:pt idx="114">
                  <c:v>108.4</c:v>
                </c:pt>
                <c:pt idx="115">
                  <c:v>107.97</c:v>
                </c:pt>
                <c:pt idx="116">
                  <c:v>107.59</c:v>
                </c:pt>
                <c:pt idx="117">
                  <c:v>107.12</c:v>
                </c:pt>
                <c:pt idx="118">
                  <c:v>106.62</c:v>
                </c:pt>
                <c:pt idx="119">
                  <c:v>106.31</c:v>
                </c:pt>
                <c:pt idx="120">
                  <c:v>105.93</c:v>
                </c:pt>
                <c:pt idx="121">
                  <c:v>105.54</c:v>
                </c:pt>
                <c:pt idx="122">
                  <c:v>105.04</c:v>
                </c:pt>
                <c:pt idx="123">
                  <c:v>104.69</c:v>
                </c:pt>
                <c:pt idx="124">
                  <c:v>104.42</c:v>
                </c:pt>
                <c:pt idx="125">
                  <c:v>104.96</c:v>
                </c:pt>
                <c:pt idx="126">
                  <c:v>105.46</c:v>
                </c:pt>
                <c:pt idx="127">
                  <c:v>105.08</c:v>
                </c:pt>
                <c:pt idx="128">
                  <c:v>104.42</c:v>
                </c:pt>
                <c:pt idx="129">
                  <c:v>103.69</c:v>
                </c:pt>
                <c:pt idx="130">
                  <c:v>102.68</c:v>
                </c:pt>
                <c:pt idx="131">
                  <c:v>102.18</c:v>
                </c:pt>
                <c:pt idx="132">
                  <c:v>101.79</c:v>
                </c:pt>
                <c:pt idx="133">
                  <c:v>101.29</c:v>
                </c:pt>
                <c:pt idx="134">
                  <c:v>100.79</c:v>
                </c:pt>
                <c:pt idx="135">
                  <c:v>100.33</c:v>
                </c:pt>
                <c:pt idx="136">
                  <c:v>99.94</c:v>
                </c:pt>
                <c:pt idx="137">
                  <c:v>99.59</c:v>
                </c:pt>
                <c:pt idx="138">
                  <c:v>99.17</c:v>
                </c:pt>
                <c:pt idx="139">
                  <c:v>98.86</c:v>
                </c:pt>
                <c:pt idx="140">
                  <c:v>98.36</c:v>
                </c:pt>
                <c:pt idx="141">
                  <c:v>98.01</c:v>
                </c:pt>
                <c:pt idx="142">
                  <c:v>97.58</c:v>
                </c:pt>
                <c:pt idx="143">
                  <c:v>97.16</c:v>
                </c:pt>
                <c:pt idx="144">
                  <c:v>96.85</c:v>
                </c:pt>
                <c:pt idx="145">
                  <c:v>96.47</c:v>
                </c:pt>
                <c:pt idx="146">
                  <c:v>96.62</c:v>
                </c:pt>
                <c:pt idx="147">
                  <c:v>97.58</c:v>
                </c:pt>
                <c:pt idx="148">
                  <c:v>98.16</c:v>
                </c:pt>
                <c:pt idx="149">
                  <c:v>97.58</c:v>
                </c:pt>
                <c:pt idx="150">
                  <c:v>97.04</c:v>
                </c:pt>
                <c:pt idx="151">
                  <c:v>96.5</c:v>
                </c:pt>
                <c:pt idx="152">
                  <c:v>95.58</c:v>
                </c:pt>
                <c:pt idx="153">
                  <c:v>94.92</c:v>
                </c:pt>
                <c:pt idx="154">
                  <c:v>94.34</c:v>
                </c:pt>
                <c:pt idx="155">
                  <c:v>93.72</c:v>
                </c:pt>
                <c:pt idx="156">
                  <c:v>93.18</c:v>
                </c:pt>
                <c:pt idx="157">
                  <c:v>92.68</c:v>
                </c:pt>
                <c:pt idx="158">
                  <c:v>92.26</c:v>
                </c:pt>
                <c:pt idx="159">
                  <c:v>91.99</c:v>
                </c:pt>
                <c:pt idx="160">
                  <c:v>91.6</c:v>
                </c:pt>
                <c:pt idx="161">
                  <c:v>91.21</c:v>
                </c:pt>
                <c:pt idx="162">
                  <c:v>90.83</c:v>
                </c:pt>
                <c:pt idx="163">
                  <c:v>90.44</c:v>
                </c:pt>
                <c:pt idx="164">
                  <c:v>90.13</c:v>
                </c:pt>
                <c:pt idx="165">
                  <c:v>89.82</c:v>
                </c:pt>
                <c:pt idx="166">
                  <c:v>89.4</c:v>
                </c:pt>
                <c:pt idx="167">
                  <c:v>89.09</c:v>
                </c:pt>
                <c:pt idx="168">
                  <c:v>89.59</c:v>
                </c:pt>
                <c:pt idx="169">
                  <c:v>90.83</c:v>
                </c:pt>
                <c:pt idx="170">
                  <c:v>91.1</c:v>
                </c:pt>
                <c:pt idx="171">
                  <c:v>90.67</c:v>
                </c:pt>
                <c:pt idx="172">
                  <c:v>90.4</c:v>
                </c:pt>
                <c:pt idx="173">
                  <c:v>89.9</c:v>
                </c:pt>
                <c:pt idx="174">
                  <c:v>89.28</c:v>
                </c:pt>
                <c:pt idx="175">
                  <c:v>88.82</c:v>
                </c:pt>
                <c:pt idx="176">
                  <c:v>88.28</c:v>
                </c:pt>
                <c:pt idx="177">
                  <c:v>87.54</c:v>
                </c:pt>
                <c:pt idx="178">
                  <c:v>86.89</c:v>
                </c:pt>
                <c:pt idx="179">
                  <c:v>86.27</c:v>
                </c:pt>
                <c:pt idx="180">
                  <c:v>85.81</c:v>
                </c:pt>
                <c:pt idx="181">
                  <c:v>85.34</c:v>
                </c:pt>
                <c:pt idx="182">
                  <c:v>84.96</c:v>
                </c:pt>
                <c:pt idx="183">
                  <c:v>84.57</c:v>
                </c:pt>
                <c:pt idx="184">
                  <c:v>84.15</c:v>
                </c:pt>
                <c:pt idx="185">
                  <c:v>83.8</c:v>
                </c:pt>
                <c:pt idx="186">
                  <c:v>83.45</c:v>
                </c:pt>
                <c:pt idx="187">
                  <c:v>83.06</c:v>
                </c:pt>
                <c:pt idx="188">
                  <c:v>83.22</c:v>
                </c:pt>
                <c:pt idx="189">
                  <c:v>84.53</c:v>
                </c:pt>
                <c:pt idx="190">
                  <c:v>85.34</c:v>
                </c:pt>
                <c:pt idx="191">
                  <c:v>85.42</c:v>
                </c:pt>
                <c:pt idx="192">
                  <c:v>85.54</c:v>
                </c:pt>
                <c:pt idx="193">
                  <c:v>85.07</c:v>
                </c:pt>
                <c:pt idx="194">
                  <c:v>84.46</c:v>
                </c:pt>
                <c:pt idx="195">
                  <c:v>83.91</c:v>
                </c:pt>
                <c:pt idx="196">
                  <c:v>83.37</c:v>
                </c:pt>
                <c:pt idx="197">
                  <c:v>82.64</c:v>
                </c:pt>
                <c:pt idx="198">
                  <c:v>82.06</c:v>
                </c:pt>
                <c:pt idx="199">
                  <c:v>81.33</c:v>
                </c:pt>
                <c:pt idx="200">
                  <c:v>80.709999999999994</c:v>
                </c:pt>
                <c:pt idx="201">
                  <c:v>80.25</c:v>
                </c:pt>
                <c:pt idx="202">
                  <c:v>79.709999999999994</c:v>
                </c:pt>
                <c:pt idx="203">
                  <c:v>79.319999999999993</c:v>
                </c:pt>
                <c:pt idx="204">
                  <c:v>79.010000000000005</c:v>
                </c:pt>
                <c:pt idx="205">
                  <c:v>78.62</c:v>
                </c:pt>
                <c:pt idx="206">
                  <c:v>78.239999999999995</c:v>
                </c:pt>
                <c:pt idx="207">
                  <c:v>77.97</c:v>
                </c:pt>
                <c:pt idx="208">
                  <c:v>77.66</c:v>
                </c:pt>
                <c:pt idx="209">
                  <c:v>78.47</c:v>
                </c:pt>
                <c:pt idx="210">
                  <c:v>80.05</c:v>
                </c:pt>
                <c:pt idx="211">
                  <c:v>80.67</c:v>
                </c:pt>
                <c:pt idx="212">
                  <c:v>80.59</c:v>
                </c:pt>
                <c:pt idx="213">
                  <c:v>80.28</c:v>
                </c:pt>
                <c:pt idx="214">
                  <c:v>79.63</c:v>
                </c:pt>
                <c:pt idx="215">
                  <c:v>79.09</c:v>
                </c:pt>
                <c:pt idx="216">
                  <c:v>78.66</c:v>
                </c:pt>
                <c:pt idx="217">
                  <c:v>78.239999999999995</c:v>
                </c:pt>
                <c:pt idx="218">
                  <c:v>77.81</c:v>
                </c:pt>
                <c:pt idx="219">
                  <c:v>77.27</c:v>
                </c:pt>
                <c:pt idx="220">
                  <c:v>76.73</c:v>
                </c:pt>
                <c:pt idx="221">
                  <c:v>76.23</c:v>
                </c:pt>
                <c:pt idx="222">
                  <c:v>75.69</c:v>
                </c:pt>
                <c:pt idx="223">
                  <c:v>75.23</c:v>
                </c:pt>
                <c:pt idx="224">
                  <c:v>74.72</c:v>
                </c:pt>
                <c:pt idx="225">
                  <c:v>74.260000000000005</c:v>
                </c:pt>
                <c:pt idx="226">
                  <c:v>73.91</c:v>
                </c:pt>
                <c:pt idx="227">
                  <c:v>73.53</c:v>
                </c:pt>
                <c:pt idx="228">
                  <c:v>73.06</c:v>
                </c:pt>
                <c:pt idx="229">
                  <c:v>72.91</c:v>
                </c:pt>
                <c:pt idx="230">
                  <c:v>74.34</c:v>
                </c:pt>
                <c:pt idx="231">
                  <c:v>75.650000000000006</c:v>
                </c:pt>
                <c:pt idx="232">
                  <c:v>75.53</c:v>
                </c:pt>
                <c:pt idx="233">
                  <c:v>75.34</c:v>
                </c:pt>
                <c:pt idx="234">
                  <c:v>74.92</c:v>
                </c:pt>
                <c:pt idx="235">
                  <c:v>74.34</c:v>
                </c:pt>
                <c:pt idx="236">
                  <c:v>73.91</c:v>
                </c:pt>
                <c:pt idx="237">
                  <c:v>73.64</c:v>
                </c:pt>
                <c:pt idx="238">
                  <c:v>73.260000000000005</c:v>
                </c:pt>
                <c:pt idx="239">
                  <c:v>72.87</c:v>
                </c:pt>
                <c:pt idx="240">
                  <c:v>72.52</c:v>
                </c:pt>
                <c:pt idx="241">
                  <c:v>72.14</c:v>
                </c:pt>
                <c:pt idx="242">
                  <c:v>71.67</c:v>
                </c:pt>
                <c:pt idx="243">
                  <c:v>71.25</c:v>
                </c:pt>
                <c:pt idx="244">
                  <c:v>70.86</c:v>
                </c:pt>
                <c:pt idx="245">
                  <c:v>70.44</c:v>
                </c:pt>
                <c:pt idx="246">
                  <c:v>70.05</c:v>
                </c:pt>
                <c:pt idx="247">
                  <c:v>69.66</c:v>
                </c:pt>
                <c:pt idx="248">
                  <c:v>69.319999999999993</c:v>
                </c:pt>
                <c:pt idx="249">
                  <c:v>69.16</c:v>
                </c:pt>
                <c:pt idx="250">
                  <c:v>70.59</c:v>
                </c:pt>
                <c:pt idx="251">
                  <c:v>70.94</c:v>
                </c:pt>
                <c:pt idx="252">
                  <c:v>70.75</c:v>
                </c:pt>
                <c:pt idx="253">
                  <c:v>70.44</c:v>
                </c:pt>
                <c:pt idx="254">
                  <c:v>69.86</c:v>
                </c:pt>
                <c:pt idx="255">
                  <c:v>69.510000000000005</c:v>
                </c:pt>
                <c:pt idx="256">
                  <c:v>69.319999999999993</c:v>
                </c:pt>
                <c:pt idx="257">
                  <c:v>69.09</c:v>
                </c:pt>
                <c:pt idx="258">
                  <c:v>68.78</c:v>
                </c:pt>
                <c:pt idx="259">
                  <c:v>68.39</c:v>
                </c:pt>
                <c:pt idx="260">
                  <c:v>68.12</c:v>
                </c:pt>
                <c:pt idx="261">
                  <c:v>67.73</c:v>
                </c:pt>
                <c:pt idx="262">
                  <c:v>67.459999999999994</c:v>
                </c:pt>
                <c:pt idx="263">
                  <c:v>67.040000000000006</c:v>
                </c:pt>
                <c:pt idx="264">
                  <c:v>66.81</c:v>
                </c:pt>
                <c:pt idx="265">
                  <c:v>66.42</c:v>
                </c:pt>
                <c:pt idx="266">
                  <c:v>66.19</c:v>
                </c:pt>
                <c:pt idx="267">
                  <c:v>65.88</c:v>
                </c:pt>
                <c:pt idx="268">
                  <c:v>66.69</c:v>
                </c:pt>
                <c:pt idx="269">
                  <c:v>66.959999999999994</c:v>
                </c:pt>
                <c:pt idx="270">
                  <c:v>66.73</c:v>
                </c:pt>
                <c:pt idx="271">
                  <c:v>66.42</c:v>
                </c:pt>
                <c:pt idx="272">
                  <c:v>66.19</c:v>
                </c:pt>
                <c:pt idx="273">
                  <c:v>65.760000000000005</c:v>
                </c:pt>
                <c:pt idx="274">
                  <c:v>65.569999999999993</c:v>
                </c:pt>
                <c:pt idx="275">
                  <c:v>65.459999999999994</c:v>
                </c:pt>
                <c:pt idx="276">
                  <c:v>65.11</c:v>
                </c:pt>
                <c:pt idx="277">
                  <c:v>64.84</c:v>
                </c:pt>
                <c:pt idx="278">
                  <c:v>64.53</c:v>
                </c:pt>
                <c:pt idx="279">
                  <c:v>64.3</c:v>
                </c:pt>
                <c:pt idx="280">
                  <c:v>64.03</c:v>
                </c:pt>
                <c:pt idx="281">
                  <c:v>63.68</c:v>
                </c:pt>
                <c:pt idx="282">
                  <c:v>63.49</c:v>
                </c:pt>
                <c:pt idx="283">
                  <c:v>63.18</c:v>
                </c:pt>
                <c:pt idx="284">
                  <c:v>62.95</c:v>
                </c:pt>
                <c:pt idx="285">
                  <c:v>62.68</c:v>
                </c:pt>
                <c:pt idx="286">
                  <c:v>62.37</c:v>
                </c:pt>
                <c:pt idx="287">
                  <c:v>62.79</c:v>
                </c:pt>
                <c:pt idx="288">
                  <c:v>63.14</c:v>
                </c:pt>
                <c:pt idx="289">
                  <c:v>63.06</c:v>
                </c:pt>
                <c:pt idx="290">
                  <c:v>62.87</c:v>
                </c:pt>
                <c:pt idx="291">
                  <c:v>62.68</c:v>
                </c:pt>
                <c:pt idx="292">
                  <c:v>62.29</c:v>
                </c:pt>
                <c:pt idx="293">
                  <c:v>62.1</c:v>
                </c:pt>
                <c:pt idx="294">
                  <c:v>61.86</c:v>
                </c:pt>
                <c:pt idx="295">
                  <c:v>61.67</c:v>
                </c:pt>
                <c:pt idx="296">
                  <c:v>61.48</c:v>
                </c:pt>
                <c:pt idx="297">
                  <c:v>61.13</c:v>
                </c:pt>
                <c:pt idx="298">
                  <c:v>60.9</c:v>
                </c:pt>
                <c:pt idx="299">
                  <c:v>60.71</c:v>
                </c:pt>
                <c:pt idx="300">
                  <c:v>60.51</c:v>
                </c:pt>
                <c:pt idx="301">
                  <c:v>60.24</c:v>
                </c:pt>
                <c:pt idx="302">
                  <c:v>60.09</c:v>
                </c:pt>
                <c:pt idx="303">
                  <c:v>59.78</c:v>
                </c:pt>
                <c:pt idx="304">
                  <c:v>59.59</c:v>
                </c:pt>
                <c:pt idx="305">
                  <c:v>59.39</c:v>
                </c:pt>
                <c:pt idx="306">
                  <c:v>59.16</c:v>
                </c:pt>
                <c:pt idx="307">
                  <c:v>58.85</c:v>
                </c:pt>
                <c:pt idx="308">
                  <c:v>59.39</c:v>
                </c:pt>
                <c:pt idx="309">
                  <c:v>59.59</c:v>
                </c:pt>
                <c:pt idx="310">
                  <c:v>59.51</c:v>
                </c:pt>
                <c:pt idx="311">
                  <c:v>59.28</c:v>
                </c:pt>
                <c:pt idx="312">
                  <c:v>59.08</c:v>
                </c:pt>
                <c:pt idx="313">
                  <c:v>58.81</c:v>
                </c:pt>
                <c:pt idx="314">
                  <c:v>58.66</c:v>
                </c:pt>
                <c:pt idx="315">
                  <c:v>58.39</c:v>
                </c:pt>
                <c:pt idx="316">
                  <c:v>58.23</c:v>
                </c:pt>
                <c:pt idx="317">
                  <c:v>58.08</c:v>
                </c:pt>
                <c:pt idx="318">
                  <c:v>57.85</c:v>
                </c:pt>
                <c:pt idx="319">
                  <c:v>57.66</c:v>
                </c:pt>
                <c:pt idx="320">
                  <c:v>57.46</c:v>
                </c:pt>
                <c:pt idx="321">
                  <c:v>57.23</c:v>
                </c:pt>
                <c:pt idx="322">
                  <c:v>51.44</c:v>
                </c:pt>
                <c:pt idx="323">
                  <c:v>44.64</c:v>
                </c:pt>
                <c:pt idx="324">
                  <c:v>39.659999999999997</c:v>
                </c:pt>
                <c:pt idx="325">
                  <c:v>35.450000000000003</c:v>
                </c:pt>
                <c:pt idx="326">
                  <c:v>31.94</c:v>
                </c:pt>
                <c:pt idx="327">
                  <c:v>28.92</c:v>
                </c:pt>
                <c:pt idx="328">
                  <c:v>26.41</c:v>
                </c:pt>
                <c:pt idx="329">
                  <c:v>23.9</c:v>
                </c:pt>
                <c:pt idx="330">
                  <c:v>21.82</c:v>
                </c:pt>
                <c:pt idx="331">
                  <c:v>19.93</c:v>
                </c:pt>
                <c:pt idx="332">
                  <c:v>18.23</c:v>
                </c:pt>
                <c:pt idx="333">
                  <c:v>16.64</c:v>
                </c:pt>
                <c:pt idx="334">
                  <c:v>15.33</c:v>
                </c:pt>
                <c:pt idx="335">
                  <c:v>14.13</c:v>
                </c:pt>
                <c:pt idx="336">
                  <c:v>13.05</c:v>
                </c:pt>
                <c:pt idx="337">
                  <c:v>12.13</c:v>
                </c:pt>
                <c:pt idx="338">
                  <c:v>11.28</c:v>
                </c:pt>
                <c:pt idx="339">
                  <c:v>10.43</c:v>
                </c:pt>
                <c:pt idx="340">
                  <c:v>9.77</c:v>
                </c:pt>
                <c:pt idx="341">
                  <c:v>9.11</c:v>
                </c:pt>
                <c:pt idx="342">
                  <c:v>8.61</c:v>
                </c:pt>
                <c:pt idx="343">
                  <c:v>8.19</c:v>
                </c:pt>
                <c:pt idx="344">
                  <c:v>7.61</c:v>
                </c:pt>
                <c:pt idx="345">
                  <c:v>7.18</c:v>
                </c:pt>
                <c:pt idx="346">
                  <c:v>6.76</c:v>
                </c:pt>
                <c:pt idx="347">
                  <c:v>6.41</c:v>
                </c:pt>
                <c:pt idx="348">
                  <c:v>6.18</c:v>
                </c:pt>
                <c:pt idx="349">
                  <c:v>5.95</c:v>
                </c:pt>
                <c:pt idx="350">
                  <c:v>5.64</c:v>
                </c:pt>
                <c:pt idx="351">
                  <c:v>5.41</c:v>
                </c:pt>
                <c:pt idx="352">
                  <c:v>5.0999999999999996</c:v>
                </c:pt>
                <c:pt idx="353">
                  <c:v>4.83</c:v>
                </c:pt>
                <c:pt idx="354">
                  <c:v>4.75</c:v>
                </c:pt>
                <c:pt idx="355">
                  <c:v>4.5199999999999996</c:v>
                </c:pt>
                <c:pt idx="356">
                  <c:v>4.25</c:v>
                </c:pt>
                <c:pt idx="357">
                  <c:v>4.09</c:v>
                </c:pt>
                <c:pt idx="358">
                  <c:v>3.9</c:v>
                </c:pt>
                <c:pt idx="359">
                  <c:v>3.71</c:v>
                </c:pt>
                <c:pt idx="360">
                  <c:v>3.51</c:v>
                </c:pt>
                <c:pt idx="361">
                  <c:v>3.36</c:v>
                </c:pt>
                <c:pt idx="362">
                  <c:v>3.28</c:v>
                </c:pt>
                <c:pt idx="363">
                  <c:v>3.09</c:v>
                </c:pt>
                <c:pt idx="364">
                  <c:v>2.97</c:v>
                </c:pt>
                <c:pt idx="365">
                  <c:v>2.86</c:v>
                </c:pt>
                <c:pt idx="366">
                  <c:v>2.74</c:v>
                </c:pt>
                <c:pt idx="367">
                  <c:v>2.66</c:v>
                </c:pt>
                <c:pt idx="368">
                  <c:v>2.4700000000000002</c:v>
                </c:pt>
                <c:pt idx="369">
                  <c:v>2.3199999999999998</c:v>
                </c:pt>
                <c:pt idx="370">
                  <c:v>2.2400000000000002</c:v>
                </c:pt>
                <c:pt idx="371">
                  <c:v>2.2000000000000002</c:v>
                </c:pt>
                <c:pt idx="372">
                  <c:v>2.09</c:v>
                </c:pt>
                <c:pt idx="373">
                  <c:v>1.97</c:v>
                </c:pt>
                <c:pt idx="374">
                  <c:v>1.93</c:v>
                </c:pt>
                <c:pt idx="375">
                  <c:v>1.85</c:v>
                </c:pt>
                <c:pt idx="376">
                  <c:v>1.74</c:v>
                </c:pt>
                <c:pt idx="377">
                  <c:v>1.66</c:v>
                </c:pt>
                <c:pt idx="378">
                  <c:v>1.62</c:v>
                </c:pt>
                <c:pt idx="379">
                  <c:v>1.54</c:v>
                </c:pt>
                <c:pt idx="380">
                  <c:v>1.43</c:v>
                </c:pt>
                <c:pt idx="381">
                  <c:v>1.39</c:v>
                </c:pt>
                <c:pt idx="382">
                  <c:v>1.31</c:v>
                </c:pt>
                <c:pt idx="383">
                  <c:v>1.24</c:v>
                </c:pt>
                <c:pt idx="384">
                  <c:v>1.2</c:v>
                </c:pt>
                <c:pt idx="385">
                  <c:v>1.1200000000000001</c:v>
                </c:pt>
                <c:pt idx="386">
                  <c:v>1.08</c:v>
                </c:pt>
                <c:pt idx="387">
                  <c:v>0.97</c:v>
                </c:pt>
                <c:pt idx="388">
                  <c:v>0.97</c:v>
                </c:pt>
                <c:pt idx="389">
                  <c:v>0.89</c:v>
                </c:pt>
                <c:pt idx="390">
                  <c:v>0.89</c:v>
                </c:pt>
                <c:pt idx="391">
                  <c:v>0.77</c:v>
                </c:pt>
                <c:pt idx="392">
                  <c:v>0.73</c:v>
                </c:pt>
                <c:pt idx="393">
                  <c:v>0.66</c:v>
                </c:pt>
                <c:pt idx="394">
                  <c:v>0.62</c:v>
                </c:pt>
                <c:pt idx="395">
                  <c:v>0.57999999999999996</c:v>
                </c:pt>
                <c:pt idx="396">
                  <c:v>0.54</c:v>
                </c:pt>
                <c:pt idx="397">
                  <c:v>0.54</c:v>
                </c:pt>
                <c:pt idx="398">
                  <c:v>0.5</c:v>
                </c:pt>
                <c:pt idx="399">
                  <c:v>0.42</c:v>
                </c:pt>
                <c:pt idx="400">
                  <c:v>0.42</c:v>
                </c:pt>
                <c:pt idx="401">
                  <c:v>0.42</c:v>
                </c:pt>
                <c:pt idx="402">
                  <c:v>0.42</c:v>
                </c:pt>
                <c:pt idx="403">
                  <c:v>0.35</c:v>
                </c:pt>
                <c:pt idx="404">
                  <c:v>0.31</c:v>
                </c:pt>
                <c:pt idx="405">
                  <c:v>0.31</c:v>
                </c:pt>
                <c:pt idx="406">
                  <c:v>0.23</c:v>
                </c:pt>
                <c:pt idx="407">
                  <c:v>0.19</c:v>
                </c:pt>
                <c:pt idx="408">
                  <c:v>0.12</c:v>
                </c:pt>
                <c:pt idx="409">
                  <c:v>0.19</c:v>
                </c:pt>
                <c:pt idx="410">
                  <c:v>0.19</c:v>
                </c:pt>
                <c:pt idx="411">
                  <c:v>0.12</c:v>
                </c:pt>
                <c:pt idx="412">
                  <c:v>0.12</c:v>
                </c:pt>
                <c:pt idx="413">
                  <c:v>0.12</c:v>
                </c:pt>
                <c:pt idx="414">
                  <c:v>0.08</c:v>
                </c:pt>
                <c:pt idx="415">
                  <c:v>0.08</c:v>
                </c:pt>
                <c:pt idx="416">
                  <c:v>0</c:v>
                </c:pt>
                <c:pt idx="4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69-4445-8D0F-6C4A91857D48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Hoja1!$D$2:$D$418</c:f>
              <c:numCache>
                <c:formatCode>General</c:formatCode>
                <c:ptCount val="417"/>
                <c:pt idx="0">
                  <c:v>21.60000000000025</c:v>
                </c:pt>
                <c:pt idx="1">
                  <c:v>18.600000000000136</c:v>
                </c:pt>
                <c:pt idx="2">
                  <c:v>24.599999999999795</c:v>
                </c:pt>
                <c:pt idx="3">
                  <c:v>19.399999999999977</c:v>
                </c:pt>
                <c:pt idx="4">
                  <c:v>22.400000000000091</c:v>
                </c:pt>
                <c:pt idx="5">
                  <c:v>23.799999999999955</c:v>
                </c:pt>
                <c:pt idx="6">
                  <c:v>13.999999999999773</c:v>
                </c:pt>
                <c:pt idx="7">
                  <c:v>22.400000000000091</c:v>
                </c:pt>
                <c:pt idx="8">
                  <c:v>18.600000000000136</c:v>
                </c:pt>
                <c:pt idx="9">
                  <c:v>19.200000000000159</c:v>
                </c:pt>
                <c:pt idx="10">
                  <c:v>20.199999999999818</c:v>
                </c:pt>
                <c:pt idx="11">
                  <c:v>16.200000000000045</c:v>
                </c:pt>
                <c:pt idx="12">
                  <c:v>13.799999999999955</c:v>
                </c:pt>
                <c:pt idx="13">
                  <c:v>-4.5999999999997954</c:v>
                </c:pt>
                <c:pt idx="14">
                  <c:v>-24.000000000000341</c:v>
                </c:pt>
                <c:pt idx="15">
                  <c:v>-19.199999999999591</c:v>
                </c:pt>
                <c:pt idx="16">
                  <c:v>-19.400000000000546</c:v>
                </c:pt>
                <c:pt idx="17">
                  <c:v>-16.199999999999477</c:v>
                </c:pt>
                <c:pt idx="18">
                  <c:v>-16.200000000000045</c:v>
                </c:pt>
                <c:pt idx="19">
                  <c:v>-17.000000000000455</c:v>
                </c:pt>
                <c:pt idx="20">
                  <c:v>-14.599999999999795</c:v>
                </c:pt>
                <c:pt idx="21">
                  <c:v>-14.800000000000182</c:v>
                </c:pt>
                <c:pt idx="22">
                  <c:v>-14.599999999999795</c:v>
                </c:pt>
                <c:pt idx="23">
                  <c:v>-13.999999999999773</c:v>
                </c:pt>
                <c:pt idx="24">
                  <c:v>-11.400000000000432</c:v>
                </c:pt>
                <c:pt idx="25">
                  <c:v>-9.3999999999999773</c:v>
                </c:pt>
                <c:pt idx="26">
                  <c:v>-16.200000000000045</c:v>
                </c:pt>
                <c:pt idx="27">
                  <c:v>-13.799999999999955</c:v>
                </c:pt>
                <c:pt idx="28">
                  <c:v>-14.799999999999613</c:v>
                </c:pt>
                <c:pt idx="29">
                  <c:v>-12.400000000000091</c:v>
                </c:pt>
                <c:pt idx="30">
                  <c:v>-13.000000000000114</c:v>
                </c:pt>
                <c:pt idx="31">
                  <c:v>-12.400000000000091</c:v>
                </c:pt>
                <c:pt idx="32">
                  <c:v>-13.199999999999932</c:v>
                </c:pt>
                <c:pt idx="33">
                  <c:v>-12.199999999999704</c:v>
                </c:pt>
                <c:pt idx="34">
                  <c:v>-13.2000000000005</c:v>
                </c:pt>
                <c:pt idx="35">
                  <c:v>-12.399999999999523</c:v>
                </c:pt>
                <c:pt idx="36">
                  <c:v>-12.400000000000091</c:v>
                </c:pt>
                <c:pt idx="37">
                  <c:v>-11.60000000000025</c:v>
                </c:pt>
                <c:pt idx="38">
                  <c:v>-11.599999999999682</c:v>
                </c:pt>
                <c:pt idx="39">
                  <c:v>-12.200000000000273</c:v>
                </c:pt>
                <c:pt idx="40">
                  <c:v>-12.400000000000091</c:v>
                </c:pt>
                <c:pt idx="41">
                  <c:v>-10.799999999999841</c:v>
                </c:pt>
                <c:pt idx="42">
                  <c:v>-11.60000000000025</c:v>
                </c:pt>
                <c:pt idx="43">
                  <c:v>-13.999999999999773</c:v>
                </c:pt>
                <c:pt idx="44">
                  <c:v>-10</c:v>
                </c:pt>
                <c:pt idx="45">
                  <c:v>-6.2000000000000455</c:v>
                </c:pt>
                <c:pt idx="46">
                  <c:v>-8.3999999999997499</c:v>
                </c:pt>
                <c:pt idx="47">
                  <c:v>-14.800000000000182</c:v>
                </c:pt>
                <c:pt idx="48">
                  <c:v>-13.000000000000114</c:v>
                </c:pt>
                <c:pt idx="49">
                  <c:v>-10</c:v>
                </c:pt>
                <c:pt idx="50">
                  <c:v>-11.599999999999682</c:v>
                </c:pt>
                <c:pt idx="51">
                  <c:v>-11.60000000000025</c:v>
                </c:pt>
                <c:pt idx="52">
                  <c:v>-11.599999999999682</c:v>
                </c:pt>
                <c:pt idx="53">
                  <c:v>-10</c:v>
                </c:pt>
                <c:pt idx="54">
                  <c:v>-12.400000000000091</c:v>
                </c:pt>
                <c:pt idx="55">
                  <c:v>-10</c:v>
                </c:pt>
                <c:pt idx="56">
                  <c:v>-10.200000000000387</c:v>
                </c:pt>
                <c:pt idx="57">
                  <c:v>-12.199999999999704</c:v>
                </c:pt>
                <c:pt idx="58">
                  <c:v>-9.3999999999999773</c:v>
                </c:pt>
                <c:pt idx="59">
                  <c:v>-11.60000000000025</c:v>
                </c:pt>
                <c:pt idx="60">
                  <c:v>-10.799999999999841</c:v>
                </c:pt>
                <c:pt idx="61">
                  <c:v>-10</c:v>
                </c:pt>
                <c:pt idx="62">
                  <c:v>-10.799999999999841</c:v>
                </c:pt>
                <c:pt idx="63">
                  <c:v>-9.2000000000001592</c:v>
                </c:pt>
                <c:pt idx="64">
                  <c:v>-12.400000000000091</c:v>
                </c:pt>
                <c:pt idx="65">
                  <c:v>-7.7999999999997272</c:v>
                </c:pt>
                <c:pt idx="66">
                  <c:v>-2.2000000000002728</c:v>
                </c:pt>
                <c:pt idx="67">
                  <c:v>-9.3999999999999773</c:v>
                </c:pt>
                <c:pt idx="68">
                  <c:v>-13.799999999999955</c:v>
                </c:pt>
                <c:pt idx="69">
                  <c:v>-10.799999999999841</c:v>
                </c:pt>
                <c:pt idx="70">
                  <c:v>-10.000000000000284</c:v>
                </c:pt>
                <c:pt idx="71">
                  <c:v>-10.799999999999841</c:v>
                </c:pt>
                <c:pt idx="72">
                  <c:v>-8.6000000000001364</c:v>
                </c:pt>
                <c:pt idx="73">
                  <c:v>-10.799999999999841</c:v>
                </c:pt>
                <c:pt idx="74">
                  <c:v>-9.2000000000001592</c:v>
                </c:pt>
                <c:pt idx="75">
                  <c:v>-12.399999999999807</c:v>
                </c:pt>
                <c:pt idx="76">
                  <c:v>-9.2000000000001592</c:v>
                </c:pt>
                <c:pt idx="77">
                  <c:v>-9.3999999999999773</c:v>
                </c:pt>
                <c:pt idx="78">
                  <c:v>-9.1999999999998749</c:v>
                </c:pt>
                <c:pt idx="79">
                  <c:v>-10.800000000000125</c:v>
                </c:pt>
                <c:pt idx="80">
                  <c:v>-7.8000000000000114</c:v>
                </c:pt>
                <c:pt idx="81">
                  <c:v>-9.1999999999998749</c:v>
                </c:pt>
                <c:pt idx="82">
                  <c:v>-10.800000000000125</c:v>
                </c:pt>
                <c:pt idx="83">
                  <c:v>-8.5999999999998522</c:v>
                </c:pt>
                <c:pt idx="84">
                  <c:v>-10.800000000000125</c:v>
                </c:pt>
                <c:pt idx="85">
                  <c:v>-2.9999999999998295</c:v>
                </c:pt>
                <c:pt idx="86">
                  <c:v>-2.4000000000000909</c:v>
                </c:pt>
                <c:pt idx="87">
                  <c:v>-15.39999999999992</c:v>
                </c:pt>
                <c:pt idx="88">
                  <c:v>-10.800000000000125</c:v>
                </c:pt>
                <c:pt idx="89">
                  <c:v>-8.6000000000001364</c:v>
                </c:pt>
                <c:pt idx="90">
                  <c:v>-11.599999999999966</c:v>
                </c:pt>
                <c:pt idx="91">
                  <c:v>-6.799999999999784</c:v>
                </c:pt>
                <c:pt idx="92">
                  <c:v>-9.3999999999999773</c:v>
                </c:pt>
                <c:pt idx="93">
                  <c:v>-10.800000000000125</c:v>
                </c:pt>
                <c:pt idx="94">
                  <c:v>-10</c:v>
                </c:pt>
                <c:pt idx="95">
                  <c:v>-6.9999999999998863</c:v>
                </c:pt>
                <c:pt idx="96">
                  <c:v>-9.2000000000001592</c:v>
                </c:pt>
                <c:pt idx="97">
                  <c:v>-10.799999999999841</c:v>
                </c:pt>
                <c:pt idx="98">
                  <c:v>-7.8000000000000114</c:v>
                </c:pt>
                <c:pt idx="99">
                  <c:v>-8.4000000000000341</c:v>
                </c:pt>
                <c:pt idx="100">
                  <c:v>-9.2000000000001592</c:v>
                </c:pt>
                <c:pt idx="101">
                  <c:v>-10.199999999999818</c:v>
                </c:pt>
                <c:pt idx="102">
                  <c:v>-6.2000000000000455</c:v>
                </c:pt>
                <c:pt idx="103">
                  <c:v>-8.4000000000000341</c:v>
                </c:pt>
                <c:pt idx="104">
                  <c:v>3.7999999999999545</c:v>
                </c:pt>
                <c:pt idx="105">
                  <c:v>0</c:v>
                </c:pt>
                <c:pt idx="106">
                  <c:v>-18.400000000000034</c:v>
                </c:pt>
                <c:pt idx="107">
                  <c:v>-14.000000000000057</c:v>
                </c:pt>
                <c:pt idx="108">
                  <c:v>-9.1999999999998749</c:v>
                </c:pt>
                <c:pt idx="109">
                  <c:v>-9.3999999999999773</c:v>
                </c:pt>
                <c:pt idx="110">
                  <c:v>-8.4000000000000341</c:v>
                </c:pt>
                <c:pt idx="111">
                  <c:v>-7.8000000000000114</c:v>
                </c:pt>
                <c:pt idx="112">
                  <c:v>-10</c:v>
                </c:pt>
                <c:pt idx="113">
                  <c:v>-9.1999999999998749</c:v>
                </c:pt>
                <c:pt idx="114">
                  <c:v>-8.6000000000001364</c:v>
                </c:pt>
                <c:pt idx="115">
                  <c:v>-7.5999999999999091</c:v>
                </c:pt>
                <c:pt idx="116">
                  <c:v>-9.3999999999999773</c:v>
                </c:pt>
                <c:pt idx="117">
                  <c:v>-10</c:v>
                </c:pt>
                <c:pt idx="118">
                  <c:v>-6.2000000000000455</c:v>
                </c:pt>
                <c:pt idx="119">
                  <c:v>-7.5999999999999091</c:v>
                </c:pt>
                <c:pt idx="120">
                  <c:v>-7.8000000000000114</c:v>
                </c:pt>
                <c:pt idx="121">
                  <c:v>-10</c:v>
                </c:pt>
                <c:pt idx="122">
                  <c:v>-7.0000000000001705</c:v>
                </c:pt>
                <c:pt idx="123">
                  <c:v>-5.3999999999999204</c:v>
                </c:pt>
                <c:pt idx="124">
                  <c:v>10.799999999999841</c:v>
                </c:pt>
                <c:pt idx="125">
                  <c:v>10</c:v>
                </c:pt>
                <c:pt idx="126">
                  <c:v>-7.5999999999999091</c:v>
                </c:pt>
                <c:pt idx="127">
                  <c:v>-13.199999999999932</c:v>
                </c:pt>
                <c:pt idx="128">
                  <c:v>-14.60000000000008</c:v>
                </c:pt>
                <c:pt idx="129">
                  <c:v>-20.199999999999818</c:v>
                </c:pt>
                <c:pt idx="130">
                  <c:v>-10</c:v>
                </c:pt>
                <c:pt idx="131">
                  <c:v>-7.8000000000000114</c:v>
                </c:pt>
                <c:pt idx="132">
                  <c:v>-10</c:v>
                </c:pt>
                <c:pt idx="133">
                  <c:v>-10</c:v>
                </c:pt>
                <c:pt idx="134">
                  <c:v>-9.2000000000001592</c:v>
                </c:pt>
                <c:pt idx="135">
                  <c:v>-7.8000000000000114</c:v>
                </c:pt>
                <c:pt idx="136">
                  <c:v>-6.9999999999998863</c:v>
                </c:pt>
                <c:pt idx="137">
                  <c:v>-8.4000000000000341</c:v>
                </c:pt>
                <c:pt idx="138">
                  <c:v>-6.2000000000000455</c:v>
                </c:pt>
                <c:pt idx="139">
                  <c:v>-10</c:v>
                </c:pt>
                <c:pt idx="140">
                  <c:v>-6.9999999999998863</c:v>
                </c:pt>
                <c:pt idx="141">
                  <c:v>-8.6000000000001364</c:v>
                </c:pt>
                <c:pt idx="142">
                  <c:v>-8.4000000000000341</c:v>
                </c:pt>
                <c:pt idx="143">
                  <c:v>-6.2000000000000455</c:v>
                </c:pt>
                <c:pt idx="144">
                  <c:v>-7.5999999999999091</c:v>
                </c:pt>
                <c:pt idx="145">
                  <c:v>3.0000000000001137</c:v>
                </c:pt>
                <c:pt idx="146">
                  <c:v>19.199999999999875</c:v>
                </c:pt>
                <c:pt idx="147">
                  <c:v>11.599999999999966</c:v>
                </c:pt>
                <c:pt idx="148">
                  <c:v>-11.599999999999966</c:v>
                </c:pt>
                <c:pt idx="149">
                  <c:v>-10.799999999999841</c:v>
                </c:pt>
                <c:pt idx="150">
                  <c:v>-10.800000000000125</c:v>
                </c:pt>
                <c:pt idx="151">
                  <c:v>-18.400000000000034</c:v>
                </c:pt>
                <c:pt idx="152">
                  <c:v>-13.199999999999932</c:v>
                </c:pt>
                <c:pt idx="153">
                  <c:v>-11.599999999999966</c:v>
                </c:pt>
                <c:pt idx="154">
                  <c:v>-12.400000000000091</c:v>
                </c:pt>
                <c:pt idx="155">
                  <c:v>-10.799999999999841</c:v>
                </c:pt>
                <c:pt idx="156">
                  <c:v>-10</c:v>
                </c:pt>
                <c:pt idx="157">
                  <c:v>-8.4000000000000341</c:v>
                </c:pt>
                <c:pt idx="158">
                  <c:v>-5.4000000000002046</c:v>
                </c:pt>
                <c:pt idx="159">
                  <c:v>-7.8000000000000114</c:v>
                </c:pt>
                <c:pt idx="160">
                  <c:v>-7.8000000000000114</c:v>
                </c:pt>
                <c:pt idx="161">
                  <c:v>-7.5999999999999091</c:v>
                </c:pt>
                <c:pt idx="162">
                  <c:v>-7.8000000000000114</c:v>
                </c:pt>
                <c:pt idx="163">
                  <c:v>-6.2000000000000455</c:v>
                </c:pt>
                <c:pt idx="164">
                  <c:v>-6.2000000000000455</c:v>
                </c:pt>
                <c:pt idx="165">
                  <c:v>-8.3999999999997499</c:v>
                </c:pt>
                <c:pt idx="166">
                  <c:v>-6.2000000000000455</c:v>
                </c:pt>
                <c:pt idx="167">
                  <c:v>10</c:v>
                </c:pt>
                <c:pt idx="168">
                  <c:v>24.799999999999898</c:v>
                </c:pt>
                <c:pt idx="169">
                  <c:v>5.3999999999999204</c:v>
                </c:pt>
                <c:pt idx="170">
                  <c:v>-8.5999999999998522</c:v>
                </c:pt>
                <c:pt idx="171">
                  <c:v>-5.3999999999999204</c:v>
                </c:pt>
                <c:pt idx="172">
                  <c:v>-10</c:v>
                </c:pt>
                <c:pt idx="173">
                  <c:v>-12.400000000000091</c:v>
                </c:pt>
                <c:pt idx="174">
                  <c:v>-9.2000000000001592</c:v>
                </c:pt>
                <c:pt idx="175">
                  <c:v>-10.799999999999841</c:v>
                </c:pt>
                <c:pt idx="176">
                  <c:v>-14.799999999999898</c:v>
                </c:pt>
                <c:pt idx="177">
                  <c:v>-13.000000000000114</c:v>
                </c:pt>
                <c:pt idx="178">
                  <c:v>-12.400000000000091</c:v>
                </c:pt>
                <c:pt idx="179">
                  <c:v>-9.1999999999998749</c:v>
                </c:pt>
                <c:pt idx="180">
                  <c:v>-9.3999999999999773</c:v>
                </c:pt>
                <c:pt idx="181">
                  <c:v>-7.6000000000001933</c:v>
                </c:pt>
                <c:pt idx="182">
                  <c:v>-7.8000000000000114</c:v>
                </c:pt>
                <c:pt idx="183">
                  <c:v>-8.3999999999997499</c:v>
                </c:pt>
                <c:pt idx="184">
                  <c:v>-7.0000000000001705</c:v>
                </c:pt>
                <c:pt idx="185">
                  <c:v>-6.9999999999998863</c:v>
                </c:pt>
                <c:pt idx="186">
                  <c:v>-7.8000000000000114</c:v>
                </c:pt>
                <c:pt idx="187">
                  <c:v>3.1999999999999318</c:v>
                </c:pt>
                <c:pt idx="188">
                  <c:v>26.200000000000045</c:v>
                </c:pt>
                <c:pt idx="189">
                  <c:v>16.200000000000045</c:v>
                </c:pt>
                <c:pt idx="190">
                  <c:v>1.5999999999999659</c:v>
                </c:pt>
                <c:pt idx="191">
                  <c:v>2.4000000000000909</c:v>
                </c:pt>
                <c:pt idx="192">
                  <c:v>-9.4000000000002615</c:v>
                </c:pt>
                <c:pt idx="193">
                  <c:v>-12.199999999999989</c:v>
                </c:pt>
                <c:pt idx="194">
                  <c:v>-10.999999999999943</c:v>
                </c:pt>
                <c:pt idx="195">
                  <c:v>-10.799999999999841</c:v>
                </c:pt>
                <c:pt idx="196">
                  <c:v>-14.60000000000008</c:v>
                </c:pt>
                <c:pt idx="197">
                  <c:v>-11.599999999999966</c:v>
                </c:pt>
                <c:pt idx="198">
                  <c:v>-14.60000000000008</c:v>
                </c:pt>
                <c:pt idx="199">
                  <c:v>-12.400000000000091</c:v>
                </c:pt>
                <c:pt idx="200">
                  <c:v>-9.1999999999998749</c:v>
                </c:pt>
                <c:pt idx="201">
                  <c:v>-10.800000000000125</c:v>
                </c:pt>
                <c:pt idx="202">
                  <c:v>-7.8000000000000114</c:v>
                </c:pt>
                <c:pt idx="203">
                  <c:v>-6.1999999999997613</c:v>
                </c:pt>
                <c:pt idx="204">
                  <c:v>-7.8000000000000114</c:v>
                </c:pt>
                <c:pt idx="205">
                  <c:v>-7.6000000000001933</c:v>
                </c:pt>
                <c:pt idx="206">
                  <c:v>-5.3999999999999204</c:v>
                </c:pt>
                <c:pt idx="207">
                  <c:v>-6.2000000000000455</c:v>
                </c:pt>
                <c:pt idx="208">
                  <c:v>16.200000000000045</c:v>
                </c:pt>
                <c:pt idx="209">
                  <c:v>31.599999999999966</c:v>
                </c:pt>
                <c:pt idx="210">
                  <c:v>12.400000000000091</c:v>
                </c:pt>
                <c:pt idx="211">
                  <c:v>-1.5999999999999659</c:v>
                </c:pt>
                <c:pt idx="212">
                  <c:v>-6.2000000000000455</c:v>
                </c:pt>
                <c:pt idx="213">
                  <c:v>-13.000000000000114</c:v>
                </c:pt>
                <c:pt idx="214">
                  <c:v>-10.799999999999841</c:v>
                </c:pt>
                <c:pt idx="215">
                  <c:v>-8.6000000000001364</c:v>
                </c:pt>
                <c:pt idx="216">
                  <c:v>-8.4000000000000341</c:v>
                </c:pt>
                <c:pt idx="217">
                  <c:v>-8.5999999999998522</c:v>
                </c:pt>
                <c:pt idx="218">
                  <c:v>-10.800000000000125</c:v>
                </c:pt>
                <c:pt idx="219">
                  <c:v>-10.799999999999841</c:v>
                </c:pt>
                <c:pt idx="220">
                  <c:v>-10</c:v>
                </c:pt>
                <c:pt idx="221">
                  <c:v>-10.800000000000125</c:v>
                </c:pt>
                <c:pt idx="222">
                  <c:v>-9.1999999999998749</c:v>
                </c:pt>
                <c:pt idx="223">
                  <c:v>-10.200000000000102</c:v>
                </c:pt>
                <c:pt idx="224">
                  <c:v>-9.1999999999998749</c:v>
                </c:pt>
                <c:pt idx="225">
                  <c:v>-7.0000000000001705</c:v>
                </c:pt>
                <c:pt idx="226">
                  <c:v>-7.5999999999999091</c:v>
                </c:pt>
                <c:pt idx="227">
                  <c:v>-9.3999999999999773</c:v>
                </c:pt>
                <c:pt idx="228">
                  <c:v>-3.0000000000001137</c:v>
                </c:pt>
                <c:pt idx="229">
                  <c:v>28.600000000000136</c:v>
                </c:pt>
                <c:pt idx="230">
                  <c:v>26.200000000000045</c:v>
                </c:pt>
                <c:pt idx="231">
                  <c:v>-2.4000000000000909</c:v>
                </c:pt>
                <c:pt idx="232">
                  <c:v>-3.7999999999999545</c:v>
                </c:pt>
                <c:pt idx="233">
                  <c:v>-8.4000000000000341</c:v>
                </c:pt>
                <c:pt idx="234">
                  <c:v>-11.599999999999966</c:v>
                </c:pt>
                <c:pt idx="235">
                  <c:v>-8.6000000000001364</c:v>
                </c:pt>
                <c:pt idx="236">
                  <c:v>-5.3999999999999204</c:v>
                </c:pt>
                <c:pt idx="237">
                  <c:v>-7.5999999999999091</c:v>
                </c:pt>
                <c:pt idx="238">
                  <c:v>-7.8000000000000114</c:v>
                </c:pt>
                <c:pt idx="239">
                  <c:v>-7.0000000000001705</c:v>
                </c:pt>
                <c:pt idx="240">
                  <c:v>-7.5999999999999091</c:v>
                </c:pt>
                <c:pt idx="241">
                  <c:v>-9.3999999999999773</c:v>
                </c:pt>
                <c:pt idx="242">
                  <c:v>-8.4000000000000341</c:v>
                </c:pt>
                <c:pt idx="243">
                  <c:v>-7.8000000000000114</c:v>
                </c:pt>
                <c:pt idx="244">
                  <c:v>-8.4000000000000341</c:v>
                </c:pt>
                <c:pt idx="245">
                  <c:v>-7.8000000000000114</c:v>
                </c:pt>
                <c:pt idx="246">
                  <c:v>-7.8000000000000114</c:v>
                </c:pt>
                <c:pt idx="247">
                  <c:v>-6.8000000000000682</c:v>
                </c:pt>
                <c:pt idx="248">
                  <c:v>-3.1999999999999318</c:v>
                </c:pt>
                <c:pt idx="249">
                  <c:v>28.600000000000136</c:v>
                </c:pt>
                <c:pt idx="250">
                  <c:v>6.9999999999998863</c:v>
                </c:pt>
                <c:pt idx="251">
                  <c:v>-3.7999999999999545</c:v>
                </c:pt>
                <c:pt idx="252">
                  <c:v>-6.2000000000000455</c:v>
                </c:pt>
                <c:pt idx="253">
                  <c:v>-11.599999999999966</c:v>
                </c:pt>
                <c:pt idx="254">
                  <c:v>-6.9999999999998863</c:v>
                </c:pt>
                <c:pt idx="255">
                  <c:v>-3.8000000000002387</c:v>
                </c:pt>
                <c:pt idx="256">
                  <c:v>-4.5999999999997954</c:v>
                </c:pt>
                <c:pt idx="257">
                  <c:v>-6.2000000000000455</c:v>
                </c:pt>
                <c:pt idx="258">
                  <c:v>-7.8000000000000114</c:v>
                </c:pt>
                <c:pt idx="259">
                  <c:v>-5.3999999999999204</c:v>
                </c:pt>
                <c:pt idx="260">
                  <c:v>-7.8000000000000114</c:v>
                </c:pt>
                <c:pt idx="261">
                  <c:v>-5.4000000000002046</c:v>
                </c:pt>
                <c:pt idx="262">
                  <c:v>-8.3999999999997499</c:v>
                </c:pt>
                <c:pt idx="263">
                  <c:v>-4.6000000000000796</c:v>
                </c:pt>
                <c:pt idx="264">
                  <c:v>-7.8000000000000114</c:v>
                </c:pt>
                <c:pt idx="265">
                  <c:v>-4.6000000000000796</c:v>
                </c:pt>
                <c:pt idx="266">
                  <c:v>-6.2000000000000455</c:v>
                </c:pt>
                <c:pt idx="267">
                  <c:v>16.200000000000045</c:v>
                </c:pt>
                <c:pt idx="268">
                  <c:v>5.3999999999999204</c:v>
                </c:pt>
                <c:pt idx="269">
                  <c:v>-4.5999999999997954</c:v>
                </c:pt>
                <c:pt idx="270">
                  <c:v>-6.2000000000000455</c:v>
                </c:pt>
                <c:pt idx="271">
                  <c:v>-4.6000000000000796</c:v>
                </c:pt>
                <c:pt idx="272">
                  <c:v>-8.5999999999998522</c:v>
                </c:pt>
                <c:pt idx="273">
                  <c:v>-3.8000000000002387</c:v>
                </c:pt>
                <c:pt idx="274">
                  <c:v>-2.1999999999999886</c:v>
                </c:pt>
                <c:pt idx="275">
                  <c:v>-6.9999999999998863</c:v>
                </c:pt>
                <c:pt idx="276">
                  <c:v>-5.3999999999999204</c:v>
                </c:pt>
                <c:pt idx="277">
                  <c:v>-6.2000000000000455</c:v>
                </c:pt>
                <c:pt idx="278">
                  <c:v>-4.6000000000000796</c:v>
                </c:pt>
                <c:pt idx="279">
                  <c:v>-5.3999999999999204</c:v>
                </c:pt>
                <c:pt idx="280">
                  <c:v>-7.0000000000000284</c:v>
                </c:pt>
                <c:pt idx="281">
                  <c:v>-3.7999999999999545</c:v>
                </c:pt>
                <c:pt idx="282">
                  <c:v>-6.2000000000000455</c:v>
                </c:pt>
                <c:pt idx="283">
                  <c:v>-4.5999999999999375</c:v>
                </c:pt>
                <c:pt idx="284">
                  <c:v>-5.4000000000000625</c:v>
                </c:pt>
                <c:pt idx="285">
                  <c:v>-6.2000000000000455</c:v>
                </c:pt>
                <c:pt idx="286">
                  <c:v>8.4000000000000341</c:v>
                </c:pt>
                <c:pt idx="287">
                  <c:v>7.0000000000000284</c:v>
                </c:pt>
                <c:pt idx="288">
                  <c:v>-1.5999999999999659</c:v>
                </c:pt>
                <c:pt idx="289">
                  <c:v>-3.8000000000000966</c:v>
                </c:pt>
                <c:pt idx="290">
                  <c:v>-3.7999999999999545</c:v>
                </c:pt>
                <c:pt idx="291">
                  <c:v>-7.8000000000000114</c:v>
                </c:pt>
                <c:pt idx="292">
                  <c:v>-3.7999999999999545</c:v>
                </c:pt>
                <c:pt idx="293">
                  <c:v>-4.8000000000000398</c:v>
                </c:pt>
                <c:pt idx="294">
                  <c:v>-3.7999999999999545</c:v>
                </c:pt>
                <c:pt idx="295">
                  <c:v>-3.8000000000000966</c:v>
                </c:pt>
                <c:pt idx="296">
                  <c:v>-6.9999999999998863</c:v>
                </c:pt>
                <c:pt idx="297">
                  <c:v>-4.6000000000000796</c:v>
                </c:pt>
                <c:pt idx="298">
                  <c:v>-3.7999999999999545</c:v>
                </c:pt>
                <c:pt idx="299">
                  <c:v>-4.0000000000000568</c:v>
                </c:pt>
                <c:pt idx="300">
                  <c:v>-5.3999999999999204</c:v>
                </c:pt>
                <c:pt idx="301">
                  <c:v>-2.9999999999999716</c:v>
                </c:pt>
                <c:pt idx="302">
                  <c:v>-6.2000000000000455</c:v>
                </c:pt>
                <c:pt idx="303">
                  <c:v>-3.7999999999999545</c:v>
                </c:pt>
                <c:pt idx="304">
                  <c:v>-4.0000000000000568</c:v>
                </c:pt>
                <c:pt idx="305">
                  <c:v>-4.6000000000000796</c:v>
                </c:pt>
                <c:pt idx="306">
                  <c:v>-6.1999999999999034</c:v>
                </c:pt>
                <c:pt idx="307">
                  <c:v>10.799999999999983</c:v>
                </c:pt>
                <c:pt idx="308">
                  <c:v>4.0000000000000568</c:v>
                </c:pt>
                <c:pt idx="309">
                  <c:v>-1.600000000000108</c:v>
                </c:pt>
                <c:pt idx="310">
                  <c:v>-4.5999999999999375</c:v>
                </c:pt>
                <c:pt idx="311">
                  <c:v>-4.0000000000000568</c:v>
                </c:pt>
                <c:pt idx="312">
                  <c:v>-5.3999999999999204</c:v>
                </c:pt>
                <c:pt idx="313">
                  <c:v>-3.0000000000001137</c:v>
                </c:pt>
                <c:pt idx="314">
                  <c:v>-5.3999999999999204</c:v>
                </c:pt>
                <c:pt idx="315">
                  <c:v>-3.2000000000000739</c:v>
                </c:pt>
                <c:pt idx="316">
                  <c:v>-2.9999999999999716</c:v>
                </c:pt>
                <c:pt idx="317">
                  <c:v>-4.5999999999999375</c:v>
                </c:pt>
                <c:pt idx="318">
                  <c:v>-3.8000000000000966</c:v>
                </c:pt>
                <c:pt idx="319">
                  <c:v>-3.9999999999999147</c:v>
                </c:pt>
                <c:pt idx="320">
                  <c:v>-4.6000000000000796</c:v>
                </c:pt>
                <c:pt idx="321">
                  <c:v>-115.79999999999998</c:v>
                </c:pt>
                <c:pt idx="322">
                  <c:v>-135.99999999999994</c:v>
                </c:pt>
                <c:pt idx="323">
                  <c:v>-99.60000000000008</c:v>
                </c:pt>
                <c:pt idx="324">
                  <c:v>-84.199999999999875</c:v>
                </c:pt>
                <c:pt idx="325">
                  <c:v>-70.200000000000031</c:v>
                </c:pt>
                <c:pt idx="326">
                  <c:v>-60.399999999999991</c:v>
                </c:pt>
                <c:pt idx="327">
                  <c:v>-50.200000000000031</c:v>
                </c:pt>
                <c:pt idx="328">
                  <c:v>-50.200000000000031</c:v>
                </c:pt>
                <c:pt idx="329">
                  <c:v>-41.599999999999966</c:v>
                </c:pt>
                <c:pt idx="330">
                  <c:v>-37.800000000000011</c:v>
                </c:pt>
                <c:pt idx="331">
                  <c:v>-33.999999999999986</c:v>
                </c:pt>
                <c:pt idx="332">
                  <c:v>-31.799999999999997</c:v>
                </c:pt>
                <c:pt idx="333">
                  <c:v>-26.20000000000001</c:v>
                </c:pt>
                <c:pt idx="334">
                  <c:v>-23.999999999999986</c:v>
                </c:pt>
                <c:pt idx="335">
                  <c:v>-21.6</c:v>
                </c:pt>
                <c:pt idx="336">
                  <c:v>-18.399999999999999</c:v>
                </c:pt>
                <c:pt idx="337">
                  <c:v>-17.000000000000028</c:v>
                </c:pt>
                <c:pt idx="338">
                  <c:v>-16.999999999999993</c:v>
                </c:pt>
                <c:pt idx="339">
                  <c:v>-13.200000000000003</c:v>
                </c:pt>
                <c:pt idx="340">
                  <c:v>-13.200000000000003</c:v>
                </c:pt>
                <c:pt idx="341">
                  <c:v>-10</c:v>
                </c:pt>
                <c:pt idx="342">
                  <c:v>-8.3999999999999986</c:v>
                </c:pt>
                <c:pt idx="343">
                  <c:v>-11.599999999999984</c:v>
                </c:pt>
                <c:pt idx="344">
                  <c:v>-8.6000000000000121</c:v>
                </c:pt>
                <c:pt idx="345">
                  <c:v>-8.3999999999999986</c:v>
                </c:pt>
                <c:pt idx="346">
                  <c:v>-6.9999999999999929</c:v>
                </c:pt>
                <c:pt idx="347">
                  <c:v>-4.6000000000000085</c:v>
                </c:pt>
                <c:pt idx="348">
                  <c:v>-4.5999999999999908</c:v>
                </c:pt>
                <c:pt idx="349">
                  <c:v>-6.2000000000000099</c:v>
                </c:pt>
                <c:pt idx="350">
                  <c:v>-4.5999999999999908</c:v>
                </c:pt>
                <c:pt idx="351">
                  <c:v>-6.2000000000000099</c:v>
                </c:pt>
                <c:pt idx="352">
                  <c:v>-5.3999999999999915</c:v>
                </c:pt>
                <c:pt idx="353">
                  <c:v>-1.6000000000000014</c:v>
                </c:pt>
                <c:pt idx="354">
                  <c:v>-4.6000000000000085</c:v>
                </c:pt>
                <c:pt idx="355">
                  <c:v>-5.3999999999999915</c:v>
                </c:pt>
                <c:pt idx="356">
                  <c:v>-3.2000000000000028</c:v>
                </c:pt>
                <c:pt idx="357">
                  <c:v>-3.7999999999999989</c:v>
                </c:pt>
                <c:pt idx="358">
                  <c:v>-3.7999999999999989</c:v>
                </c:pt>
                <c:pt idx="359">
                  <c:v>-4.0000000000000036</c:v>
                </c:pt>
                <c:pt idx="360">
                  <c:v>-2.9999999999999982</c:v>
                </c:pt>
                <c:pt idx="361">
                  <c:v>-1.6000000000000014</c:v>
                </c:pt>
                <c:pt idx="362">
                  <c:v>-3.7999999999999989</c:v>
                </c:pt>
                <c:pt idx="363">
                  <c:v>-2.3999999999999932</c:v>
                </c:pt>
                <c:pt idx="364">
                  <c:v>-2.2000000000000064</c:v>
                </c:pt>
                <c:pt idx="365">
                  <c:v>-2.3999999999999932</c:v>
                </c:pt>
                <c:pt idx="366">
                  <c:v>-1.6000000000000014</c:v>
                </c:pt>
                <c:pt idx="367">
                  <c:v>-3.7999999999999989</c:v>
                </c:pt>
                <c:pt idx="368">
                  <c:v>-3.0000000000000071</c:v>
                </c:pt>
                <c:pt idx="369">
                  <c:v>-1.5999999999999925</c:v>
                </c:pt>
                <c:pt idx="370">
                  <c:v>-0.80000000000000071</c:v>
                </c:pt>
                <c:pt idx="371">
                  <c:v>-2.2000000000000064</c:v>
                </c:pt>
                <c:pt idx="372">
                  <c:v>-2.3999999999999977</c:v>
                </c:pt>
                <c:pt idx="373">
                  <c:v>-0.80000000000000071</c:v>
                </c:pt>
                <c:pt idx="374">
                  <c:v>-1.599999999999997</c:v>
                </c:pt>
                <c:pt idx="375">
                  <c:v>-2.200000000000002</c:v>
                </c:pt>
                <c:pt idx="376">
                  <c:v>-1.6000000000000014</c:v>
                </c:pt>
                <c:pt idx="377">
                  <c:v>-0.79999999999999627</c:v>
                </c:pt>
                <c:pt idx="378">
                  <c:v>-1.6000000000000014</c:v>
                </c:pt>
                <c:pt idx="379">
                  <c:v>-2.200000000000002</c:v>
                </c:pt>
                <c:pt idx="380">
                  <c:v>-0.80000000000000071</c:v>
                </c:pt>
                <c:pt idx="381">
                  <c:v>-1.599999999999997</c:v>
                </c:pt>
                <c:pt idx="382">
                  <c:v>-1.4000000000000012</c:v>
                </c:pt>
                <c:pt idx="383">
                  <c:v>-0.80000000000000071</c:v>
                </c:pt>
                <c:pt idx="384">
                  <c:v>-1.599999999999997</c:v>
                </c:pt>
                <c:pt idx="385">
                  <c:v>-0.80000000000000071</c:v>
                </c:pt>
                <c:pt idx="386">
                  <c:v>-2.200000000000002</c:v>
                </c:pt>
                <c:pt idx="387">
                  <c:v>0</c:v>
                </c:pt>
                <c:pt idx="388">
                  <c:v>-1.5999999999999992</c:v>
                </c:pt>
                <c:pt idx="389">
                  <c:v>0</c:v>
                </c:pt>
                <c:pt idx="390">
                  <c:v>-2.4</c:v>
                </c:pt>
                <c:pt idx="391">
                  <c:v>-0.80000000000000071</c:v>
                </c:pt>
                <c:pt idx="392">
                  <c:v>-1.399999999999999</c:v>
                </c:pt>
                <c:pt idx="393">
                  <c:v>-0.80000000000000071</c:v>
                </c:pt>
                <c:pt idx="394">
                  <c:v>-0.80000000000000071</c:v>
                </c:pt>
                <c:pt idx="395">
                  <c:v>-0.79999999999999849</c:v>
                </c:pt>
                <c:pt idx="396">
                  <c:v>0</c:v>
                </c:pt>
                <c:pt idx="397">
                  <c:v>-0.80000000000000071</c:v>
                </c:pt>
                <c:pt idx="398">
                  <c:v>-1.6000000000000003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-1.4000000000000001</c:v>
                </c:pt>
                <c:pt idx="403">
                  <c:v>-0.7999999999999996</c:v>
                </c:pt>
                <c:pt idx="404">
                  <c:v>0</c:v>
                </c:pt>
                <c:pt idx="405">
                  <c:v>-1.5999999999999996</c:v>
                </c:pt>
                <c:pt idx="406">
                  <c:v>-0.80000000000000016</c:v>
                </c:pt>
                <c:pt idx="407">
                  <c:v>-1.4000000000000001</c:v>
                </c:pt>
                <c:pt idx="408">
                  <c:v>1.4000000000000001</c:v>
                </c:pt>
                <c:pt idx="409">
                  <c:v>0</c:v>
                </c:pt>
                <c:pt idx="410">
                  <c:v>-1.4000000000000001</c:v>
                </c:pt>
                <c:pt idx="411">
                  <c:v>0</c:v>
                </c:pt>
                <c:pt idx="412">
                  <c:v>0</c:v>
                </c:pt>
                <c:pt idx="413">
                  <c:v>-0.79999999999999982</c:v>
                </c:pt>
                <c:pt idx="414">
                  <c:v>0</c:v>
                </c:pt>
                <c:pt idx="415">
                  <c:v>-1.5999999999999999</c:v>
                </c:pt>
                <c:pt idx="4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69-4445-8D0F-6C4A9185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252800"/>
        <c:axId val="312251552"/>
      </c:scatterChart>
      <c:valAx>
        <c:axId val="312252800"/>
        <c:scaling>
          <c:orientation val="minMax"/>
          <c:max val="3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2251552"/>
        <c:crosses val="autoZero"/>
        <c:crossBetween val="midCat"/>
      </c:valAx>
      <c:valAx>
        <c:axId val="312251552"/>
        <c:scaling>
          <c:orientation val="minMax"/>
          <c:max val="17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22528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Hoja1!$E$3:$E$418</c:f>
              <c:numCache>
                <c:formatCode>0.00</c:formatCode>
                <c:ptCount val="416"/>
                <c:pt idx="0">
                  <c:v>-0.60000000000002274</c:v>
                </c:pt>
                <c:pt idx="1">
                  <c:v>1.1999999999999318</c:v>
                </c:pt>
                <c:pt idx="2">
                  <c:v>-1.0399999999999636</c:v>
                </c:pt>
                <c:pt idx="3">
                  <c:v>0.60000000000002274</c:v>
                </c:pt>
                <c:pt idx="4">
                  <c:v>0.27999999999997272</c:v>
                </c:pt>
                <c:pt idx="5">
                  <c:v>-1.9600000000000364</c:v>
                </c:pt>
                <c:pt idx="6">
                  <c:v>1.6800000000000637</c:v>
                </c:pt>
                <c:pt idx="7">
                  <c:v>-0.75999999999999091</c:v>
                </c:pt>
                <c:pt idx="8">
                  <c:v>0.12000000000000455</c:v>
                </c:pt>
                <c:pt idx="9">
                  <c:v>0.19999999999993179</c:v>
                </c:pt>
                <c:pt idx="10">
                  <c:v>-0.79999999999995453</c:v>
                </c:pt>
                <c:pt idx="11">
                  <c:v>-0.48000000000001819</c:v>
                </c:pt>
                <c:pt idx="12">
                  <c:v>-3.67999999999995</c:v>
                </c:pt>
                <c:pt idx="13">
                  <c:v>-3.8800000000001091</c:v>
                </c:pt>
                <c:pt idx="14">
                  <c:v>0.96000000000015007</c:v>
                </c:pt>
                <c:pt idx="15">
                  <c:v>-4.0000000000190994E-2</c:v>
                </c:pt>
                <c:pt idx="16">
                  <c:v>0.64000000000021373</c:v>
                </c:pt>
                <c:pt idx="17">
                  <c:v>-1.1368683772161603E-13</c:v>
                </c:pt>
                <c:pt idx="18">
                  <c:v>-0.16000000000008185</c:v>
                </c:pt>
                <c:pt idx="19">
                  <c:v>0.48000000000013188</c:v>
                </c:pt>
                <c:pt idx="20">
                  <c:v>-4.0000000000077307E-2</c:v>
                </c:pt>
                <c:pt idx="21">
                  <c:v>4.0000000000077307E-2</c:v>
                </c:pt>
                <c:pt idx="22">
                  <c:v>0.12000000000000455</c:v>
                </c:pt>
                <c:pt idx="23">
                  <c:v>0.51999999999986812</c:v>
                </c:pt>
                <c:pt idx="24">
                  <c:v>0.40000000000009095</c:v>
                </c:pt>
                <c:pt idx="25">
                  <c:v>-1.3600000000000136</c:v>
                </c:pt>
                <c:pt idx="26">
                  <c:v>0.48000000000001819</c:v>
                </c:pt>
                <c:pt idx="27">
                  <c:v>-0.19999999999993179</c:v>
                </c:pt>
                <c:pt idx="28">
                  <c:v>0.4799999999999045</c:v>
                </c:pt>
                <c:pt idx="29">
                  <c:v>-0.12000000000000455</c:v>
                </c:pt>
                <c:pt idx="30">
                  <c:v>0.12000000000000455</c:v>
                </c:pt>
                <c:pt idx="31">
                  <c:v>-0.15999999999996817</c:v>
                </c:pt>
                <c:pt idx="32">
                  <c:v>0.20000000000004547</c:v>
                </c:pt>
                <c:pt idx="33">
                  <c:v>-0.20000000000015916</c:v>
                </c:pt>
                <c:pt idx="34">
                  <c:v>0.16000000000019554</c:v>
                </c:pt>
                <c:pt idx="35">
                  <c:v>-1.1368683772161603E-13</c:v>
                </c:pt>
                <c:pt idx="36">
                  <c:v>0.15999999999996817</c:v>
                </c:pt>
                <c:pt idx="37">
                  <c:v>1.1368683772161603E-13</c:v>
                </c:pt>
                <c:pt idx="38">
                  <c:v>-0.12000000000011823</c:v>
                </c:pt>
                <c:pt idx="39">
                  <c:v>-3.999999999996362E-2</c:v>
                </c:pt>
                <c:pt idx="40">
                  <c:v>0.32000000000005002</c:v>
                </c:pt>
                <c:pt idx="41">
                  <c:v>-0.16000000000008185</c:v>
                </c:pt>
                <c:pt idx="42">
                  <c:v>-0.4799999999999045</c:v>
                </c:pt>
                <c:pt idx="43">
                  <c:v>0.79999999999995453</c:v>
                </c:pt>
                <c:pt idx="44">
                  <c:v>0.75999999999999091</c:v>
                </c:pt>
                <c:pt idx="45">
                  <c:v>-0.43999999999994088</c:v>
                </c:pt>
                <c:pt idx="46">
                  <c:v>-1.2800000000000864</c:v>
                </c:pt>
                <c:pt idx="47">
                  <c:v>0.36000000000001364</c:v>
                </c:pt>
                <c:pt idx="48">
                  <c:v>0.60000000000002274</c:v>
                </c:pt>
                <c:pt idx="49">
                  <c:v>-0.31999999999993634</c:v>
                </c:pt>
                <c:pt idx="50">
                  <c:v>-1.1368683772161603E-13</c:v>
                </c:pt>
                <c:pt idx="51">
                  <c:v>1.1368683772161603E-13</c:v>
                </c:pt>
                <c:pt idx="52">
                  <c:v>0.31999999999993634</c:v>
                </c:pt>
                <c:pt idx="53">
                  <c:v>-0.48000000000001819</c:v>
                </c:pt>
                <c:pt idx="54">
                  <c:v>0.48000000000001819</c:v>
                </c:pt>
                <c:pt idx="55">
                  <c:v>-4.0000000000077307E-2</c:v>
                </c:pt>
                <c:pt idx="56">
                  <c:v>-0.39999999999986358</c:v>
                </c:pt>
                <c:pt idx="57">
                  <c:v>0.55999999999994543</c:v>
                </c:pt>
                <c:pt idx="58">
                  <c:v>-0.44000000000005457</c:v>
                </c:pt>
                <c:pt idx="59">
                  <c:v>0.16000000000008185</c:v>
                </c:pt>
                <c:pt idx="60">
                  <c:v>0.15999999999996817</c:v>
                </c:pt>
                <c:pt idx="61">
                  <c:v>-0.15999999999996817</c:v>
                </c:pt>
                <c:pt idx="62">
                  <c:v>0.31999999999993634</c:v>
                </c:pt>
                <c:pt idx="63">
                  <c:v>-0.63999999999998636</c:v>
                </c:pt>
                <c:pt idx="64">
                  <c:v>0.92000000000007276</c:v>
                </c:pt>
                <c:pt idx="65">
                  <c:v>1.1199999999998909</c:v>
                </c:pt>
                <c:pt idx="66">
                  <c:v>-1.4399999999999409</c:v>
                </c:pt>
                <c:pt idx="67">
                  <c:v>-0.87999999999999545</c:v>
                </c:pt>
                <c:pt idx="68">
                  <c:v>0.60000000000002274</c:v>
                </c:pt>
                <c:pt idx="69">
                  <c:v>0.15999999999991132</c:v>
                </c:pt>
                <c:pt idx="70">
                  <c:v>-0.15999999999991132</c:v>
                </c:pt>
                <c:pt idx="71">
                  <c:v>0.43999999999994088</c:v>
                </c:pt>
                <c:pt idx="72">
                  <c:v>-0.43999999999994088</c:v>
                </c:pt>
                <c:pt idx="73">
                  <c:v>0.31999999999993634</c:v>
                </c:pt>
                <c:pt idx="74">
                  <c:v>-0.63999999999992951</c:v>
                </c:pt>
                <c:pt idx="75">
                  <c:v>0.63999999999992951</c:v>
                </c:pt>
                <c:pt idx="76">
                  <c:v>-3.999999999996362E-2</c:v>
                </c:pt>
                <c:pt idx="77">
                  <c:v>4.0000000000020464E-2</c:v>
                </c:pt>
                <c:pt idx="78">
                  <c:v>-0.32000000000005002</c:v>
                </c:pt>
                <c:pt idx="79">
                  <c:v>0.60000000000002274</c:v>
                </c:pt>
                <c:pt idx="80">
                  <c:v>-0.27999999999997272</c:v>
                </c:pt>
                <c:pt idx="81">
                  <c:v>-0.32000000000005002</c:v>
                </c:pt>
                <c:pt idx="82">
                  <c:v>0.44000000000005457</c:v>
                </c:pt>
                <c:pt idx="83">
                  <c:v>-0.44000000000005457</c:v>
                </c:pt>
                <c:pt idx="84">
                  <c:v>1.5600000000000591</c:v>
                </c:pt>
                <c:pt idx="85">
                  <c:v>0.1199999999999477</c:v>
                </c:pt>
                <c:pt idx="86">
                  <c:v>-2.5999999999999659</c:v>
                </c:pt>
                <c:pt idx="87">
                  <c:v>0.91999999999995907</c:v>
                </c:pt>
                <c:pt idx="88">
                  <c:v>0.43999999999999773</c:v>
                </c:pt>
                <c:pt idx="89">
                  <c:v>-0.59999999999996589</c:v>
                </c:pt>
                <c:pt idx="90">
                  <c:v>0.96000000000003638</c:v>
                </c:pt>
                <c:pt idx="91">
                  <c:v>-0.52000000000003865</c:v>
                </c:pt>
                <c:pt idx="92">
                  <c:v>-0.28000000000002956</c:v>
                </c:pt>
                <c:pt idx="93">
                  <c:v>0.16000000000002501</c:v>
                </c:pt>
                <c:pt idx="94">
                  <c:v>0.60000000000002274</c:v>
                </c:pt>
                <c:pt idx="95">
                  <c:v>-0.44000000000005457</c:v>
                </c:pt>
                <c:pt idx="96">
                  <c:v>-0.31999999999993634</c:v>
                </c:pt>
                <c:pt idx="97">
                  <c:v>0.59999999999996589</c:v>
                </c:pt>
                <c:pt idx="98">
                  <c:v>-0.12000000000000455</c:v>
                </c:pt>
                <c:pt idx="99">
                  <c:v>-0.16000000000002501</c:v>
                </c:pt>
                <c:pt idx="100">
                  <c:v>-0.19999999999993179</c:v>
                </c:pt>
                <c:pt idx="101">
                  <c:v>0.79999999999995453</c:v>
                </c:pt>
                <c:pt idx="102">
                  <c:v>-0.43999999999999773</c:v>
                </c:pt>
                <c:pt idx="103">
                  <c:v>2.4399999999999977</c:v>
                </c:pt>
                <c:pt idx="104">
                  <c:v>-0.75999999999999091</c:v>
                </c:pt>
                <c:pt idx="105">
                  <c:v>-3.6800000000000068</c:v>
                </c:pt>
                <c:pt idx="106">
                  <c:v>0.87999999999999545</c:v>
                </c:pt>
                <c:pt idx="107">
                  <c:v>0.96000000000003638</c:v>
                </c:pt>
                <c:pt idx="108">
                  <c:v>-4.0000000000020464E-2</c:v>
                </c:pt>
                <c:pt idx="109">
                  <c:v>0.19999999999998863</c:v>
                </c:pt>
                <c:pt idx="110">
                  <c:v>0.12000000000000455</c:v>
                </c:pt>
                <c:pt idx="111">
                  <c:v>-0.43999999999999773</c:v>
                </c:pt>
                <c:pt idx="112">
                  <c:v>0.16000000000002501</c:v>
                </c:pt>
                <c:pt idx="113">
                  <c:v>0.1199999999999477</c:v>
                </c:pt>
                <c:pt idx="114">
                  <c:v>0.20000000000004547</c:v>
                </c:pt>
                <c:pt idx="115">
                  <c:v>-0.36000000000001364</c:v>
                </c:pt>
                <c:pt idx="116">
                  <c:v>-0.12000000000000455</c:v>
                </c:pt>
                <c:pt idx="117">
                  <c:v>0.75999999999999091</c:v>
                </c:pt>
                <c:pt idx="118">
                  <c:v>-0.27999999999997272</c:v>
                </c:pt>
                <c:pt idx="119">
                  <c:v>-4.0000000000020464E-2</c:v>
                </c:pt>
                <c:pt idx="120">
                  <c:v>-0.43999999999999773</c:v>
                </c:pt>
                <c:pt idx="121">
                  <c:v>0.59999999999996589</c:v>
                </c:pt>
                <c:pt idx="122">
                  <c:v>0.32000000000005002</c:v>
                </c:pt>
                <c:pt idx="123">
                  <c:v>3.2399999999999523</c:v>
                </c:pt>
                <c:pt idx="124">
                  <c:v>-0.15999999999996817</c:v>
                </c:pt>
                <c:pt idx="125">
                  <c:v>-3.5199999999999818</c:v>
                </c:pt>
                <c:pt idx="126">
                  <c:v>-1.1200000000000045</c:v>
                </c:pt>
                <c:pt idx="127">
                  <c:v>-0.28000000000002956</c:v>
                </c:pt>
                <c:pt idx="128">
                  <c:v>-1.1199999999999477</c:v>
                </c:pt>
                <c:pt idx="129">
                  <c:v>2.0399999999999636</c:v>
                </c:pt>
                <c:pt idx="130">
                  <c:v>0.43999999999999773</c:v>
                </c:pt>
                <c:pt idx="131">
                  <c:v>-0.43999999999999773</c:v>
                </c:pt>
                <c:pt idx="132">
                  <c:v>0</c:v>
                </c:pt>
                <c:pt idx="133">
                  <c:v>0.15999999999996817</c:v>
                </c:pt>
                <c:pt idx="134">
                  <c:v>0.28000000000002956</c:v>
                </c:pt>
                <c:pt idx="135">
                  <c:v>0.16000000000002501</c:v>
                </c:pt>
                <c:pt idx="136">
                  <c:v>-0.28000000000002956</c:v>
                </c:pt>
                <c:pt idx="137">
                  <c:v>0.43999999999999773</c:v>
                </c:pt>
                <c:pt idx="138">
                  <c:v>-0.75999999999999091</c:v>
                </c:pt>
                <c:pt idx="139">
                  <c:v>0.60000000000002274</c:v>
                </c:pt>
                <c:pt idx="140">
                  <c:v>-0.32000000000005002</c:v>
                </c:pt>
                <c:pt idx="141">
                  <c:v>4.0000000000020464E-2</c:v>
                </c:pt>
                <c:pt idx="142">
                  <c:v>0.43999999999999773</c:v>
                </c:pt>
                <c:pt idx="143">
                  <c:v>-0.27999999999997272</c:v>
                </c:pt>
                <c:pt idx="144">
                  <c:v>2.1200000000000045</c:v>
                </c:pt>
                <c:pt idx="145">
                  <c:v>3.2399999999999523</c:v>
                </c:pt>
                <c:pt idx="146">
                  <c:v>-1.5199999999999818</c:v>
                </c:pt>
                <c:pt idx="147">
                  <c:v>-4.6399999999999864</c:v>
                </c:pt>
                <c:pt idx="148">
                  <c:v>0.16000000000002501</c:v>
                </c:pt>
                <c:pt idx="149">
                  <c:v>-5.6843418860808015E-14</c:v>
                </c:pt>
                <c:pt idx="150">
                  <c:v>-1.5199999999999818</c:v>
                </c:pt>
                <c:pt idx="151">
                  <c:v>1.0400000000000205</c:v>
                </c:pt>
                <c:pt idx="152">
                  <c:v>0.31999999999999318</c:v>
                </c:pt>
                <c:pt idx="153">
                  <c:v>-0.16000000000002501</c:v>
                </c:pt>
                <c:pt idx="154">
                  <c:v>0.32000000000005002</c:v>
                </c:pt>
                <c:pt idx="155">
                  <c:v>0.15999999999996817</c:v>
                </c:pt>
                <c:pt idx="156">
                  <c:v>0.31999999999999318</c:v>
                </c:pt>
                <c:pt idx="157">
                  <c:v>0.59999999999996589</c:v>
                </c:pt>
                <c:pt idx="158">
                  <c:v>-0.47999999999996135</c:v>
                </c:pt>
                <c:pt idx="159">
                  <c:v>0</c:v>
                </c:pt>
                <c:pt idx="160">
                  <c:v>4.0000000000020464E-2</c:v>
                </c:pt>
                <c:pt idx="161">
                  <c:v>-4.0000000000020464E-2</c:v>
                </c:pt>
                <c:pt idx="162">
                  <c:v>0.31999999999999318</c:v>
                </c:pt>
                <c:pt idx="163">
                  <c:v>0</c:v>
                </c:pt>
                <c:pt idx="164">
                  <c:v>-0.43999999999994088</c:v>
                </c:pt>
                <c:pt idx="165">
                  <c:v>0.43999999999994088</c:v>
                </c:pt>
                <c:pt idx="166">
                  <c:v>3.2400000000000091</c:v>
                </c:pt>
                <c:pt idx="167">
                  <c:v>2.9599999999999795</c:v>
                </c:pt>
                <c:pt idx="168">
                  <c:v>-3.8799999999999955</c:v>
                </c:pt>
                <c:pt idx="169">
                  <c:v>-2.7999999999999545</c:v>
                </c:pt>
                <c:pt idx="170">
                  <c:v>0.63999999999998636</c:v>
                </c:pt>
                <c:pt idx="171">
                  <c:v>-0.92000000000001592</c:v>
                </c:pt>
                <c:pt idx="172">
                  <c:v>-0.48000000000001819</c:v>
                </c:pt>
                <c:pt idx="173">
                  <c:v>0.63999999999998636</c:v>
                </c:pt>
                <c:pt idx="174">
                  <c:v>-0.31999999999993634</c:v>
                </c:pt>
                <c:pt idx="175">
                  <c:v>-0.80000000000001137</c:v>
                </c:pt>
                <c:pt idx="176">
                  <c:v>0.3599999999999568</c:v>
                </c:pt>
                <c:pt idx="177">
                  <c:v>0.12000000000000455</c:v>
                </c:pt>
                <c:pt idx="178">
                  <c:v>0.6400000000000432</c:v>
                </c:pt>
                <c:pt idx="179">
                  <c:v>-4.0000000000020464E-2</c:v>
                </c:pt>
                <c:pt idx="180">
                  <c:v>0.3599999999999568</c:v>
                </c:pt>
                <c:pt idx="181">
                  <c:v>-3.999999999996362E-2</c:v>
                </c:pt>
                <c:pt idx="182">
                  <c:v>-0.1199999999999477</c:v>
                </c:pt>
                <c:pt idx="183">
                  <c:v>0.27999999999991587</c:v>
                </c:pt>
                <c:pt idx="184">
                  <c:v>5.6843418860808015E-14</c:v>
                </c:pt>
                <c:pt idx="185">
                  <c:v>-0.16000000000002501</c:v>
                </c:pt>
                <c:pt idx="186">
                  <c:v>2.1999999999999886</c:v>
                </c:pt>
                <c:pt idx="187">
                  <c:v>4.6000000000000227</c:v>
                </c:pt>
                <c:pt idx="188">
                  <c:v>-2</c:v>
                </c:pt>
                <c:pt idx="189">
                  <c:v>-2.9200000000000159</c:v>
                </c:pt>
                <c:pt idx="190">
                  <c:v>0.16000000000002501</c:v>
                </c:pt>
                <c:pt idx="191">
                  <c:v>-2.3600000000000705</c:v>
                </c:pt>
                <c:pt idx="192">
                  <c:v>-0.55999999999994543</c:v>
                </c:pt>
                <c:pt idx="193">
                  <c:v>0.24000000000000909</c:v>
                </c:pt>
                <c:pt idx="194">
                  <c:v>4.0000000000020464E-2</c:v>
                </c:pt>
                <c:pt idx="195">
                  <c:v>-0.76000000000004775</c:v>
                </c:pt>
                <c:pt idx="196">
                  <c:v>0.60000000000002274</c:v>
                </c:pt>
                <c:pt idx="197">
                  <c:v>-0.60000000000002274</c:v>
                </c:pt>
                <c:pt idx="198">
                  <c:v>0.43999999999999773</c:v>
                </c:pt>
                <c:pt idx="199">
                  <c:v>0.6400000000000432</c:v>
                </c:pt>
                <c:pt idx="200">
                  <c:v>-0.32000000000005002</c:v>
                </c:pt>
                <c:pt idx="201">
                  <c:v>0.60000000000002274</c:v>
                </c:pt>
                <c:pt idx="202">
                  <c:v>0.32000000000005002</c:v>
                </c:pt>
                <c:pt idx="203">
                  <c:v>-0.32000000000005002</c:v>
                </c:pt>
                <c:pt idx="204">
                  <c:v>3.999999999996362E-2</c:v>
                </c:pt>
                <c:pt idx="205">
                  <c:v>0.44000000000005457</c:v>
                </c:pt>
                <c:pt idx="206">
                  <c:v>-0.16000000000002501</c:v>
                </c:pt>
                <c:pt idx="207">
                  <c:v>4.4800000000000182</c:v>
                </c:pt>
                <c:pt idx="208">
                  <c:v>3.0799999999999841</c:v>
                </c:pt>
                <c:pt idx="209">
                  <c:v>-3.839999999999975</c:v>
                </c:pt>
                <c:pt idx="210">
                  <c:v>-2.8000000000000114</c:v>
                </c:pt>
                <c:pt idx="211">
                  <c:v>-0.92000000000001592</c:v>
                </c:pt>
                <c:pt idx="212">
                  <c:v>-1.3600000000000136</c:v>
                </c:pt>
                <c:pt idx="213">
                  <c:v>0.44000000000005457</c:v>
                </c:pt>
                <c:pt idx="214">
                  <c:v>0.43999999999994088</c:v>
                </c:pt>
                <c:pt idx="215">
                  <c:v>4.0000000000020464E-2</c:v>
                </c:pt>
                <c:pt idx="216">
                  <c:v>-3.999999999996362E-2</c:v>
                </c:pt>
                <c:pt idx="217">
                  <c:v>-0.44000000000005457</c:v>
                </c:pt>
                <c:pt idx="218">
                  <c:v>5.6843418860808015E-14</c:v>
                </c:pt>
                <c:pt idx="219">
                  <c:v>0.15999999999996817</c:v>
                </c:pt>
                <c:pt idx="220">
                  <c:v>-0.16000000000002501</c:v>
                </c:pt>
                <c:pt idx="221">
                  <c:v>0.32000000000005002</c:v>
                </c:pt>
                <c:pt idx="222">
                  <c:v>-0.20000000000004547</c:v>
                </c:pt>
                <c:pt idx="223">
                  <c:v>0.20000000000004547</c:v>
                </c:pt>
                <c:pt idx="224">
                  <c:v>0.43999999999994088</c:v>
                </c:pt>
                <c:pt idx="225">
                  <c:v>-0.1199999999999477</c:v>
                </c:pt>
                <c:pt idx="226">
                  <c:v>-0.36000000000001364</c:v>
                </c:pt>
                <c:pt idx="227">
                  <c:v>1.2799999999999727</c:v>
                </c:pt>
                <c:pt idx="228">
                  <c:v>6.32000000000005</c:v>
                </c:pt>
                <c:pt idx="229">
                  <c:v>-0.48000000000001819</c:v>
                </c:pt>
                <c:pt idx="230">
                  <c:v>-5.7200000000000273</c:v>
                </c:pt>
                <c:pt idx="231">
                  <c:v>-0.27999999999997272</c:v>
                </c:pt>
                <c:pt idx="232">
                  <c:v>-0.92000000000001592</c:v>
                </c:pt>
                <c:pt idx="233">
                  <c:v>-0.63999999999998636</c:v>
                </c:pt>
                <c:pt idx="234">
                  <c:v>0.59999999999996589</c:v>
                </c:pt>
                <c:pt idx="235">
                  <c:v>0.6400000000000432</c:v>
                </c:pt>
                <c:pt idx="236">
                  <c:v>-0.43999999999999773</c:v>
                </c:pt>
                <c:pt idx="237">
                  <c:v>-4.0000000000020464E-2</c:v>
                </c:pt>
                <c:pt idx="238">
                  <c:v>0.15999999999996817</c:v>
                </c:pt>
                <c:pt idx="239">
                  <c:v>-0.1199999999999477</c:v>
                </c:pt>
                <c:pt idx="240">
                  <c:v>-0.36000000000001364</c:v>
                </c:pt>
                <c:pt idx="241">
                  <c:v>0.19999999999998863</c:v>
                </c:pt>
                <c:pt idx="242">
                  <c:v>0.12000000000000455</c:v>
                </c:pt>
                <c:pt idx="243">
                  <c:v>-0.12000000000000455</c:v>
                </c:pt>
                <c:pt idx="244">
                  <c:v>0.12000000000000455</c:v>
                </c:pt>
                <c:pt idx="245">
                  <c:v>0</c:v>
                </c:pt>
                <c:pt idx="246">
                  <c:v>0.19999999999998863</c:v>
                </c:pt>
                <c:pt idx="247">
                  <c:v>0.72000000000002728</c:v>
                </c:pt>
                <c:pt idx="248">
                  <c:v>6.3600000000000136</c:v>
                </c:pt>
                <c:pt idx="249">
                  <c:v>-4.32000000000005</c:v>
                </c:pt>
                <c:pt idx="250">
                  <c:v>-2.1599999999999682</c:v>
                </c:pt>
                <c:pt idx="251">
                  <c:v>-0.48000000000001819</c:v>
                </c:pt>
                <c:pt idx="252">
                  <c:v>-1.0799999999999841</c:v>
                </c:pt>
                <c:pt idx="253">
                  <c:v>0.92000000000001592</c:v>
                </c:pt>
                <c:pt idx="254">
                  <c:v>0.63999999999992951</c:v>
                </c:pt>
                <c:pt idx="255">
                  <c:v>-0.15999999999991132</c:v>
                </c:pt>
                <c:pt idx="256">
                  <c:v>-0.32000000000005002</c:v>
                </c:pt>
                <c:pt idx="257">
                  <c:v>-0.31999999999999318</c:v>
                </c:pt>
                <c:pt idx="258">
                  <c:v>0.48000000000001819</c:v>
                </c:pt>
                <c:pt idx="259">
                  <c:v>-0.48000000000001819</c:v>
                </c:pt>
                <c:pt idx="260">
                  <c:v>0.47999999999996135</c:v>
                </c:pt>
                <c:pt idx="261">
                  <c:v>-0.59999999999990905</c:v>
                </c:pt>
                <c:pt idx="262">
                  <c:v>0.75999999999993406</c:v>
                </c:pt>
                <c:pt idx="263">
                  <c:v>-0.63999999999998636</c:v>
                </c:pt>
                <c:pt idx="264">
                  <c:v>0.63999999999998636</c:v>
                </c:pt>
                <c:pt idx="265">
                  <c:v>-0.31999999999999318</c:v>
                </c:pt>
                <c:pt idx="266">
                  <c:v>4.4800000000000182</c:v>
                </c:pt>
                <c:pt idx="267">
                  <c:v>-2.160000000000025</c:v>
                </c:pt>
                <c:pt idx="268">
                  <c:v>-1.9999999999999432</c:v>
                </c:pt>
                <c:pt idx="269">
                  <c:v>-0.32000000000005002</c:v>
                </c:pt>
                <c:pt idx="270">
                  <c:v>0.31999999999999318</c:v>
                </c:pt>
                <c:pt idx="271">
                  <c:v>-0.79999999999995453</c:v>
                </c:pt>
                <c:pt idx="272">
                  <c:v>0.95999999999992269</c:v>
                </c:pt>
                <c:pt idx="273">
                  <c:v>0.32000000000005002</c:v>
                </c:pt>
                <c:pt idx="274">
                  <c:v>-0.95999999999997954</c:v>
                </c:pt>
                <c:pt idx="275">
                  <c:v>0.31999999999999318</c:v>
                </c:pt>
                <c:pt idx="276">
                  <c:v>-0.16000000000002501</c:v>
                </c:pt>
                <c:pt idx="277">
                  <c:v>0.31999999999999318</c:v>
                </c:pt>
                <c:pt idx="278">
                  <c:v>-0.15999999999996817</c:v>
                </c:pt>
                <c:pt idx="279">
                  <c:v>-0.3200000000000216</c:v>
                </c:pt>
                <c:pt idx="280">
                  <c:v>0.64000000000001478</c:v>
                </c:pt>
                <c:pt idx="281">
                  <c:v>-0.48000000000001819</c:v>
                </c:pt>
                <c:pt idx="282">
                  <c:v>0.3200000000000216</c:v>
                </c:pt>
                <c:pt idx="283">
                  <c:v>-0.16000000000002501</c:v>
                </c:pt>
                <c:pt idx="284">
                  <c:v>-0.15999999999999659</c:v>
                </c:pt>
                <c:pt idx="285">
                  <c:v>2.9200000000000159</c:v>
                </c:pt>
                <c:pt idx="286">
                  <c:v>-0.28000000000000114</c:v>
                </c:pt>
                <c:pt idx="287">
                  <c:v>-1.7199999999999989</c:v>
                </c:pt>
                <c:pt idx="288">
                  <c:v>-0.44000000000002615</c:v>
                </c:pt>
                <c:pt idx="289">
                  <c:v>2.8421709430404007E-14</c:v>
                </c:pt>
                <c:pt idx="290">
                  <c:v>-0.80000000000001137</c:v>
                </c:pt>
                <c:pt idx="291">
                  <c:v>0.80000000000001137</c:v>
                </c:pt>
                <c:pt idx="292">
                  <c:v>-0.20000000000001705</c:v>
                </c:pt>
                <c:pt idx="293">
                  <c:v>0.20000000000001705</c:v>
                </c:pt>
                <c:pt idx="294">
                  <c:v>-2.8421709430404007E-14</c:v>
                </c:pt>
                <c:pt idx="295">
                  <c:v>-0.63999999999995794</c:v>
                </c:pt>
                <c:pt idx="296">
                  <c:v>0.47999999999996135</c:v>
                </c:pt>
                <c:pt idx="297">
                  <c:v>0.16000000000002501</c:v>
                </c:pt>
                <c:pt idx="298">
                  <c:v>-4.0000000000020464E-2</c:v>
                </c:pt>
                <c:pt idx="299">
                  <c:v>-0.27999999999997272</c:v>
                </c:pt>
                <c:pt idx="300">
                  <c:v>0.47999999999998977</c:v>
                </c:pt>
                <c:pt idx="301">
                  <c:v>-0.64000000000001478</c:v>
                </c:pt>
                <c:pt idx="302">
                  <c:v>0.48000000000001819</c:v>
                </c:pt>
                <c:pt idx="303">
                  <c:v>-4.0000000000020464E-2</c:v>
                </c:pt>
                <c:pt idx="304">
                  <c:v>-0.12000000000000455</c:v>
                </c:pt>
                <c:pt idx="305">
                  <c:v>-0.31999999999996476</c:v>
                </c:pt>
                <c:pt idx="306">
                  <c:v>3.3999999999999773</c:v>
                </c:pt>
                <c:pt idx="307">
                  <c:v>-1.3599999999999852</c:v>
                </c:pt>
                <c:pt idx="308">
                  <c:v>-1.120000000000033</c:v>
                </c:pt>
                <c:pt idx="309">
                  <c:v>-0.59999999999996589</c:v>
                </c:pt>
                <c:pt idx="310">
                  <c:v>0.11999999999997613</c:v>
                </c:pt>
                <c:pt idx="311">
                  <c:v>-0.27999999999997272</c:v>
                </c:pt>
                <c:pt idx="312">
                  <c:v>0.47999999999996135</c:v>
                </c:pt>
                <c:pt idx="313">
                  <c:v>-0.47999999999996135</c:v>
                </c:pt>
                <c:pt idx="314">
                  <c:v>0.4399999999999693</c:v>
                </c:pt>
                <c:pt idx="315">
                  <c:v>4.0000000000020464E-2</c:v>
                </c:pt>
                <c:pt idx="316">
                  <c:v>-0.31999999999999318</c:v>
                </c:pt>
                <c:pt idx="317">
                  <c:v>0.15999999999996817</c:v>
                </c:pt>
                <c:pt idx="318">
                  <c:v>-3.999999999996362E-2</c:v>
                </c:pt>
                <c:pt idx="319">
                  <c:v>-0.12000000000003297</c:v>
                </c:pt>
                <c:pt idx="320">
                  <c:v>-22.239999999999981</c:v>
                </c:pt>
                <c:pt idx="321">
                  <c:v>-4.039999999999992</c:v>
                </c:pt>
                <c:pt idx="322">
                  <c:v>7.2799999999999727</c:v>
                </c:pt>
                <c:pt idx="323">
                  <c:v>3.0800000000000409</c:v>
                </c:pt>
                <c:pt idx="324">
                  <c:v>2.7999999999999687</c:v>
                </c:pt>
                <c:pt idx="325">
                  <c:v>1.960000000000008</c:v>
                </c:pt>
                <c:pt idx="326">
                  <c:v>2.039999999999992</c:v>
                </c:pt>
                <c:pt idx="327">
                  <c:v>0</c:v>
                </c:pt>
                <c:pt idx="328">
                  <c:v>1.7200000000000131</c:v>
                </c:pt>
                <c:pt idx="329">
                  <c:v>0.75999999999999091</c:v>
                </c:pt>
                <c:pt idx="330">
                  <c:v>0.76000000000000512</c:v>
                </c:pt>
                <c:pt idx="331">
                  <c:v>0.43999999999999773</c:v>
                </c:pt>
                <c:pt idx="332">
                  <c:v>1.1199999999999974</c:v>
                </c:pt>
                <c:pt idx="333">
                  <c:v>0.44000000000000483</c:v>
                </c:pt>
                <c:pt idx="334">
                  <c:v>0.47999999999999687</c:v>
                </c:pt>
                <c:pt idx="335">
                  <c:v>0.64000000000000057</c:v>
                </c:pt>
                <c:pt idx="336">
                  <c:v>0.27999999999999403</c:v>
                </c:pt>
                <c:pt idx="337">
                  <c:v>7.1054273576010019E-15</c:v>
                </c:pt>
                <c:pt idx="338">
                  <c:v>0.75999999999999801</c:v>
                </c:pt>
                <c:pt idx="339">
                  <c:v>0</c:v>
                </c:pt>
                <c:pt idx="340">
                  <c:v>0.64000000000000057</c:v>
                </c:pt>
                <c:pt idx="341">
                  <c:v>0.32000000000000028</c:v>
                </c:pt>
                <c:pt idx="342">
                  <c:v>-0.63999999999999702</c:v>
                </c:pt>
                <c:pt idx="343">
                  <c:v>0.59999999999999432</c:v>
                </c:pt>
                <c:pt idx="344">
                  <c:v>4.00000000000027E-2</c:v>
                </c:pt>
                <c:pt idx="345">
                  <c:v>0.28000000000000114</c:v>
                </c:pt>
                <c:pt idx="346">
                  <c:v>0.47999999999999687</c:v>
                </c:pt>
                <c:pt idx="347">
                  <c:v>3.5527136788005009E-15</c:v>
                </c:pt>
                <c:pt idx="348">
                  <c:v>-0.32000000000000384</c:v>
                </c:pt>
                <c:pt idx="349">
                  <c:v>0.32000000000000384</c:v>
                </c:pt>
                <c:pt idx="350">
                  <c:v>-0.32000000000000384</c:v>
                </c:pt>
                <c:pt idx="351">
                  <c:v>0.16000000000000369</c:v>
                </c:pt>
                <c:pt idx="352">
                  <c:v>0.75999999999999801</c:v>
                </c:pt>
                <c:pt idx="353">
                  <c:v>-0.60000000000000142</c:v>
                </c:pt>
                <c:pt idx="354">
                  <c:v>-0.15999999999999659</c:v>
                </c:pt>
                <c:pt idx="355">
                  <c:v>0.43999999999999773</c:v>
                </c:pt>
                <c:pt idx="356">
                  <c:v>-0.11999999999999922</c:v>
                </c:pt>
                <c:pt idx="357">
                  <c:v>0</c:v>
                </c:pt>
                <c:pt idx="358">
                  <c:v>-4.0000000000000924E-2</c:v>
                </c:pt>
                <c:pt idx="359">
                  <c:v>0.20000000000000107</c:v>
                </c:pt>
                <c:pt idx="360">
                  <c:v>0.27999999999999936</c:v>
                </c:pt>
                <c:pt idx="361">
                  <c:v>-0.4399999999999995</c:v>
                </c:pt>
                <c:pt idx="362">
                  <c:v>0.28000000000000114</c:v>
                </c:pt>
                <c:pt idx="363">
                  <c:v>3.9999999999997371E-2</c:v>
                </c:pt>
                <c:pt idx="364">
                  <c:v>-3.9999999999997371E-2</c:v>
                </c:pt>
                <c:pt idx="365">
                  <c:v>0.15999999999999837</c:v>
                </c:pt>
                <c:pt idx="366">
                  <c:v>-0.4399999999999995</c:v>
                </c:pt>
                <c:pt idx="367">
                  <c:v>0.15999999999999837</c:v>
                </c:pt>
                <c:pt idx="368">
                  <c:v>0.28000000000000291</c:v>
                </c:pt>
                <c:pt idx="369">
                  <c:v>0.15999999999999837</c:v>
                </c:pt>
                <c:pt idx="370">
                  <c:v>-0.28000000000000114</c:v>
                </c:pt>
                <c:pt idx="371">
                  <c:v>-3.9999999999998259E-2</c:v>
                </c:pt>
                <c:pt idx="372">
                  <c:v>0.3199999999999994</c:v>
                </c:pt>
                <c:pt idx="373">
                  <c:v>-0.15999999999999925</c:v>
                </c:pt>
                <c:pt idx="374">
                  <c:v>-0.12000000000000099</c:v>
                </c:pt>
                <c:pt idx="375">
                  <c:v>0.12000000000000011</c:v>
                </c:pt>
                <c:pt idx="376">
                  <c:v>0.16000000000000103</c:v>
                </c:pt>
                <c:pt idx="377">
                  <c:v>-0.16000000000000103</c:v>
                </c:pt>
                <c:pt idx="378">
                  <c:v>-0.12000000000000011</c:v>
                </c:pt>
                <c:pt idx="379">
                  <c:v>0.28000000000000025</c:v>
                </c:pt>
                <c:pt idx="380">
                  <c:v>-0.15999999999999925</c:v>
                </c:pt>
                <c:pt idx="381">
                  <c:v>3.9999999999999147E-2</c:v>
                </c:pt>
                <c:pt idx="382">
                  <c:v>0.12000000000000011</c:v>
                </c:pt>
                <c:pt idx="383">
                  <c:v>-0.15999999999999925</c:v>
                </c:pt>
                <c:pt idx="384">
                  <c:v>0.15999999999999925</c:v>
                </c:pt>
                <c:pt idx="385">
                  <c:v>-0.28000000000000025</c:v>
                </c:pt>
                <c:pt idx="386">
                  <c:v>0.44000000000000039</c:v>
                </c:pt>
                <c:pt idx="387">
                  <c:v>-0.31999999999999984</c:v>
                </c:pt>
                <c:pt idx="388">
                  <c:v>0.31999999999999984</c:v>
                </c:pt>
                <c:pt idx="389">
                  <c:v>-0.48</c:v>
                </c:pt>
                <c:pt idx="390">
                  <c:v>0.31999999999999984</c:v>
                </c:pt>
                <c:pt idx="391">
                  <c:v>-0.11999999999999966</c:v>
                </c:pt>
                <c:pt idx="392">
                  <c:v>0.11999999999999966</c:v>
                </c:pt>
                <c:pt idx="393">
                  <c:v>0</c:v>
                </c:pt>
                <c:pt idx="394">
                  <c:v>4.4408920985006262E-16</c:v>
                </c:pt>
                <c:pt idx="395">
                  <c:v>0.1599999999999997</c:v>
                </c:pt>
                <c:pt idx="396">
                  <c:v>-0.16000000000000014</c:v>
                </c:pt>
                <c:pt idx="397">
                  <c:v>-0.15999999999999992</c:v>
                </c:pt>
                <c:pt idx="398">
                  <c:v>0.32000000000000006</c:v>
                </c:pt>
                <c:pt idx="399">
                  <c:v>0</c:v>
                </c:pt>
                <c:pt idx="400">
                  <c:v>0</c:v>
                </c:pt>
                <c:pt idx="401">
                  <c:v>-0.28000000000000003</c:v>
                </c:pt>
                <c:pt idx="402">
                  <c:v>0.12000000000000011</c:v>
                </c:pt>
                <c:pt idx="403">
                  <c:v>0.15999999999999992</c:v>
                </c:pt>
                <c:pt idx="404">
                  <c:v>-0.31999999999999995</c:v>
                </c:pt>
                <c:pt idx="405">
                  <c:v>0.15999999999999989</c:v>
                </c:pt>
                <c:pt idx="406">
                  <c:v>-0.12</c:v>
                </c:pt>
                <c:pt idx="407">
                  <c:v>0.56000000000000005</c:v>
                </c:pt>
                <c:pt idx="408">
                  <c:v>-0.28000000000000003</c:v>
                </c:pt>
                <c:pt idx="409">
                  <c:v>-0.28000000000000003</c:v>
                </c:pt>
                <c:pt idx="410">
                  <c:v>0.28000000000000003</c:v>
                </c:pt>
                <c:pt idx="411">
                  <c:v>0</c:v>
                </c:pt>
                <c:pt idx="412">
                  <c:v>-0.15999999999999998</c:v>
                </c:pt>
                <c:pt idx="413">
                  <c:v>0.15999999999999998</c:v>
                </c:pt>
                <c:pt idx="414">
                  <c:v>-0.31999999999999995</c:v>
                </c:pt>
                <c:pt idx="415">
                  <c:v>0.31999999999999995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57-4E95-A15C-BB744D0A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31808"/>
        <c:axId val="286204768"/>
      </c:scatterChart>
      <c:valAx>
        <c:axId val="286231808"/>
        <c:scaling>
          <c:orientation val="minMax"/>
          <c:max val="325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6204768"/>
        <c:crosses val="autoZero"/>
        <c:crossBetween val="midCat"/>
      </c:valAx>
      <c:valAx>
        <c:axId val="2862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623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Ing.</a:t>
            </a:r>
            <a:r>
              <a:rPr lang="es-MX" baseline="0"/>
              <a:t> Hernández 141/74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1044267866862756E-2"/>
          <c:y val="0.13909551594042074"/>
          <c:w val="0.88992622796682819"/>
          <c:h val="0.80378106888897527"/>
        </c:manualLayout>
      </c:layout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Hoja1!$AF$2:$AF$580</c:f>
              <c:numCache>
                <c:formatCode>General</c:formatCode>
                <c:ptCount val="5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</c:numCache>
            </c:numRef>
          </c:xVal>
          <c:yVal>
            <c:numRef>
              <c:f>Hoja1!$AG$2:$AG$580</c:f>
              <c:numCache>
                <c:formatCode>0.0</c:formatCode>
                <c:ptCount val="579"/>
                <c:pt idx="0">
                  <c:v>0.54</c:v>
                </c:pt>
                <c:pt idx="1">
                  <c:v>0.97</c:v>
                </c:pt>
                <c:pt idx="2">
                  <c:v>1.31</c:v>
                </c:pt>
                <c:pt idx="3">
                  <c:v>1.62</c:v>
                </c:pt>
                <c:pt idx="4">
                  <c:v>1.97</c:v>
                </c:pt>
                <c:pt idx="5">
                  <c:v>2.09</c:v>
                </c:pt>
                <c:pt idx="6">
                  <c:v>2.09</c:v>
                </c:pt>
                <c:pt idx="7">
                  <c:v>2.09</c:v>
                </c:pt>
                <c:pt idx="8">
                  <c:v>2.16</c:v>
                </c:pt>
                <c:pt idx="9">
                  <c:v>2.09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2.4300000000000002</c:v>
                </c:pt>
                <c:pt idx="13">
                  <c:v>2.5099999999999998</c:v>
                </c:pt>
                <c:pt idx="14">
                  <c:v>2.74</c:v>
                </c:pt>
                <c:pt idx="15">
                  <c:v>2.86</c:v>
                </c:pt>
                <c:pt idx="16">
                  <c:v>3.09</c:v>
                </c:pt>
                <c:pt idx="17">
                  <c:v>3.21</c:v>
                </c:pt>
                <c:pt idx="18">
                  <c:v>3.44</c:v>
                </c:pt>
                <c:pt idx="19">
                  <c:v>3.51</c:v>
                </c:pt>
                <c:pt idx="20">
                  <c:v>3.86</c:v>
                </c:pt>
                <c:pt idx="21">
                  <c:v>4.0199999999999996</c:v>
                </c:pt>
                <c:pt idx="22">
                  <c:v>4.3600000000000003</c:v>
                </c:pt>
                <c:pt idx="23">
                  <c:v>4.5199999999999996</c:v>
                </c:pt>
                <c:pt idx="24">
                  <c:v>4.83</c:v>
                </c:pt>
                <c:pt idx="25">
                  <c:v>5.0599999999999996</c:v>
                </c:pt>
                <c:pt idx="26">
                  <c:v>5.41</c:v>
                </c:pt>
                <c:pt idx="27">
                  <c:v>5.56</c:v>
                </c:pt>
                <c:pt idx="28">
                  <c:v>6.02</c:v>
                </c:pt>
                <c:pt idx="29">
                  <c:v>6.29</c:v>
                </c:pt>
                <c:pt idx="30">
                  <c:v>6.76</c:v>
                </c:pt>
                <c:pt idx="31">
                  <c:v>7.07</c:v>
                </c:pt>
                <c:pt idx="32">
                  <c:v>7.41</c:v>
                </c:pt>
                <c:pt idx="33">
                  <c:v>7.68</c:v>
                </c:pt>
                <c:pt idx="34">
                  <c:v>8.26</c:v>
                </c:pt>
                <c:pt idx="35">
                  <c:v>8.4600000000000009</c:v>
                </c:pt>
                <c:pt idx="36">
                  <c:v>9</c:v>
                </c:pt>
                <c:pt idx="37">
                  <c:v>9.5</c:v>
                </c:pt>
                <c:pt idx="38">
                  <c:v>9.77</c:v>
                </c:pt>
                <c:pt idx="39">
                  <c:v>10.27</c:v>
                </c:pt>
                <c:pt idx="40">
                  <c:v>10.58</c:v>
                </c:pt>
                <c:pt idx="41">
                  <c:v>11.24</c:v>
                </c:pt>
                <c:pt idx="42">
                  <c:v>11.55</c:v>
                </c:pt>
                <c:pt idx="43">
                  <c:v>12.2</c:v>
                </c:pt>
                <c:pt idx="44">
                  <c:v>12.63</c:v>
                </c:pt>
                <c:pt idx="45">
                  <c:v>13.21</c:v>
                </c:pt>
                <c:pt idx="46">
                  <c:v>13.63</c:v>
                </c:pt>
                <c:pt idx="47">
                  <c:v>14.13</c:v>
                </c:pt>
                <c:pt idx="48">
                  <c:v>14.64</c:v>
                </c:pt>
                <c:pt idx="49">
                  <c:v>15.22</c:v>
                </c:pt>
                <c:pt idx="50">
                  <c:v>15.68</c:v>
                </c:pt>
                <c:pt idx="51">
                  <c:v>16.18</c:v>
                </c:pt>
                <c:pt idx="52">
                  <c:v>16.72</c:v>
                </c:pt>
                <c:pt idx="53">
                  <c:v>17.489999999999998</c:v>
                </c:pt>
                <c:pt idx="54">
                  <c:v>18.23</c:v>
                </c:pt>
                <c:pt idx="55">
                  <c:v>18.88</c:v>
                </c:pt>
                <c:pt idx="56">
                  <c:v>19.73</c:v>
                </c:pt>
                <c:pt idx="57">
                  <c:v>20.51</c:v>
                </c:pt>
                <c:pt idx="58">
                  <c:v>21.47</c:v>
                </c:pt>
                <c:pt idx="59">
                  <c:v>22.2</c:v>
                </c:pt>
                <c:pt idx="60">
                  <c:v>22.94</c:v>
                </c:pt>
                <c:pt idx="61">
                  <c:v>23.67</c:v>
                </c:pt>
                <c:pt idx="62">
                  <c:v>24.41</c:v>
                </c:pt>
                <c:pt idx="63">
                  <c:v>25.37</c:v>
                </c:pt>
                <c:pt idx="64">
                  <c:v>26.3</c:v>
                </c:pt>
                <c:pt idx="65">
                  <c:v>27.19</c:v>
                </c:pt>
                <c:pt idx="66">
                  <c:v>28</c:v>
                </c:pt>
                <c:pt idx="67">
                  <c:v>29.12</c:v>
                </c:pt>
                <c:pt idx="68">
                  <c:v>30.01</c:v>
                </c:pt>
                <c:pt idx="69">
                  <c:v>30.78</c:v>
                </c:pt>
                <c:pt idx="70">
                  <c:v>31.59</c:v>
                </c:pt>
                <c:pt idx="71">
                  <c:v>32.549999999999997</c:v>
                </c:pt>
                <c:pt idx="72">
                  <c:v>33.520000000000003</c:v>
                </c:pt>
                <c:pt idx="73">
                  <c:v>34.520000000000003</c:v>
                </c:pt>
                <c:pt idx="74">
                  <c:v>35.49</c:v>
                </c:pt>
                <c:pt idx="75">
                  <c:v>36.49</c:v>
                </c:pt>
                <c:pt idx="76">
                  <c:v>37.5</c:v>
                </c:pt>
                <c:pt idx="77">
                  <c:v>38.35</c:v>
                </c:pt>
                <c:pt idx="78">
                  <c:v>39.229999999999997</c:v>
                </c:pt>
                <c:pt idx="79">
                  <c:v>40.200000000000003</c:v>
                </c:pt>
                <c:pt idx="80">
                  <c:v>41.36</c:v>
                </c:pt>
                <c:pt idx="81">
                  <c:v>42.36</c:v>
                </c:pt>
                <c:pt idx="82">
                  <c:v>43.41</c:v>
                </c:pt>
                <c:pt idx="83">
                  <c:v>44.37</c:v>
                </c:pt>
                <c:pt idx="84">
                  <c:v>45.26</c:v>
                </c:pt>
                <c:pt idx="85">
                  <c:v>46.07</c:v>
                </c:pt>
                <c:pt idx="86">
                  <c:v>47.23</c:v>
                </c:pt>
                <c:pt idx="87">
                  <c:v>48.54</c:v>
                </c:pt>
                <c:pt idx="88">
                  <c:v>49.55</c:v>
                </c:pt>
                <c:pt idx="89">
                  <c:v>50.59</c:v>
                </c:pt>
                <c:pt idx="90">
                  <c:v>51.71</c:v>
                </c:pt>
                <c:pt idx="91">
                  <c:v>52.63</c:v>
                </c:pt>
                <c:pt idx="92">
                  <c:v>53.56</c:v>
                </c:pt>
                <c:pt idx="93">
                  <c:v>54.84</c:v>
                </c:pt>
                <c:pt idx="94">
                  <c:v>55.96</c:v>
                </c:pt>
                <c:pt idx="95">
                  <c:v>56.96</c:v>
                </c:pt>
                <c:pt idx="96">
                  <c:v>58.23</c:v>
                </c:pt>
                <c:pt idx="97">
                  <c:v>59.16</c:v>
                </c:pt>
                <c:pt idx="98">
                  <c:v>60.32</c:v>
                </c:pt>
                <c:pt idx="99">
                  <c:v>61.21</c:v>
                </c:pt>
                <c:pt idx="100">
                  <c:v>62.52</c:v>
                </c:pt>
                <c:pt idx="101">
                  <c:v>64.3</c:v>
                </c:pt>
                <c:pt idx="102">
                  <c:v>65.569999999999993</c:v>
                </c:pt>
                <c:pt idx="103">
                  <c:v>66.650000000000006</c:v>
                </c:pt>
                <c:pt idx="104">
                  <c:v>67.7</c:v>
                </c:pt>
                <c:pt idx="105">
                  <c:v>68.510000000000005</c:v>
                </c:pt>
                <c:pt idx="106">
                  <c:v>69.78</c:v>
                </c:pt>
                <c:pt idx="107">
                  <c:v>70.75</c:v>
                </c:pt>
                <c:pt idx="108">
                  <c:v>71.87</c:v>
                </c:pt>
                <c:pt idx="109">
                  <c:v>72.87</c:v>
                </c:pt>
                <c:pt idx="110">
                  <c:v>73.84</c:v>
                </c:pt>
                <c:pt idx="111">
                  <c:v>74.8</c:v>
                </c:pt>
                <c:pt idx="112">
                  <c:v>75.8</c:v>
                </c:pt>
                <c:pt idx="113">
                  <c:v>76.42</c:v>
                </c:pt>
                <c:pt idx="114">
                  <c:v>77.39</c:v>
                </c:pt>
                <c:pt idx="115">
                  <c:v>78.739999999999995</c:v>
                </c:pt>
                <c:pt idx="116">
                  <c:v>81.33</c:v>
                </c:pt>
                <c:pt idx="117">
                  <c:v>82.83</c:v>
                </c:pt>
                <c:pt idx="118">
                  <c:v>84.07</c:v>
                </c:pt>
                <c:pt idx="119">
                  <c:v>85.19</c:v>
                </c:pt>
                <c:pt idx="120">
                  <c:v>86.04</c:v>
                </c:pt>
                <c:pt idx="121">
                  <c:v>86.77</c:v>
                </c:pt>
                <c:pt idx="122">
                  <c:v>87.7</c:v>
                </c:pt>
                <c:pt idx="123">
                  <c:v>88.55</c:v>
                </c:pt>
                <c:pt idx="124">
                  <c:v>89.17</c:v>
                </c:pt>
                <c:pt idx="125">
                  <c:v>90.02</c:v>
                </c:pt>
                <c:pt idx="126">
                  <c:v>91.1</c:v>
                </c:pt>
                <c:pt idx="127">
                  <c:v>92.18</c:v>
                </c:pt>
                <c:pt idx="128">
                  <c:v>93.22</c:v>
                </c:pt>
                <c:pt idx="129">
                  <c:v>94.26</c:v>
                </c:pt>
                <c:pt idx="130">
                  <c:v>95.15</c:v>
                </c:pt>
                <c:pt idx="131">
                  <c:v>97.55</c:v>
                </c:pt>
                <c:pt idx="132">
                  <c:v>99.82</c:v>
                </c:pt>
                <c:pt idx="133">
                  <c:v>100.98</c:v>
                </c:pt>
                <c:pt idx="134">
                  <c:v>101.91</c:v>
                </c:pt>
                <c:pt idx="135">
                  <c:v>102.49</c:v>
                </c:pt>
                <c:pt idx="136">
                  <c:v>102.88</c:v>
                </c:pt>
                <c:pt idx="137">
                  <c:v>103.42</c:v>
                </c:pt>
                <c:pt idx="138">
                  <c:v>104.46</c:v>
                </c:pt>
                <c:pt idx="139">
                  <c:v>105.54</c:v>
                </c:pt>
                <c:pt idx="140">
                  <c:v>106.62</c:v>
                </c:pt>
                <c:pt idx="141">
                  <c:v>107.51</c:v>
                </c:pt>
                <c:pt idx="142">
                  <c:v>108.47</c:v>
                </c:pt>
                <c:pt idx="143">
                  <c:v>109.59</c:v>
                </c:pt>
                <c:pt idx="144">
                  <c:v>110.71</c:v>
                </c:pt>
                <c:pt idx="145">
                  <c:v>112.53</c:v>
                </c:pt>
                <c:pt idx="146">
                  <c:v>114.54</c:v>
                </c:pt>
                <c:pt idx="147">
                  <c:v>116.16</c:v>
                </c:pt>
                <c:pt idx="148">
                  <c:v>117.4</c:v>
                </c:pt>
                <c:pt idx="149">
                  <c:v>117.9</c:v>
                </c:pt>
                <c:pt idx="150">
                  <c:v>117.7</c:v>
                </c:pt>
                <c:pt idx="151">
                  <c:v>118.52</c:v>
                </c:pt>
                <c:pt idx="152">
                  <c:v>119.36</c:v>
                </c:pt>
                <c:pt idx="153">
                  <c:v>120.37</c:v>
                </c:pt>
                <c:pt idx="154">
                  <c:v>121.3</c:v>
                </c:pt>
                <c:pt idx="155">
                  <c:v>122.18</c:v>
                </c:pt>
                <c:pt idx="156">
                  <c:v>123.23</c:v>
                </c:pt>
                <c:pt idx="157">
                  <c:v>123.92</c:v>
                </c:pt>
                <c:pt idx="158">
                  <c:v>125.08</c:v>
                </c:pt>
                <c:pt idx="159">
                  <c:v>126.01</c:v>
                </c:pt>
                <c:pt idx="160">
                  <c:v>127.55</c:v>
                </c:pt>
                <c:pt idx="161">
                  <c:v>129.6</c:v>
                </c:pt>
                <c:pt idx="162">
                  <c:v>130.63999999999999</c:v>
                </c:pt>
                <c:pt idx="163">
                  <c:v>131.76</c:v>
                </c:pt>
                <c:pt idx="164">
                  <c:v>132.11000000000001</c:v>
                </c:pt>
                <c:pt idx="165">
                  <c:v>132.38</c:v>
                </c:pt>
                <c:pt idx="166">
                  <c:v>133.19</c:v>
                </c:pt>
                <c:pt idx="167">
                  <c:v>134.16</c:v>
                </c:pt>
                <c:pt idx="168">
                  <c:v>134.88999999999999</c:v>
                </c:pt>
                <c:pt idx="169">
                  <c:v>135.88999999999999</c:v>
                </c:pt>
                <c:pt idx="170">
                  <c:v>136.69999999999999</c:v>
                </c:pt>
                <c:pt idx="171">
                  <c:v>137.66999999999999</c:v>
                </c:pt>
                <c:pt idx="172">
                  <c:v>138.47999999999999</c:v>
                </c:pt>
                <c:pt idx="173">
                  <c:v>139.6</c:v>
                </c:pt>
                <c:pt idx="174">
                  <c:v>140.53</c:v>
                </c:pt>
                <c:pt idx="175">
                  <c:v>142.30000000000001</c:v>
                </c:pt>
                <c:pt idx="176">
                  <c:v>143.11000000000001</c:v>
                </c:pt>
                <c:pt idx="177">
                  <c:v>143.69</c:v>
                </c:pt>
                <c:pt idx="178">
                  <c:v>144.27000000000001</c:v>
                </c:pt>
                <c:pt idx="179">
                  <c:v>145.05000000000001</c:v>
                </c:pt>
                <c:pt idx="180">
                  <c:v>146.05000000000001</c:v>
                </c:pt>
                <c:pt idx="181">
                  <c:v>146.86000000000001</c:v>
                </c:pt>
                <c:pt idx="182">
                  <c:v>147.97999999999999</c:v>
                </c:pt>
                <c:pt idx="183">
                  <c:v>148.71</c:v>
                </c:pt>
                <c:pt idx="184">
                  <c:v>149.83000000000001</c:v>
                </c:pt>
                <c:pt idx="185">
                  <c:v>150.61000000000001</c:v>
                </c:pt>
                <c:pt idx="186">
                  <c:v>151.61000000000001</c:v>
                </c:pt>
                <c:pt idx="187">
                  <c:v>152.41999999999999</c:v>
                </c:pt>
                <c:pt idx="188">
                  <c:v>153.31</c:v>
                </c:pt>
                <c:pt idx="189">
                  <c:v>154.69999999999999</c:v>
                </c:pt>
                <c:pt idx="190">
                  <c:v>155.9</c:v>
                </c:pt>
                <c:pt idx="191">
                  <c:v>156.63</c:v>
                </c:pt>
                <c:pt idx="192">
                  <c:v>157.21</c:v>
                </c:pt>
                <c:pt idx="193">
                  <c:v>157.9</c:v>
                </c:pt>
                <c:pt idx="194">
                  <c:v>158.79</c:v>
                </c:pt>
                <c:pt idx="195">
                  <c:v>159.53</c:v>
                </c:pt>
                <c:pt idx="196">
                  <c:v>160.38</c:v>
                </c:pt>
                <c:pt idx="197">
                  <c:v>161.30000000000001</c:v>
                </c:pt>
                <c:pt idx="198">
                  <c:v>161.80000000000001</c:v>
                </c:pt>
                <c:pt idx="199">
                  <c:v>162.41999999999999</c:v>
                </c:pt>
                <c:pt idx="200">
                  <c:v>163.08000000000001</c:v>
                </c:pt>
                <c:pt idx="201">
                  <c:v>163.89</c:v>
                </c:pt>
                <c:pt idx="202">
                  <c:v>164.86</c:v>
                </c:pt>
                <c:pt idx="203">
                  <c:v>165.51</c:v>
                </c:pt>
                <c:pt idx="204">
                  <c:v>166.71</c:v>
                </c:pt>
                <c:pt idx="205">
                  <c:v>167.6</c:v>
                </c:pt>
                <c:pt idx="206">
                  <c:v>168.02</c:v>
                </c:pt>
                <c:pt idx="207">
                  <c:v>168.91</c:v>
                </c:pt>
                <c:pt idx="208">
                  <c:v>169.34</c:v>
                </c:pt>
                <c:pt idx="209">
                  <c:v>170.22</c:v>
                </c:pt>
                <c:pt idx="210">
                  <c:v>171.15</c:v>
                </c:pt>
                <c:pt idx="211">
                  <c:v>171.5</c:v>
                </c:pt>
                <c:pt idx="212">
                  <c:v>170.92</c:v>
                </c:pt>
                <c:pt idx="213">
                  <c:v>170.07</c:v>
                </c:pt>
                <c:pt idx="214">
                  <c:v>169.18</c:v>
                </c:pt>
                <c:pt idx="215">
                  <c:v>168.52</c:v>
                </c:pt>
                <c:pt idx="216">
                  <c:v>167.71</c:v>
                </c:pt>
                <c:pt idx="217">
                  <c:v>167.13</c:v>
                </c:pt>
                <c:pt idx="218">
                  <c:v>166.75</c:v>
                </c:pt>
                <c:pt idx="219">
                  <c:v>166.44</c:v>
                </c:pt>
                <c:pt idx="220">
                  <c:v>165.55</c:v>
                </c:pt>
                <c:pt idx="221">
                  <c:v>164.93</c:v>
                </c:pt>
                <c:pt idx="222">
                  <c:v>164.16</c:v>
                </c:pt>
                <c:pt idx="223">
                  <c:v>163.47</c:v>
                </c:pt>
                <c:pt idx="224">
                  <c:v>162.81</c:v>
                </c:pt>
                <c:pt idx="225">
                  <c:v>162.11000000000001</c:v>
                </c:pt>
                <c:pt idx="226">
                  <c:v>161.46</c:v>
                </c:pt>
                <c:pt idx="227">
                  <c:v>160.84</c:v>
                </c:pt>
                <c:pt idx="228">
                  <c:v>160.22</c:v>
                </c:pt>
                <c:pt idx="229">
                  <c:v>159.68</c:v>
                </c:pt>
                <c:pt idx="230">
                  <c:v>159.13999999999999</c:v>
                </c:pt>
                <c:pt idx="231">
                  <c:v>158.63999999999999</c:v>
                </c:pt>
                <c:pt idx="232">
                  <c:v>158.1</c:v>
                </c:pt>
                <c:pt idx="233">
                  <c:v>158.06</c:v>
                </c:pt>
                <c:pt idx="234">
                  <c:v>157.9</c:v>
                </c:pt>
                <c:pt idx="235">
                  <c:v>157.13</c:v>
                </c:pt>
                <c:pt idx="236">
                  <c:v>156.55000000000001</c:v>
                </c:pt>
                <c:pt idx="237">
                  <c:v>155.69999999999999</c:v>
                </c:pt>
                <c:pt idx="238">
                  <c:v>155.09</c:v>
                </c:pt>
                <c:pt idx="239">
                  <c:v>154.51</c:v>
                </c:pt>
                <c:pt idx="240">
                  <c:v>154</c:v>
                </c:pt>
                <c:pt idx="241">
                  <c:v>153.38999999999999</c:v>
                </c:pt>
                <c:pt idx="242">
                  <c:v>152.91999999999999</c:v>
                </c:pt>
                <c:pt idx="243">
                  <c:v>152.31</c:v>
                </c:pt>
                <c:pt idx="244">
                  <c:v>151.84</c:v>
                </c:pt>
                <c:pt idx="245">
                  <c:v>151.41999999999999</c:v>
                </c:pt>
                <c:pt idx="246">
                  <c:v>150.91</c:v>
                </c:pt>
                <c:pt idx="247">
                  <c:v>150.94999999999999</c:v>
                </c:pt>
                <c:pt idx="248">
                  <c:v>150.99</c:v>
                </c:pt>
                <c:pt idx="249">
                  <c:v>150.34</c:v>
                </c:pt>
                <c:pt idx="250">
                  <c:v>149.63999999999999</c:v>
                </c:pt>
                <c:pt idx="251">
                  <c:v>148.94999999999999</c:v>
                </c:pt>
                <c:pt idx="252">
                  <c:v>148.29</c:v>
                </c:pt>
                <c:pt idx="253">
                  <c:v>147.9</c:v>
                </c:pt>
                <c:pt idx="254">
                  <c:v>147.32</c:v>
                </c:pt>
                <c:pt idx="255">
                  <c:v>146.86000000000001</c:v>
                </c:pt>
                <c:pt idx="256">
                  <c:v>146.28</c:v>
                </c:pt>
                <c:pt idx="257">
                  <c:v>145.86000000000001</c:v>
                </c:pt>
                <c:pt idx="258">
                  <c:v>145.43</c:v>
                </c:pt>
                <c:pt idx="259">
                  <c:v>144.97</c:v>
                </c:pt>
                <c:pt idx="260">
                  <c:v>144.5</c:v>
                </c:pt>
                <c:pt idx="261">
                  <c:v>144.19999999999999</c:v>
                </c:pt>
                <c:pt idx="262">
                  <c:v>144.54</c:v>
                </c:pt>
                <c:pt idx="263">
                  <c:v>144.5</c:v>
                </c:pt>
                <c:pt idx="264">
                  <c:v>144</c:v>
                </c:pt>
                <c:pt idx="265">
                  <c:v>143.19</c:v>
                </c:pt>
                <c:pt idx="266">
                  <c:v>141.99</c:v>
                </c:pt>
                <c:pt idx="267">
                  <c:v>141.53</c:v>
                </c:pt>
                <c:pt idx="268">
                  <c:v>141.03</c:v>
                </c:pt>
                <c:pt idx="269">
                  <c:v>140.57</c:v>
                </c:pt>
                <c:pt idx="270">
                  <c:v>140.1</c:v>
                </c:pt>
                <c:pt idx="271">
                  <c:v>139.68</c:v>
                </c:pt>
                <c:pt idx="272">
                  <c:v>139.13999999999999</c:v>
                </c:pt>
                <c:pt idx="273">
                  <c:v>138.63</c:v>
                </c:pt>
                <c:pt idx="274">
                  <c:v>138.21</c:v>
                </c:pt>
                <c:pt idx="275">
                  <c:v>137.97999999999999</c:v>
                </c:pt>
                <c:pt idx="276">
                  <c:v>138.52000000000001</c:v>
                </c:pt>
                <c:pt idx="277">
                  <c:v>138.66999999999999</c:v>
                </c:pt>
                <c:pt idx="278">
                  <c:v>138.29</c:v>
                </c:pt>
                <c:pt idx="279">
                  <c:v>137.47999999999999</c:v>
                </c:pt>
                <c:pt idx="280">
                  <c:v>136.12</c:v>
                </c:pt>
                <c:pt idx="281">
                  <c:v>135.66</c:v>
                </c:pt>
                <c:pt idx="282">
                  <c:v>135.12</c:v>
                </c:pt>
                <c:pt idx="283">
                  <c:v>134.62</c:v>
                </c:pt>
                <c:pt idx="284">
                  <c:v>134.22999999999999</c:v>
                </c:pt>
                <c:pt idx="285">
                  <c:v>133.72999999999999</c:v>
                </c:pt>
                <c:pt idx="286">
                  <c:v>133.34</c:v>
                </c:pt>
                <c:pt idx="287">
                  <c:v>132.96</c:v>
                </c:pt>
                <c:pt idx="288">
                  <c:v>132.41999999999999</c:v>
                </c:pt>
                <c:pt idx="289">
                  <c:v>132.11000000000001</c:v>
                </c:pt>
                <c:pt idx="290">
                  <c:v>132.22</c:v>
                </c:pt>
                <c:pt idx="291">
                  <c:v>133</c:v>
                </c:pt>
                <c:pt idx="292">
                  <c:v>132.76</c:v>
                </c:pt>
                <c:pt idx="293">
                  <c:v>132.34</c:v>
                </c:pt>
                <c:pt idx="294">
                  <c:v>131.30000000000001</c:v>
                </c:pt>
                <c:pt idx="295">
                  <c:v>130.06</c:v>
                </c:pt>
                <c:pt idx="296">
                  <c:v>129.52000000000001</c:v>
                </c:pt>
                <c:pt idx="297">
                  <c:v>129.1</c:v>
                </c:pt>
                <c:pt idx="298">
                  <c:v>128.63</c:v>
                </c:pt>
                <c:pt idx="299">
                  <c:v>128.13</c:v>
                </c:pt>
                <c:pt idx="300">
                  <c:v>127.71</c:v>
                </c:pt>
                <c:pt idx="301">
                  <c:v>127.28</c:v>
                </c:pt>
                <c:pt idx="302">
                  <c:v>126.86</c:v>
                </c:pt>
                <c:pt idx="303">
                  <c:v>126.39</c:v>
                </c:pt>
                <c:pt idx="304">
                  <c:v>126.16</c:v>
                </c:pt>
                <c:pt idx="305">
                  <c:v>126.97</c:v>
                </c:pt>
                <c:pt idx="306">
                  <c:v>127.4</c:v>
                </c:pt>
                <c:pt idx="307">
                  <c:v>126.9</c:v>
                </c:pt>
                <c:pt idx="308">
                  <c:v>126.2</c:v>
                </c:pt>
                <c:pt idx="309">
                  <c:v>124.85</c:v>
                </c:pt>
                <c:pt idx="310">
                  <c:v>124.27</c:v>
                </c:pt>
                <c:pt idx="311">
                  <c:v>123.77</c:v>
                </c:pt>
                <c:pt idx="312">
                  <c:v>123.27</c:v>
                </c:pt>
                <c:pt idx="313">
                  <c:v>122.8</c:v>
                </c:pt>
                <c:pt idx="314">
                  <c:v>122.38</c:v>
                </c:pt>
                <c:pt idx="315">
                  <c:v>121.91</c:v>
                </c:pt>
                <c:pt idx="316">
                  <c:v>121.53</c:v>
                </c:pt>
                <c:pt idx="317">
                  <c:v>121.14</c:v>
                </c:pt>
                <c:pt idx="318">
                  <c:v>120.79</c:v>
                </c:pt>
                <c:pt idx="319">
                  <c:v>121.37</c:v>
                </c:pt>
                <c:pt idx="320">
                  <c:v>122.26</c:v>
                </c:pt>
                <c:pt idx="321">
                  <c:v>121.99</c:v>
                </c:pt>
                <c:pt idx="322">
                  <c:v>121.64</c:v>
                </c:pt>
                <c:pt idx="323">
                  <c:v>120.79</c:v>
                </c:pt>
                <c:pt idx="324">
                  <c:v>119.64</c:v>
                </c:pt>
                <c:pt idx="325">
                  <c:v>118.94</c:v>
                </c:pt>
                <c:pt idx="326">
                  <c:v>118.36</c:v>
                </c:pt>
                <c:pt idx="327">
                  <c:v>117.82</c:v>
                </c:pt>
                <c:pt idx="328">
                  <c:v>117.43</c:v>
                </c:pt>
                <c:pt idx="329">
                  <c:v>116.97</c:v>
                </c:pt>
                <c:pt idx="330">
                  <c:v>116.51</c:v>
                </c:pt>
                <c:pt idx="331">
                  <c:v>116.12</c:v>
                </c:pt>
                <c:pt idx="332">
                  <c:v>115.77</c:v>
                </c:pt>
                <c:pt idx="333">
                  <c:v>115.77</c:v>
                </c:pt>
                <c:pt idx="334">
                  <c:v>116.85</c:v>
                </c:pt>
                <c:pt idx="335">
                  <c:v>117.01</c:v>
                </c:pt>
                <c:pt idx="336">
                  <c:v>116.85</c:v>
                </c:pt>
                <c:pt idx="337">
                  <c:v>116.28</c:v>
                </c:pt>
                <c:pt idx="338">
                  <c:v>115.16</c:v>
                </c:pt>
                <c:pt idx="339">
                  <c:v>114.42</c:v>
                </c:pt>
                <c:pt idx="340">
                  <c:v>113.88</c:v>
                </c:pt>
                <c:pt idx="341">
                  <c:v>113.38</c:v>
                </c:pt>
                <c:pt idx="342">
                  <c:v>112.95</c:v>
                </c:pt>
                <c:pt idx="343">
                  <c:v>112.53</c:v>
                </c:pt>
                <c:pt idx="344">
                  <c:v>112.1</c:v>
                </c:pt>
                <c:pt idx="345">
                  <c:v>111.68</c:v>
                </c:pt>
                <c:pt idx="346">
                  <c:v>111.33</c:v>
                </c:pt>
                <c:pt idx="347">
                  <c:v>111.14</c:v>
                </c:pt>
                <c:pt idx="348">
                  <c:v>112.14</c:v>
                </c:pt>
                <c:pt idx="349">
                  <c:v>112.41</c:v>
                </c:pt>
                <c:pt idx="350">
                  <c:v>112.03</c:v>
                </c:pt>
                <c:pt idx="351">
                  <c:v>111.22</c:v>
                </c:pt>
                <c:pt idx="352">
                  <c:v>110.29</c:v>
                </c:pt>
                <c:pt idx="353">
                  <c:v>109.71</c:v>
                </c:pt>
                <c:pt idx="354">
                  <c:v>109.21</c:v>
                </c:pt>
                <c:pt idx="355">
                  <c:v>108.75</c:v>
                </c:pt>
                <c:pt idx="356">
                  <c:v>108.32</c:v>
                </c:pt>
                <c:pt idx="357">
                  <c:v>107.86</c:v>
                </c:pt>
                <c:pt idx="358">
                  <c:v>107.47</c:v>
                </c:pt>
                <c:pt idx="359">
                  <c:v>107.08</c:v>
                </c:pt>
                <c:pt idx="360">
                  <c:v>106.66</c:v>
                </c:pt>
                <c:pt idx="361">
                  <c:v>106.39</c:v>
                </c:pt>
                <c:pt idx="362">
                  <c:v>107.32</c:v>
                </c:pt>
                <c:pt idx="363">
                  <c:v>107.86</c:v>
                </c:pt>
                <c:pt idx="364">
                  <c:v>107.66</c:v>
                </c:pt>
                <c:pt idx="365">
                  <c:v>107.28</c:v>
                </c:pt>
                <c:pt idx="366">
                  <c:v>106.31</c:v>
                </c:pt>
                <c:pt idx="367">
                  <c:v>105.46</c:v>
                </c:pt>
                <c:pt idx="368">
                  <c:v>105</c:v>
                </c:pt>
                <c:pt idx="369">
                  <c:v>104.46</c:v>
                </c:pt>
                <c:pt idx="370">
                  <c:v>104.07</c:v>
                </c:pt>
                <c:pt idx="371">
                  <c:v>103.61</c:v>
                </c:pt>
                <c:pt idx="372">
                  <c:v>103.34</c:v>
                </c:pt>
                <c:pt idx="373">
                  <c:v>102.91</c:v>
                </c:pt>
                <c:pt idx="374">
                  <c:v>102.57</c:v>
                </c:pt>
                <c:pt idx="375">
                  <c:v>102.49</c:v>
                </c:pt>
                <c:pt idx="376">
                  <c:v>103.8</c:v>
                </c:pt>
                <c:pt idx="377">
                  <c:v>104.42</c:v>
                </c:pt>
                <c:pt idx="378">
                  <c:v>104.34</c:v>
                </c:pt>
                <c:pt idx="379">
                  <c:v>103.92</c:v>
                </c:pt>
                <c:pt idx="380">
                  <c:v>102.95</c:v>
                </c:pt>
                <c:pt idx="381">
                  <c:v>101.91</c:v>
                </c:pt>
                <c:pt idx="382">
                  <c:v>101.14</c:v>
                </c:pt>
                <c:pt idx="383">
                  <c:v>100.75</c:v>
                </c:pt>
                <c:pt idx="384">
                  <c:v>100.29</c:v>
                </c:pt>
                <c:pt idx="385">
                  <c:v>99.9</c:v>
                </c:pt>
                <c:pt idx="386">
                  <c:v>99.59</c:v>
                </c:pt>
                <c:pt idx="387">
                  <c:v>99.13</c:v>
                </c:pt>
                <c:pt idx="388">
                  <c:v>98.74</c:v>
                </c:pt>
                <c:pt idx="389">
                  <c:v>98.43</c:v>
                </c:pt>
                <c:pt idx="390">
                  <c:v>99.48</c:v>
                </c:pt>
                <c:pt idx="391">
                  <c:v>100.44</c:v>
                </c:pt>
                <c:pt idx="392">
                  <c:v>100.4</c:v>
                </c:pt>
                <c:pt idx="393">
                  <c:v>100.06</c:v>
                </c:pt>
                <c:pt idx="394">
                  <c:v>99.21</c:v>
                </c:pt>
                <c:pt idx="395">
                  <c:v>98.36</c:v>
                </c:pt>
                <c:pt idx="396">
                  <c:v>97.47</c:v>
                </c:pt>
                <c:pt idx="397">
                  <c:v>96.77</c:v>
                </c:pt>
                <c:pt idx="398">
                  <c:v>96.39</c:v>
                </c:pt>
                <c:pt idx="399">
                  <c:v>96</c:v>
                </c:pt>
                <c:pt idx="400">
                  <c:v>95.65</c:v>
                </c:pt>
                <c:pt idx="401">
                  <c:v>95.42</c:v>
                </c:pt>
                <c:pt idx="402">
                  <c:v>95.04</c:v>
                </c:pt>
                <c:pt idx="403">
                  <c:v>94.61</c:v>
                </c:pt>
                <c:pt idx="404">
                  <c:v>95.5</c:v>
                </c:pt>
                <c:pt idx="405">
                  <c:v>96.54</c:v>
                </c:pt>
                <c:pt idx="406">
                  <c:v>96.47</c:v>
                </c:pt>
                <c:pt idx="407">
                  <c:v>96.08</c:v>
                </c:pt>
                <c:pt idx="408">
                  <c:v>95.31</c:v>
                </c:pt>
                <c:pt idx="409">
                  <c:v>94.5</c:v>
                </c:pt>
                <c:pt idx="410">
                  <c:v>93.68</c:v>
                </c:pt>
                <c:pt idx="411">
                  <c:v>92.95</c:v>
                </c:pt>
                <c:pt idx="412">
                  <c:v>92.49</c:v>
                </c:pt>
                <c:pt idx="413">
                  <c:v>92.18</c:v>
                </c:pt>
                <c:pt idx="414">
                  <c:v>91.79</c:v>
                </c:pt>
                <c:pt idx="415">
                  <c:v>91.48</c:v>
                </c:pt>
                <c:pt idx="416">
                  <c:v>91.1</c:v>
                </c:pt>
                <c:pt idx="417">
                  <c:v>90.87</c:v>
                </c:pt>
                <c:pt idx="418">
                  <c:v>92.18</c:v>
                </c:pt>
                <c:pt idx="419">
                  <c:v>92.84</c:v>
                </c:pt>
                <c:pt idx="420">
                  <c:v>92.8</c:v>
                </c:pt>
                <c:pt idx="421">
                  <c:v>92.45</c:v>
                </c:pt>
                <c:pt idx="422">
                  <c:v>91.72</c:v>
                </c:pt>
                <c:pt idx="423">
                  <c:v>91.06</c:v>
                </c:pt>
                <c:pt idx="424">
                  <c:v>90.4</c:v>
                </c:pt>
                <c:pt idx="425">
                  <c:v>89.75</c:v>
                </c:pt>
                <c:pt idx="426">
                  <c:v>89.09</c:v>
                </c:pt>
                <c:pt idx="427">
                  <c:v>88.55</c:v>
                </c:pt>
                <c:pt idx="428">
                  <c:v>88.16</c:v>
                </c:pt>
                <c:pt idx="429">
                  <c:v>87.89</c:v>
                </c:pt>
                <c:pt idx="430">
                  <c:v>87.54</c:v>
                </c:pt>
                <c:pt idx="431">
                  <c:v>87.35</c:v>
                </c:pt>
                <c:pt idx="432">
                  <c:v>87.66</c:v>
                </c:pt>
                <c:pt idx="433">
                  <c:v>89.13</c:v>
                </c:pt>
                <c:pt idx="434">
                  <c:v>89.17</c:v>
                </c:pt>
                <c:pt idx="435">
                  <c:v>88.93</c:v>
                </c:pt>
                <c:pt idx="436">
                  <c:v>88.51</c:v>
                </c:pt>
                <c:pt idx="437">
                  <c:v>87.78</c:v>
                </c:pt>
                <c:pt idx="438">
                  <c:v>87.31</c:v>
                </c:pt>
                <c:pt idx="439">
                  <c:v>86.81</c:v>
                </c:pt>
                <c:pt idx="440">
                  <c:v>86.23</c:v>
                </c:pt>
                <c:pt idx="441">
                  <c:v>85.58</c:v>
                </c:pt>
                <c:pt idx="442">
                  <c:v>84.96</c:v>
                </c:pt>
                <c:pt idx="443">
                  <c:v>84.53</c:v>
                </c:pt>
                <c:pt idx="444">
                  <c:v>84.22</c:v>
                </c:pt>
                <c:pt idx="445">
                  <c:v>84.03</c:v>
                </c:pt>
                <c:pt idx="446">
                  <c:v>83.84</c:v>
                </c:pt>
                <c:pt idx="447">
                  <c:v>85.42</c:v>
                </c:pt>
                <c:pt idx="448">
                  <c:v>85.58</c:v>
                </c:pt>
                <c:pt idx="449">
                  <c:v>85.5</c:v>
                </c:pt>
                <c:pt idx="450">
                  <c:v>85.11</c:v>
                </c:pt>
                <c:pt idx="451">
                  <c:v>84.49</c:v>
                </c:pt>
                <c:pt idx="452">
                  <c:v>84.03</c:v>
                </c:pt>
                <c:pt idx="453">
                  <c:v>83.53</c:v>
                </c:pt>
                <c:pt idx="454">
                  <c:v>83.03</c:v>
                </c:pt>
                <c:pt idx="455">
                  <c:v>82.56</c:v>
                </c:pt>
                <c:pt idx="456">
                  <c:v>82.06</c:v>
                </c:pt>
                <c:pt idx="457">
                  <c:v>81.44</c:v>
                </c:pt>
                <c:pt idx="458">
                  <c:v>80.94</c:v>
                </c:pt>
                <c:pt idx="459">
                  <c:v>80.63</c:v>
                </c:pt>
                <c:pt idx="460">
                  <c:v>80.48</c:v>
                </c:pt>
                <c:pt idx="461">
                  <c:v>82.06</c:v>
                </c:pt>
                <c:pt idx="462">
                  <c:v>82.22</c:v>
                </c:pt>
                <c:pt idx="463">
                  <c:v>82.18</c:v>
                </c:pt>
                <c:pt idx="464">
                  <c:v>81.790000000000006</c:v>
                </c:pt>
                <c:pt idx="465">
                  <c:v>81.290000000000006</c:v>
                </c:pt>
                <c:pt idx="466">
                  <c:v>80.790000000000006</c:v>
                </c:pt>
                <c:pt idx="467">
                  <c:v>80.400000000000006</c:v>
                </c:pt>
                <c:pt idx="468">
                  <c:v>80.010000000000005</c:v>
                </c:pt>
                <c:pt idx="469">
                  <c:v>79.59</c:v>
                </c:pt>
                <c:pt idx="470">
                  <c:v>79.13</c:v>
                </c:pt>
                <c:pt idx="471">
                  <c:v>78.62</c:v>
                </c:pt>
                <c:pt idx="472">
                  <c:v>78.12</c:v>
                </c:pt>
                <c:pt idx="473">
                  <c:v>77.66</c:v>
                </c:pt>
                <c:pt idx="474">
                  <c:v>77.27</c:v>
                </c:pt>
                <c:pt idx="475">
                  <c:v>77.81</c:v>
                </c:pt>
                <c:pt idx="476">
                  <c:v>79.09</c:v>
                </c:pt>
                <c:pt idx="477">
                  <c:v>79.239999999999995</c:v>
                </c:pt>
                <c:pt idx="478">
                  <c:v>79.010000000000005</c:v>
                </c:pt>
                <c:pt idx="479">
                  <c:v>78.66</c:v>
                </c:pt>
                <c:pt idx="480">
                  <c:v>78.010000000000005</c:v>
                </c:pt>
                <c:pt idx="481">
                  <c:v>77.7</c:v>
                </c:pt>
                <c:pt idx="482">
                  <c:v>77.27</c:v>
                </c:pt>
                <c:pt idx="483">
                  <c:v>76.92</c:v>
                </c:pt>
                <c:pt idx="484">
                  <c:v>76.5</c:v>
                </c:pt>
                <c:pt idx="485">
                  <c:v>76.08</c:v>
                </c:pt>
                <c:pt idx="486">
                  <c:v>75.650000000000006</c:v>
                </c:pt>
                <c:pt idx="487">
                  <c:v>75.23</c:v>
                </c:pt>
                <c:pt idx="488">
                  <c:v>74.760000000000005</c:v>
                </c:pt>
                <c:pt idx="489">
                  <c:v>74.38</c:v>
                </c:pt>
                <c:pt idx="490">
                  <c:v>75.5</c:v>
                </c:pt>
                <c:pt idx="491">
                  <c:v>75.959999999999994</c:v>
                </c:pt>
                <c:pt idx="492">
                  <c:v>75.959999999999994</c:v>
                </c:pt>
                <c:pt idx="493">
                  <c:v>75.69</c:v>
                </c:pt>
                <c:pt idx="494">
                  <c:v>75.23</c:v>
                </c:pt>
                <c:pt idx="495">
                  <c:v>74.760000000000005</c:v>
                </c:pt>
                <c:pt idx="496">
                  <c:v>74.489999999999995</c:v>
                </c:pt>
                <c:pt idx="497">
                  <c:v>74.11</c:v>
                </c:pt>
                <c:pt idx="498">
                  <c:v>73.760000000000005</c:v>
                </c:pt>
                <c:pt idx="499">
                  <c:v>73.41</c:v>
                </c:pt>
                <c:pt idx="500">
                  <c:v>72.989999999999995</c:v>
                </c:pt>
                <c:pt idx="501">
                  <c:v>72.599999999999994</c:v>
                </c:pt>
                <c:pt idx="502">
                  <c:v>72.290000000000006</c:v>
                </c:pt>
                <c:pt idx="503">
                  <c:v>71.900000000000006</c:v>
                </c:pt>
                <c:pt idx="504">
                  <c:v>72.099999999999994</c:v>
                </c:pt>
                <c:pt idx="505">
                  <c:v>72.87</c:v>
                </c:pt>
                <c:pt idx="506">
                  <c:v>73.06</c:v>
                </c:pt>
                <c:pt idx="507">
                  <c:v>72.87</c:v>
                </c:pt>
                <c:pt idx="508">
                  <c:v>72.599999999999994</c:v>
                </c:pt>
                <c:pt idx="509">
                  <c:v>72.17</c:v>
                </c:pt>
                <c:pt idx="510">
                  <c:v>71.790000000000006</c:v>
                </c:pt>
                <c:pt idx="511">
                  <c:v>71.44</c:v>
                </c:pt>
                <c:pt idx="512">
                  <c:v>71.13</c:v>
                </c:pt>
                <c:pt idx="513">
                  <c:v>70.75</c:v>
                </c:pt>
                <c:pt idx="514">
                  <c:v>70.44</c:v>
                </c:pt>
                <c:pt idx="515">
                  <c:v>70.05</c:v>
                </c:pt>
                <c:pt idx="516">
                  <c:v>69.739999999999995</c:v>
                </c:pt>
                <c:pt idx="517">
                  <c:v>69.39</c:v>
                </c:pt>
                <c:pt idx="518">
                  <c:v>69.09</c:v>
                </c:pt>
                <c:pt idx="519">
                  <c:v>69.97</c:v>
                </c:pt>
                <c:pt idx="520">
                  <c:v>70.209999999999994</c:v>
                </c:pt>
                <c:pt idx="521">
                  <c:v>70.17</c:v>
                </c:pt>
                <c:pt idx="522">
                  <c:v>70.010000000000005</c:v>
                </c:pt>
                <c:pt idx="523">
                  <c:v>69.66</c:v>
                </c:pt>
                <c:pt idx="524">
                  <c:v>69.319999999999993</c:v>
                </c:pt>
                <c:pt idx="525">
                  <c:v>69.09</c:v>
                </c:pt>
                <c:pt idx="526">
                  <c:v>68.819999999999993</c:v>
                </c:pt>
                <c:pt idx="527">
                  <c:v>68.540000000000006</c:v>
                </c:pt>
                <c:pt idx="528">
                  <c:v>68.239999999999995</c:v>
                </c:pt>
                <c:pt idx="529">
                  <c:v>67.849999999999994</c:v>
                </c:pt>
                <c:pt idx="530">
                  <c:v>67.540000000000006</c:v>
                </c:pt>
                <c:pt idx="531">
                  <c:v>67.23</c:v>
                </c:pt>
                <c:pt idx="532">
                  <c:v>66.849999999999994</c:v>
                </c:pt>
                <c:pt idx="533">
                  <c:v>66.77</c:v>
                </c:pt>
                <c:pt idx="534">
                  <c:v>67.58</c:v>
                </c:pt>
                <c:pt idx="535">
                  <c:v>67.73</c:v>
                </c:pt>
                <c:pt idx="536">
                  <c:v>67.7</c:v>
                </c:pt>
                <c:pt idx="537">
                  <c:v>67.459999999999994</c:v>
                </c:pt>
                <c:pt idx="538">
                  <c:v>67</c:v>
                </c:pt>
                <c:pt idx="539">
                  <c:v>66.650000000000006</c:v>
                </c:pt>
                <c:pt idx="540">
                  <c:v>66.34</c:v>
                </c:pt>
                <c:pt idx="541">
                  <c:v>66.069999999999993</c:v>
                </c:pt>
                <c:pt idx="542">
                  <c:v>65.73</c:v>
                </c:pt>
                <c:pt idx="543">
                  <c:v>65.459999999999994</c:v>
                </c:pt>
                <c:pt idx="544">
                  <c:v>65.11</c:v>
                </c:pt>
                <c:pt idx="545">
                  <c:v>64.84</c:v>
                </c:pt>
                <c:pt idx="546">
                  <c:v>64.64</c:v>
                </c:pt>
                <c:pt idx="547">
                  <c:v>64.37</c:v>
                </c:pt>
                <c:pt idx="548">
                  <c:v>64.989999999999995</c:v>
                </c:pt>
                <c:pt idx="549">
                  <c:v>65.22</c:v>
                </c:pt>
                <c:pt idx="550">
                  <c:v>65.22</c:v>
                </c:pt>
                <c:pt idx="551">
                  <c:v>65.069999999999993</c:v>
                </c:pt>
                <c:pt idx="552">
                  <c:v>64.8</c:v>
                </c:pt>
                <c:pt idx="553">
                  <c:v>64.45</c:v>
                </c:pt>
                <c:pt idx="554">
                  <c:v>64.14</c:v>
                </c:pt>
                <c:pt idx="555">
                  <c:v>63.91</c:v>
                </c:pt>
                <c:pt idx="556">
                  <c:v>63.6</c:v>
                </c:pt>
                <c:pt idx="557">
                  <c:v>63.37</c:v>
                </c:pt>
                <c:pt idx="558">
                  <c:v>63.1</c:v>
                </c:pt>
                <c:pt idx="559">
                  <c:v>62.79</c:v>
                </c:pt>
                <c:pt idx="560">
                  <c:v>62.52</c:v>
                </c:pt>
                <c:pt idx="561">
                  <c:v>62.02</c:v>
                </c:pt>
                <c:pt idx="562">
                  <c:v>53.56</c:v>
                </c:pt>
                <c:pt idx="563">
                  <c:v>47.61</c:v>
                </c:pt>
                <c:pt idx="564">
                  <c:v>42.71</c:v>
                </c:pt>
                <c:pt idx="565">
                  <c:v>38.31</c:v>
                </c:pt>
                <c:pt idx="566">
                  <c:v>34.450000000000003</c:v>
                </c:pt>
                <c:pt idx="567">
                  <c:v>31.01</c:v>
                </c:pt>
                <c:pt idx="568">
                  <c:v>27.96</c:v>
                </c:pt>
                <c:pt idx="569">
                  <c:v>25.18</c:v>
                </c:pt>
                <c:pt idx="570">
                  <c:v>22.75</c:v>
                </c:pt>
                <c:pt idx="571">
                  <c:v>20.58</c:v>
                </c:pt>
                <c:pt idx="572">
                  <c:v>18.73</c:v>
                </c:pt>
                <c:pt idx="573">
                  <c:v>17.03</c:v>
                </c:pt>
                <c:pt idx="574">
                  <c:v>15.49</c:v>
                </c:pt>
                <c:pt idx="575">
                  <c:v>14.13</c:v>
                </c:pt>
                <c:pt idx="576">
                  <c:v>13.05</c:v>
                </c:pt>
                <c:pt idx="577">
                  <c:v>12.16</c:v>
                </c:pt>
                <c:pt idx="578">
                  <c:v>11.35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A3-4DE7-B0F0-73EA484BD3B1}"/>
            </c:ext>
          </c:extLst>
        </c:ser>
        <c:ser>
          <c:idx val="2"/>
          <c:order val="1"/>
          <c:marker>
            <c:symbol val="none"/>
          </c:marker>
          <c:xVal>
            <c:numRef>
              <c:f>Hoja1!$AF$2:$AF$580</c:f>
              <c:numCache>
                <c:formatCode>General</c:formatCode>
                <c:ptCount val="5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</c:numCache>
            </c:numRef>
          </c:xVal>
          <c:yVal>
            <c:numRef>
              <c:f>Hoja1!$AH$2:$AH$580</c:f>
              <c:numCache>
                <c:formatCode>0.0</c:formatCode>
                <c:ptCount val="579"/>
                <c:pt idx="0">
                  <c:v>11.81</c:v>
                </c:pt>
                <c:pt idx="1">
                  <c:v>9.5</c:v>
                </c:pt>
                <c:pt idx="2">
                  <c:v>7.95</c:v>
                </c:pt>
                <c:pt idx="3">
                  <c:v>7.18</c:v>
                </c:pt>
                <c:pt idx="4">
                  <c:v>7.95</c:v>
                </c:pt>
                <c:pt idx="5">
                  <c:v>3.32</c:v>
                </c:pt>
                <c:pt idx="6">
                  <c:v>0</c:v>
                </c:pt>
                <c:pt idx="7">
                  <c:v>0</c:v>
                </c:pt>
                <c:pt idx="8">
                  <c:v>2.54</c:v>
                </c:pt>
                <c:pt idx="9">
                  <c:v>0</c:v>
                </c:pt>
                <c:pt idx="10">
                  <c:v>3.32</c:v>
                </c:pt>
                <c:pt idx="11">
                  <c:v>0</c:v>
                </c:pt>
                <c:pt idx="12">
                  <c:v>5.63</c:v>
                </c:pt>
                <c:pt idx="13">
                  <c:v>2.54</c:v>
                </c:pt>
                <c:pt idx="14">
                  <c:v>5.63</c:v>
                </c:pt>
                <c:pt idx="15">
                  <c:v>3.32</c:v>
                </c:pt>
                <c:pt idx="16">
                  <c:v>5.63</c:v>
                </c:pt>
                <c:pt idx="17">
                  <c:v>3.32</c:v>
                </c:pt>
                <c:pt idx="18">
                  <c:v>5.63</c:v>
                </c:pt>
                <c:pt idx="19">
                  <c:v>2.54</c:v>
                </c:pt>
                <c:pt idx="20">
                  <c:v>7.95</c:v>
                </c:pt>
                <c:pt idx="21">
                  <c:v>4.09</c:v>
                </c:pt>
                <c:pt idx="22">
                  <c:v>7.95</c:v>
                </c:pt>
                <c:pt idx="23">
                  <c:v>4.09</c:v>
                </c:pt>
                <c:pt idx="24">
                  <c:v>7.18</c:v>
                </c:pt>
                <c:pt idx="25">
                  <c:v>5.63</c:v>
                </c:pt>
                <c:pt idx="26">
                  <c:v>7.95</c:v>
                </c:pt>
                <c:pt idx="27">
                  <c:v>4.09</c:v>
                </c:pt>
                <c:pt idx="28">
                  <c:v>10.27</c:v>
                </c:pt>
                <c:pt idx="29">
                  <c:v>6.41</c:v>
                </c:pt>
                <c:pt idx="30">
                  <c:v>10.27</c:v>
                </c:pt>
                <c:pt idx="31">
                  <c:v>7.18</c:v>
                </c:pt>
                <c:pt idx="32">
                  <c:v>7.95</c:v>
                </c:pt>
                <c:pt idx="33">
                  <c:v>6.41</c:v>
                </c:pt>
                <c:pt idx="34">
                  <c:v>12.59</c:v>
                </c:pt>
                <c:pt idx="35">
                  <c:v>4.8599999999999994</c:v>
                </c:pt>
                <c:pt idx="36">
                  <c:v>11.81</c:v>
                </c:pt>
                <c:pt idx="37">
                  <c:v>11.04</c:v>
                </c:pt>
                <c:pt idx="38">
                  <c:v>6.41</c:v>
                </c:pt>
                <c:pt idx="39">
                  <c:v>11.04</c:v>
                </c:pt>
                <c:pt idx="40">
                  <c:v>7.18</c:v>
                </c:pt>
                <c:pt idx="41">
                  <c:v>14.13</c:v>
                </c:pt>
                <c:pt idx="42">
                  <c:v>7.18</c:v>
                </c:pt>
                <c:pt idx="43">
                  <c:v>14.13</c:v>
                </c:pt>
                <c:pt idx="44">
                  <c:v>9.5</c:v>
                </c:pt>
                <c:pt idx="45">
                  <c:v>12.59</c:v>
                </c:pt>
                <c:pt idx="46">
                  <c:v>9.5</c:v>
                </c:pt>
                <c:pt idx="47">
                  <c:v>11.04</c:v>
                </c:pt>
                <c:pt idx="48">
                  <c:v>11.04</c:v>
                </c:pt>
                <c:pt idx="49">
                  <c:v>12.59</c:v>
                </c:pt>
                <c:pt idx="50">
                  <c:v>10.27</c:v>
                </c:pt>
                <c:pt idx="51">
                  <c:v>11.04</c:v>
                </c:pt>
                <c:pt idx="52">
                  <c:v>11.81</c:v>
                </c:pt>
                <c:pt idx="53">
                  <c:v>16.45</c:v>
                </c:pt>
                <c:pt idx="54">
                  <c:v>15.67</c:v>
                </c:pt>
                <c:pt idx="55">
                  <c:v>14.13</c:v>
                </c:pt>
                <c:pt idx="56">
                  <c:v>17.989999999999998</c:v>
                </c:pt>
                <c:pt idx="57">
                  <c:v>16.45</c:v>
                </c:pt>
                <c:pt idx="58">
                  <c:v>20.309999999999999</c:v>
                </c:pt>
                <c:pt idx="59">
                  <c:v>15.67</c:v>
                </c:pt>
                <c:pt idx="60">
                  <c:v>15.67</c:v>
                </c:pt>
                <c:pt idx="61">
                  <c:v>15.67</c:v>
                </c:pt>
                <c:pt idx="62">
                  <c:v>15.67</c:v>
                </c:pt>
                <c:pt idx="63">
                  <c:v>20.309999999999999</c:v>
                </c:pt>
                <c:pt idx="64">
                  <c:v>19.54</c:v>
                </c:pt>
                <c:pt idx="65">
                  <c:v>18.760000000000002</c:v>
                </c:pt>
                <c:pt idx="66">
                  <c:v>17.22</c:v>
                </c:pt>
                <c:pt idx="67">
                  <c:v>23.4</c:v>
                </c:pt>
                <c:pt idx="68">
                  <c:v>18.760000000000002</c:v>
                </c:pt>
                <c:pt idx="69">
                  <c:v>16.45</c:v>
                </c:pt>
                <c:pt idx="70">
                  <c:v>17.22</c:v>
                </c:pt>
                <c:pt idx="71">
                  <c:v>20.309999999999999</c:v>
                </c:pt>
                <c:pt idx="72">
                  <c:v>20.309999999999999</c:v>
                </c:pt>
                <c:pt idx="73">
                  <c:v>21.08</c:v>
                </c:pt>
                <c:pt idx="74">
                  <c:v>20.309999999999999</c:v>
                </c:pt>
                <c:pt idx="75">
                  <c:v>21.08</c:v>
                </c:pt>
                <c:pt idx="76">
                  <c:v>21.08</c:v>
                </c:pt>
                <c:pt idx="77">
                  <c:v>17.989999999999998</c:v>
                </c:pt>
                <c:pt idx="78">
                  <c:v>18.760000000000002</c:v>
                </c:pt>
                <c:pt idx="79">
                  <c:v>20.309999999999999</c:v>
                </c:pt>
                <c:pt idx="80">
                  <c:v>24.17</c:v>
                </c:pt>
                <c:pt idx="81">
                  <c:v>21.08</c:v>
                </c:pt>
                <c:pt idx="82">
                  <c:v>21.85</c:v>
                </c:pt>
                <c:pt idx="83">
                  <c:v>20.309999999999999</c:v>
                </c:pt>
                <c:pt idx="84">
                  <c:v>18.760000000000002</c:v>
                </c:pt>
                <c:pt idx="85">
                  <c:v>17.22</c:v>
                </c:pt>
                <c:pt idx="86">
                  <c:v>24.17</c:v>
                </c:pt>
                <c:pt idx="87">
                  <c:v>27.26</c:v>
                </c:pt>
                <c:pt idx="88">
                  <c:v>21.08</c:v>
                </c:pt>
                <c:pt idx="89">
                  <c:v>21.85</c:v>
                </c:pt>
                <c:pt idx="90">
                  <c:v>23.4</c:v>
                </c:pt>
                <c:pt idx="91">
                  <c:v>19.54</c:v>
                </c:pt>
                <c:pt idx="92">
                  <c:v>19.54</c:v>
                </c:pt>
                <c:pt idx="93">
                  <c:v>26.49</c:v>
                </c:pt>
                <c:pt idx="94">
                  <c:v>23.4</c:v>
                </c:pt>
                <c:pt idx="95">
                  <c:v>21.08</c:v>
                </c:pt>
                <c:pt idx="96">
                  <c:v>26.49</c:v>
                </c:pt>
                <c:pt idx="97">
                  <c:v>19.54</c:v>
                </c:pt>
                <c:pt idx="98">
                  <c:v>24.17</c:v>
                </c:pt>
                <c:pt idx="99">
                  <c:v>18.760000000000002</c:v>
                </c:pt>
                <c:pt idx="100">
                  <c:v>27.26</c:v>
                </c:pt>
                <c:pt idx="101">
                  <c:v>36.53</c:v>
                </c:pt>
                <c:pt idx="102">
                  <c:v>26.49</c:v>
                </c:pt>
                <c:pt idx="103">
                  <c:v>22.63</c:v>
                </c:pt>
                <c:pt idx="104">
                  <c:v>21.85</c:v>
                </c:pt>
                <c:pt idx="105">
                  <c:v>17.22</c:v>
                </c:pt>
                <c:pt idx="106">
                  <c:v>26.49</c:v>
                </c:pt>
                <c:pt idx="107">
                  <c:v>20.309999999999999</c:v>
                </c:pt>
                <c:pt idx="108">
                  <c:v>23.4</c:v>
                </c:pt>
                <c:pt idx="109">
                  <c:v>21.08</c:v>
                </c:pt>
                <c:pt idx="110">
                  <c:v>20.309999999999999</c:v>
                </c:pt>
                <c:pt idx="111">
                  <c:v>20.309999999999999</c:v>
                </c:pt>
                <c:pt idx="112">
                  <c:v>21.08</c:v>
                </c:pt>
                <c:pt idx="113">
                  <c:v>13.36</c:v>
                </c:pt>
                <c:pt idx="114">
                  <c:v>20.309999999999999</c:v>
                </c:pt>
                <c:pt idx="115">
                  <c:v>28.03</c:v>
                </c:pt>
                <c:pt idx="116">
                  <c:v>52.75</c:v>
                </c:pt>
                <c:pt idx="117">
                  <c:v>31.12</c:v>
                </c:pt>
                <c:pt idx="118">
                  <c:v>25.71</c:v>
                </c:pt>
                <c:pt idx="119">
                  <c:v>23.4</c:v>
                </c:pt>
                <c:pt idx="120">
                  <c:v>17.989999999999998</c:v>
                </c:pt>
                <c:pt idx="121">
                  <c:v>15.67</c:v>
                </c:pt>
                <c:pt idx="122">
                  <c:v>19.54</c:v>
                </c:pt>
                <c:pt idx="123">
                  <c:v>17.989999999999998</c:v>
                </c:pt>
                <c:pt idx="124">
                  <c:v>13.36</c:v>
                </c:pt>
                <c:pt idx="125">
                  <c:v>17.989999999999998</c:v>
                </c:pt>
                <c:pt idx="126">
                  <c:v>22.63</c:v>
                </c:pt>
                <c:pt idx="127">
                  <c:v>22.63</c:v>
                </c:pt>
                <c:pt idx="128">
                  <c:v>21.85</c:v>
                </c:pt>
                <c:pt idx="129">
                  <c:v>21.85</c:v>
                </c:pt>
                <c:pt idx="130">
                  <c:v>18.760000000000002</c:v>
                </c:pt>
                <c:pt idx="131">
                  <c:v>48.88</c:v>
                </c:pt>
                <c:pt idx="132">
                  <c:v>46.57</c:v>
                </c:pt>
                <c:pt idx="133">
                  <c:v>24.17</c:v>
                </c:pt>
                <c:pt idx="134">
                  <c:v>19.54</c:v>
                </c:pt>
                <c:pt idx="135">
                  <c:v>12.58</c:v>
                </c:pt>
                <c:pt idx="136">
                  <c:v>8.7199999999999989</c:v>
                </c:pt>
                <c:pt idx="137">
                  <c:v>11.81</c:v>
                </c:pt>
                <c:pt idx="138">
                  <c:v>21.85</c:v>
                </c:pt>
                <c:pt idx="139">
                  <c:v>22.63</c:v>
                </c:pt>
                <c:pt idx="140">
                  <c:v>22.63</c:v>
                </c:pt>
                <c:pt idx="141">
                  <c:v>18.760000000000002</c:v>
                </c:pt>
                <c:pt idx="142">
                  <c:v>20.309999999999999</c:v>
                </c:pt>
                <c:pt idx="143">
                  <c:v>23.4</c:v>
                </c:pt>
                <c:pt idx="144">
                  <c:v>23.4</c:v>
                </c:pt>
                <c:pt idx="145">
                  <c:v>37.299999999999997</c:v>
                </c:pt>
                <c:pt idx="146">
                  <c:v>41.16</c:v>
                </c:pt>
                <c:pt idx="147">
                  <c:v>33.44</c:v>
                </c:pt>
                <c:pt idx="148">
                  <c:v>25.71</c:v>
                </c:pt>
                <c:pt idx="149">
                  <c:v>11.04</c:v>
                </c:pt>
                <c:pt idx="150">
                  <c:v>0</c:v>
                </c:pt>
                <c:pt idx="151">
                  <c:v>17.22</c:v>
                </c:pt>
                <c:pt idx="152">
                  <c:v>17.989999999999998</c:v>
                </c:pt>
                <c:pt idx="153">
                  <c:v>21.08</c:v>
                </c:pt>
                <c:pt idx="154">
                  <c:v>19.54</c:v>
                </c:pt>
                <c:pt idx="155">
                  <c:v>18.760000000000002</c:v>
                </c:pt>
                <c:pt idx="156">
                  <c:v>21.85</c:v>
                </c:pt>
                <c:pt idx="157">
                  <c:v>14.9</c:v>
                </c:pt>
                <c:pt idx="158">
                  <c:v>24.17</c:v>
                </c:pt>
                <c:pt idx="159">
                  <c:v>19.54</c:v>
                </c:pt>
                <c:pt idx="160">
                  <c:v>31.89</c:v>
                </c:pt>
                <c:pt idx="161">
                  <c:v>41.93</c:v>
                </c:pt>
                <c:pt idx="162">
                  <c:v>21.85</c:v>
                </c:pt>
                <c:pt idx="163">
                  <c:v>23.4</c:v>
                </c:pt>
                <c:pt idx="164">
                  <c:v>7.95</c:v>
                </c:pt>
                <c:pt idx="165">
                  <c:v>6.41</c:v>
                </c:pt>
                <c:pt idx="166">
                  <c:v>17.22</c:v>
                </c:pt>
                <c:pt idx="167">
                  <c:v>20.309999999999999</c:v>
                </c:pt>
                <c:pt idx="168">
                  <c:v>15.67</c:v>
                </c:pt>
                <c:pt idx="169">
                  <c:v>21.08</c:v>
                </c:pt>
                <c:pt idx="170">
                  <c:v>17.22</c:v>
                </c:pt>
                <c:pt idx="171">
                  <c:v>20.309999999999999</c:v>
                </c:pt>
                <c:pt idx="172">
                  <c:v>17.22</c:v>
                </c:pt>
                <c:pt idx="173">
                  <c:v>23.4</c:v>
                </c:pt>
                <c:pt idx="174">
                  <c:v>19.54</c:v>
                </c:pt>
                <c:pt idx="175">
                  <c:v>36.53</c:v>
                </c:pt>
                <c:pt idx="176">
                  <c:v>17.22</c:v>
                </c:pt>
                <c:pt idx="177">
                  <c:v>12.59</c:v>
                </c:pt>
                <c:pt idx="178">
                  <c:v>12.59</c:v>
                </c:pt>
                <c:pt idx="179">
                  <c:v>16.45</c:v>
                </c:pt>
                <c:pt idx="180">
                  <c:v>21.08</c:v>
                </c:pt>
                <c:pt idx="181">
                  <c:v>17.22</c:v>
                </c:pt>
                <c:pt idx="182">
                  <c:v>23.4</c:v>
                </c:pt>
                <c:pt idx="183">
                  <c:v>15.67</c:v>
                </c:pt>
                <c:pt idx="184">
                  <c:v>23.4</c:v>
                </c:pt>
                <c:pt idx="185">
                  <c:v>16.45</c:v>
                </c:pt>
                <c:pt idx="186">
                  <c:v>21.08</c:v>
                </c:pt>
                <c:pt idx="187">
                  <c:v>17.22</c:v>
                </c:pt>
                <c:pt idx="188">
                  <c:v>18.760000000000002</c:v>
                </c:pt>
                <c:pt idx="189">
                  <c:v>28.8</c:v>
                </c:pt>
                <c:pt idx="190">
                  <c:v>24.94</c:v>
                </c:pt>
                <c:pt idx="191">
                  <c:v>15.67</c:v>
                </c:pt>
                <c:pt idx="192">
                  <c:v>12.59</c:v>
                </c:pt>
                <c:pt idx="193">
                  <c:v>14.9</c:v>
                </c:pt>
                <c:pt idx="194">
                  <c:v>18.760000000000002</c:v>
                </c:pt>
                <c:pt idx="195">
                  <c:v>15.67</c:v>
                </c:pt>
                <c:pt idx="196">
                  <c:v>17.989999999999998</c:v>
                </c:pt>
                <c:pt idx="197">
                  <c:v>19.54</c:v>
                </c:pt>
                <c:pt idx="198">
                  <c:v>11.04</c:v>
                </c:pt>
                <c:pt idx="199">
                  <c:v>13.36</c:v>
                </c:pt>
                <c:pt idx="200">
                  <c:v>14.13</c:v>
                </c:pt>
                <c:pt idx="201">
                  <c:v>17.22</c:v>
                </c:pt>
                <c:pt idx="202">
                  <c:v>20.309999999999999</c:v>
                </c:pt>
                <c:pt idx="203">
                  <c:v>14.13</c:v>
                </c:pt>
                <c:pt idx="204">
                  <c:v>24.94</c:v>
                </c:pt>
                <c:pt idx="205">
                  <c:v>18.760000000000002</c:v>
                </c:pt>
                <c:pt idx="206">
                  <c:v>9.5</c:v>
                </c:pt>
                <c:pt idx="207">
                  <c:v>18.760000000000002</c:v>
                </c:pt>
                <c:pt idx="208">
                  <c:v>9.5</c:v>
                </c:pt>
                <c:pt idx="209">
                  <c:v>18.760000000000002</c:v>
                </c:pt>
                <c:pt idx="210">
                  <c:v>19.54</c:v>
                </c:pt>
                <c:pt idx="211">
                  <c:v>7.95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1.77</c:v>
                </c:pt>
                <c:pt idx="248">
                  <c:v>1.77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7.95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11.81</c:v>
                </c:pt>
                <c:pt idx="277">
                  <c:v>4.09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3.32</c:v>
                </c:pt>
                <c:pt idx="291">
                  <c:v>16.45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17.22</c:v>
                </c:pt>
                <c:pt idx="306">
                  <c:v>9.5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12.58</c:v>
                </c:pt>
                <c:pt idx="320">
                  <c:v>18.760000000000002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22.63</c:v>
                </c:pt>
                <c:pt idx="335">
                  <c:v>4.09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21.08</c:v>
                </c:pt>
                <c:pt idx="349">
                  <c:v>6.41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19.54</c:v>
                </c:pt>
                <c:pt idx="363">
                  <c:v>11.81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27.26</c:v>
                </c:pt>
                <c:pt idx="377">
                  <c:v>13.36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21.85</c:v>
                </c:pt>
                <c:pt idx="391">
                  <c:v>20.309999999999999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18.760000000000002</c:v>
                </c:pt>
                <c:pt idx="405">
                  <c:v>21.85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27.26</c:v>
                </c:pt>
                <c:pt idx="419">
                  <c:v>14.13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7.18</c:v>
                </c:pt>
                <c:pt idx="433">
                  <c:v>30.35</c:v>
                </c:pt>
                <c:pt idx="434">
                  <c:v>1.77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32.67</c:v>
                </c:pt>
                <c:pt idx="448">
                  <c:v>4.09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32.67</c:v>
                </c:pt>
                <c:pt idx="462">
                  <c:v>4.09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11.81</c:v>
                </c:pt>
                <c:pt idx="476">
                  <c:v>26.49</c:v>
                </c:pt>
                <c:pt idx="477">
                  <c:v>4.09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23.4</c:v>
                </c:pt>
                <c:pt idx="491">
                  <c:v>10.27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4.8599999999999994</c:v>
                </c:pt>
                <c:pt idx="505">
                  <c:v>16.45</c:v>
                </c:pt>
                <c:pt idx="506">
                  <c:v>4.8599999999999994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18.760000000000002</c:v>
                </c:pt>
                <c:pt idx="520">
                  <c:v>5.63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17.22</c:v>
                </c:pt>
                <c:pt idx="535">
                  <c:v>4.09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13.36</c:v>
                </c:pt>
                <c:pt idx="549">
                  <c:v>5.63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A3-4DE7-B0F0-73EA484BD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54928"/>
        <c:axId val="342756592"/>
      </c:scatterChart>
      <c:valAx>
        <c:axId val="342754928"/>
        <c:scaling>
          <c:orientation val="minMax"/>
          <c:max val="6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2756592"/>
        <c:crosses val="autoZero"/>
        <c:crossBetween val="midCat"/>
      </c:valAx>
      <c:valAx>
        <c:axId val="342756592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2754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Hoja1!$U$2:$U$501</c:f>
              <c:numCache>
                <c:formatCode>0.0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2.7800000000000002</c:v>
                </c:pt>
                <c:pt idx="4">
                  <c:v>6.4880000000000013</c:v>
                </c:pt>
                <c:pt idx="5">
                  <c:v>-6.95</c:v>
                </c:pt>
                <c:pt idx="6">
                  <c:v>-0.77400000000000002</c:v>
                </c:pt>
                <c:pt idx="7">
                  <c:v>-1.39</c:v>
                </c:pt>
                <c:pt idx="8">
                  <c:v>0</c:v>
                </c:pt>
                <c:pt idx="9">
                  <c:v>0.77200000000000002</c:v>
                </c:pt>
                <c:pt idx="10">
                  <c:v>-0.154</c:v>
                </c:pt>
                <c:pt idx="11">
                  <c:v>-0.92599999999999993</c:v>
                </c:pt>
                <c:pt idx="12">
                  <c:v>0.308</c:v>
                </c:pt>
                <c:pt idx="13">
                  <c:v>-0.46200000000000002</c:v>
                </c:pt>
                <c:pt idx="14">
                  <c:v>0.154</c:v>
                </c:pt>
                <c:pt idx="15">
                  <c:v>0</c:v>
                </c:pt>
                <c:pt idx="16">
                  <c:v>0.77200000000000002</c:v>
                </c:pt>
                <c:pt idx="17">
                  <c:v>1.39</c:v>
                </c:pt>
                <c:pt idx="18">
                  <c:v>-1.7</c:v>
                </c:pt>
                <c:pt idx="19">
                  <c:v>1.236</c:v>
                </c:pt>
                <c:pt idx="20">
                  <c:v>-1.236</c:v>
                </c:pt>
                <c:pt idx="21">
                  <c:v>1.3919999999999999</c:v>
                </c:pt>
                <c:pt idx="22">
                  <c:v>-1.3919999999999999</c:v>
                </c:pt>
                <c:pt idx="23">
                  <c:v>1.8539999999999999</c:v>
                </c:pt>
                <c:pt idx="24">
                  <c:v>-1.698</c:v>
                </c:pt>
                <c:pt idx="25">
                  <c:v>1.698</c:v>
                </c:pt>
                <c:pt idx="26">
                  <c:v>-1.08</c:v>
                </c:pt>
                <c:pt idx="27">
                  <c:v>0.15399999999999991</c:v>
                </c:pt>
                <c:pt idx="28">
                  <c:v>0.46400000000000008</c:v>
                </c:pt>
                <c:pt idx="29">
                  <c:v>-0.30999999999999994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-0.15400000000000008</c:v>
                </c:pt>
                <c:pt idx="34">
                  <c:v>0</c:v>
                </c:pt>
                <c:pt idx="35">
                  <c:v>-0.15399999999999991</c:v>
                </c:pt>
                <c:pt idx="36">
                  <c:v>0.46199999999999991</c:v>
                </c:pt>
                <c:pt idx="37">
                  <c:v>-0.308</c:v>
                </c:pt>
                <c:pt idx="38">
                  <c:v>0.77199999999999991</c:v>
                </c:pt>
                <c:pt idx="39">
                  <c:v>-0.92599999999999982</c:v>
                </c:pt>
                <c:pt idx="40">
                  <c:v>0.46199999999999991</c:v>
                </c:pt>
                <c:pt idx="41">
                  <c:v>-0.46199999999999991</c:v>
                </c:pt>
                <c:pt idx="42">
                  <c:v>1.39</c:v>
                </c:pt>
                <c:pt idx="43">
                  <c:v>-1.236</c:v>
                </c:pt>
                <c:pt idx="44">
                  <c:v>0.46400000000000008</c:v>
                </c:pt>
                <c:pt idx="45">
                  <c:v>0</c:v>
                </c:pt>
                <c:pt idx="46">
                  <c:v>0.15399999999999991</c:v>
                </c:pt>
                <c:pt idx="47">
                  <c:v>-0.30999999999999994</c:v>
                </c:pt>
                <c:pt idx="48">
                  <c:v>-0.15399999999999991</c:v>
                </c:pt>
                <c:pt idx="49">
                  <c:v>0.92799999999999994</c:v>
                </c:pt>
                <c:pt idx="50">
                  <c:v>-0.46400000000000008</c:v>
                </c:pt>
                <c:pt idx="51">
                  <c:v>1.08</c:v>
                </c:pt>
                <c:pt idx="52">
                  <c:v>-1.3900000000000001</c:v>
                </c:pt>
                <c:pt idx="53">
                  <c:v>1.2360000000000002</c:v>
                </c:pt>
                <c:pt idx="54">
                  <c:v>-0.92600000000000016</c:v>
                </c:pt>
                <c:pt idx="55">
                  <c:v>1.236</c:v>
                </c:pt>
                <c:pt idx="56">
                  <c:v>-0.61799999999999999</c:v>
                </c:pt>
                <c:pt idx="57">
                  <c:v>0.46200000000000008</c:v>
                </c:pt>
                <c:pt idx="58">
                  <c:v>-0.61599999999999999</c:v>
                </c:pt>
                <c:pt idx="59">
                  <c:v>0.77199999999999991</c:v>
                </c:pt>
                <c:pt idx="60">
                  <c:v>0.15399999999999991</c:v>
                </c:pt>
                <c:pt idx="61">
                  <c:v>-0.61799999999999966</c:v>
                </c:pt>
                <c:pt idx="62">
                  <c:v>0.77199999999999958</c:v>
                </c:pt>
                <c:pt idx="63">
                  <c:v>-0.61799999999999966</c:v>
                </c:pt>
                <c:pt idx="64">
                  <c:v>0.77200000000000024</c:v>
                </c:pt>
                <c:pt idx="65">
                  <c:v>-0.61800000000000033</c:v>
                </c:pt>
                <c:pt idx="66">
                  <c:v>1.3919999999999999</c:v>
                </c:pt>
                <c:pt idx="67">
                  <c:v>-2.1639999999999997</c:v>
                </c:pt>
                <c:pt idx="68">
                  <c:v>0.92799999999999971</c:v>
                </c:pt>
                <c:pt idx="69">
                  <c:v>0.46200000000000047</c:v>
                </c:pt>
                <c:pt idx="70">
                  <c:v>-0.30800000000000055</c:v>
                </c:pt>
                <c:pt idx="71">
                  <c:v>0.15399999999999991</c:v>
                </c:pt>
                <c:pt idx="72">
                  <c:v>-0.30799999999999983</c:v>
                </c:pt>
                <c:pt idx="73">
                  <c:v>0.30799999999999983</c:v>
                </c:pt>
                <c:pt idx="74">
                  <c:v>-0.15399999999999991</c:v>
                </c:pt>
                <c:pt idx="75">
                  <c:v>0.61799999999999999</c:v>
                </c:pt>
                <c:pt idx="76">
                  <c:v>0</c:v>
                </c:pt>
                <c:pt idx="77">
                  <c:v>0.46400000000000008</c:v>
                </c:pt>
                <c:pt idx="78">
                  <c:v>-0.31000000000000016</c:v>
                </c:pt>
                <c:pt idx="79">
                  <c:v>0</c:v>
                </c:pt>
                <c:pt idx="80">
                  <c:v>-0.30799999999999983</c:v>
                </c:pt>
                <c:pt idx="81">
                  <c:v>0.61799999999999999</c:v>
                </c:pt>
                <c:pt idx="82">
                  <c:v>-0.77399999999999947</c:v>
                </c:pt>
                <c:pt idx="83">
                  <c:v>0.77399999999999947</c:v>
                </c:pt>
                <c:pt idx="84">
                  <c:v>-0.61799999999999999</c:v>
                </c:pt>
                <c:pt idx="85">
                  <c:v>0</c:v>
                </c:pt>
                <c:pt idx="86">
                  <c:v>0.15399999999999991</c:v>
                </c:pt>
                <c:pt idx="87">
                  <c:v>0.46400000000000008</c:v>
                </c:pt>
                <c:pt idx="88">
                  <c:v>0</c:v>
                </c:pt>
                <c:pt idx="89">
                  <c:v>0</c:v>
                </c:pt>
                <c:pt idx="90">
                  <c:v>-0.15599999999999953</c:v>
                </c:pt>
                <c:pt idx="91">
                  <c:v>0.30999999999999944</c:v>
                </c:pt>
                <c:pt idx="92">
                  <c:v>0.46200000000000047</c:v>
                </c:pt>
                <c:pt idx="93">
                  <c:v>-0.30799999999999983</c:v>
                </c:pt>
                <c:pt idx="94">
                  <c:v>-0.77200000000000057</c:v>
                </c:pt>
                <c:pt idx="95">
                  <c:v>0.30800000000000055</c:v>
                </c:pt>
                <c:pt idx="96">
                  <c:v>0.46400000000000008</c:v>
                </c:pt>
                <c:pt idx="97">
                  <c:v>-1.0820000000000001</c:v>
                </c:pt>
                <c:pt idx="98">
                  <c:v>1.0820000000000001</c:v>
                </c:pt>
                <c:pt idx="99">
                  <c:v>-0.30800000000000055</c:v>
                </c:pt>
                <c:pt idx="100">
                  <c:v>-0.77399999999999947</c:v>
                </c:pt>
                <c:pt idx="101">
                  <c:v>1.5459999999999994</c:v>
                </c:pt>
                <c:pt idx="102">
                  <c:v>-1.8539999999999999</c:v>
                </c:pt>
                <c:pt idx="103">
                  <c:v>0.46400000000000008</c:v>
                </c:pt>
                <c:pt idx="104">
                  <c:v>1.0800000000000005</c:v>
                </c:pt>
                <c:pt idx="105">
                  <c:v>0.77199999999999991</c:v>
                </c:pt>
                <c:pt idx="106">
                  <c:v>-0.46200000000000047</c:v>
                </c:pt>
                <c:pt idx="107">
                  <c:v>-1.236</c:v>
                </c:pt>
                <c:pt idx="108">
                  <c:v>1.236</c:v>
                </c:pt>
                <c:pt idx="109">
                  <c:v>-1.5459999999999994</c:v>
                </c:pt>
                <c:pt idx="110">
                  <c:v>0.61799999999999999</c:v>
                </c:pt>
                <c:pt idx="111">
                  <c:v>0.30999999999999944</c:v>
                </c:pt>
                <c:pt idx="112">
                  <c:v>-0.92799999999999938</c:v>
                </c:pt>
                <c:pt idx="113">
                  <c:v>0.92799999999999938</c:v>
                </c:pt>
                <c:pt idx="114">
                  <c:v>-0.77199999999999991</c:v>
                </c:pt>
                <c:pt idx="115">
                  <c:v>0</c:v>
                </c:pt>
                <c:pt idx="116">
                  <c:v>0.61799999999999999</c:v>
                </c:pt>
                <c:pt idx="117">
                  <c:v>-1.3919999999999999</c:v>
                </c:pt>
                <c:pt idx="118">
                  <c:v>2.9360000000000004</c:v>
                </c:pt>
                <c:pt idx="119">
                  <c:v>1.6980000000000004</c:v>
                </c:pt>
                <c:pt idx="120">
                  <c:v>-2.3160000000000003</c:v>
                </c:pt>
                <c:pt idx="121">
                  <c:v>-0.92600000000000049</c:v>
                </c:pt>
                <c:pt idx="122">
                  <c:v>0.15399999999999991</c:v>
                </c:pt>
                <c:pt idx="123">
                  <c:v>-0.61799999999999999</c:v>
                </c:pt>
                <c:pt idx="124">
                  <c:v>-0.30999999999999944</c:v>
                </c:pt>
                <c:pt idx="125">
                  <c:v>-0.15400000000000064</c:v>
                </c:pt>
                <c:pt idx="126">
                  <c:v>0.31000000000000016</c:v>
                </c:pt>
                <c:pt idx="127">
                  <c:v>-0.61799999999999999</c:v>
                </c:pt>
                <c:pt idx="128">
                  <c:v>0.77199999999999991</c:v>
                </c:pt>
                <c:pt idx="129">
                  <c:v>0.92600000000000049</c:v>
                </c:pt>
                <c:pt idx="130">
                  <c:v>-0.30800000000000055</c:v>
                </c:pt>
                <c:pt idx="131">
                  <c:v>0.15400000000000064</c:v>
                </c:pt>
                <c:pt idx="132">
                  <c:v>1.236</c:v>
                </c:pt>
                <c:pt idx="133">
                  <c:v>0.30799999999999983</c:v>
                </c:pt>
                <c:pt idx="134">
                  <c:v>-1.5439999999999998</c:v>
                </c:pt>
                <c:pt idx="135">
                  <c:v>-0.30800000000000055</c:v>
                </c:pt>
                <c:pt idx="136">
                  <c:v>-0.77399999999999947</c:v>
                </c:pt>
                <c:pt idx="137">
                  <c:v>-0.30800000000000055</c:v>
                </c:pt>
                <c:pt idx="138">
                  <c:v>0</c:v>
                </c:pt>
                <c:pt idx="139">
                  <c:v>0.15399999999999991</c:v>
                </c:pt>
                <c:pt idx="140">
                  <c:v>0</c:v>
                </c:pt>
                <c:pt idx="141">
                  <c:v>1.0820000000000001</c:v>
                </c:pt>
                <c:pt idx="142">
                  <c:v>-0.30999999999999944</c:v>
                </c:pt>
                <c:pt idx="143">
                  <c:v>-0.30800000000000055</c:v>
                </c:pt>
                <c:pt idx="144">
                  <c:v>0.30800000000000055</c:v>
                </c:pt>
                <c:pt idx="145">
                  <c:v>0.46400000000000008</c:v>
                </c:pt>
                <c:pt idx="146">
                  <c:v>0.46399999999999936</c:v>
                </c:pt>
                <c:pt idx="147">
                  <c:v>-0.30999999999999944</c:v>
                </c:pt>
                <c:pt idx="148">
                  <c:v>-0.92600000000000049</c:v>
                </c:pt>
                <c:pt idx="149">
                  <c:v>-0.46400000000000008</c:v>
                </c:pt>
                <c:pt idx="150">
                  <c:v>0.15400000000000064</c:v>
                </c:pt>
                <c:pt idx="151">
                  <c:v>0.61799999999999999</c:v>
                </c:pt>
                <c:pt idx="152">
                  <c:v>0.15599999999999953</c:v>
                </c:pt>
                <c:pt idx="153">
                  <c:v>-0.92800000000000016</c:v>
                </c:pt>
                <c:pt idx="154">
                  <c:v>0.46400000000000008</c:v>
                </c:pt>
                <c:pt idx="155">
                  <c:v>0.92600000000000049</c:v>
                </c:pt>
                <c:pt idx="156">
                  <c:v>-0.30800000000000055</c:v>
                </c:pt>
                <c:pt idx="157">
                  <c:v>-0.46400000000000008</c:v>
                </c:pt>
                <c:pt idx="158">
                  <c:v>-0.61799999999999999</c:v>
                </c:pt>
                <c:pt idx="159">
                  <c:v>0.77200000000000057</c:v>
                </c:pt>
                <c:pt idx="160">
                  <c:v>0.46400000000000008</c:v>
                </c:pt>
                <c:pt idx="161">
                  <c:v>0</c:v>
                </c:pt>
                <c:pt idx="162">
                  <c:v>-1.3900000000000006</c:v>
                </c:pt>
                <c:pt idx="163">
                  <c:v>0.15399999999999991</c:v>
                </c:pt>
                <c:pt idx="164">
                  <c:v>0.15400000000000064</c:v>
                </c:pt>
                <c:pt idx="165">
                  <c:v>0.46399999999999936</c:v>
                </c:pt>
                <c:pt idx="166">
                  <c:v>-0.30799999999999983</c:v>
                </c:pt>
                <c:pt idx="167">
                  <c:v>0.30799999999999983</c:v>
                </c:pt>
                <c:pt idx="168">
                  <c:v>0</c:v>
                </c:pt>
                <c:pt idx="169">
                  <c:v>0</c:v>
                </c:pt>
                <c:pt idx="170">
                  <c:v>0.31000000000000016</c:v>
                </c:pt>
                <c:pt idx="171">
                  <c:v>-0.92800000000000016</c:v>
                </c:pt>
                <c:pt idx="172">
                  <c:v>0</c:v>
                </c:pt>
                <c:pt idx="173">
                  <c:v>1.2360000000000007</c:v>
                </c:pt>
                <c:pt idx="174">
                  <c:v>-1.0820000000000001</c:v>
                </c:pt>
                <c:pt idx="175">
                  <c:v>0.30999999999999944</c:v>
                </c:pt>
                <c:pt idx="176">
                  <c:v>-0.46400000000000008</c:v>
                </c:pt>
                <c:pt idx="177">
                  <c:v>0.46400000000000008</c:v>
                </c:pt>
                <c:pt idx="178">
                  <c:v>0</c:v>
                </c:pt>
                <c:pt idx="179">
                  <c:v>-0.77199999999999991</c:v>
                </c:pt>
                <c:pt idx="180">
                  <c:v>1.39</c:v>
                </c:pt>
                <c:pt idx="181">
                  <c:v>-1.39</c:v>
                </c:pt>
                <c:pt idx="182">
                  <c:v>0.92599999999999982</c:v>
                </c:pt>
                <c:pt idx="183">
                  <c:v>-4.7879999999999994</c:v>
                </c:pt>
                <c:pt idx="184">
                  <c:v>-2.008</c:v>
                </c:pt>
                <c:pt idx="185">
                  <c:v>-0.92799999999999971</c:v>
                </c:pt>
                <c:pt idx="186">
                  <c:v>0.15599999999999953</c:v>
                </c:pt>
                <c:pt idx="187">
                  <c:v>1.3900000000000001</c:v>
                </c:pt>
                <c:pt idx="188">
                  <c:v>-0.92799999999999971</c:v>
                </c:pt>
                <c:pt idx="189">
                  <c:v>0.15599999999999986</c:v>
                </c:pt>
                <c:pt idx="190">
                  <c:v>0.15399999999999991</c:v>
                </c:pt>
                <c:pt idx="191">
                  <c:v>-0.30999999999999978</c:v>
                </c:pt>
                <c:pt idx="192">
                  <c:v>0.30999999999999978</c:v>
                </c:pt>
                <c:pt idx="193">
                  <c:v>0.61799999999999999</c:v>
                </c:pt>
                <c:pt idx="194">
                  <c:v>-0.46400000000000008</c:v>
                </c:pt>
                <c:pt idx="195">
                  <c:v>0.15400000000000028</c:v>
                </c:pt>
                <c:pt idx="196">
                  <c:v>0</c:v>
                </c:pt>
                <c:pt idx="197">
                  <c:v>0</c:v>
                </c:pt>
                <c:pt idx="198">
                  <c:v>0.15399999999999991</c:v>
                </c:pt>
                <c:pt idx="199">
                  <c:v>0.31000000000000016</c:v>
                </c:pt>
                <c:pt idx="200">
                  <c:v>-0.15400000000000028</c:v>
                </c:pt>
                <c:pt idx="201">
                  <c:v>1.544</c:v>
                </c:pt>
                <c:pt idx="202">
                  <c:v>-1.8539999999999999</c:v>
                </c:pt>
                <c:pt idx="203">
                  <c:v>0.15599999999999986</c:v>
                </c:pt>
                <c:pt idx="204">
                  <c:v>0.15399999999999991</c:v>
                </c:pt>
                <c:pt idx="205">
                  <c:v>-0.30999999999999978</c:v>
                </c:pt>
                <c:pt idx="206">
                  <c:v>0.46400000000000008</c:v>
                </c:pt>
                <c:pt idx="207">
                  <c:v>0.30799999999999983</c:v>
                </c:pt>
                <c:pt idx="208">
                  <c:v>-0.46200000000000008</c:v>
                </c:pt>
                <c:pt idx="209">
                  <c:v>0.15400000000000028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0.92599999999999982</c:v>
                </c:pt>
                <c:pt idx="215">
                  <c:v>0.31000000000000005</c:v>
                </c:pt>
                <c:pt idx="216">
                  <c:v>-1.236</c:v>
                </c:pt>
                <c:pt idx="217">
                  <c:v>-0.15400000000000028</c:v>
                </c:pt>
                <c:pt idx="218">
                  <c:v>-0.15399999999999991</c:v>
                </c:pt>
                <c:pt idx="219">
                  <c:v>0.30800000000000016</c:v>
                </c:pt>
                <c:pt idx="220">
                  <c:v>0.46399999999999986</c:v>
                </c:pt>
                <c:pt idx="221">
                  <c:v>-0.46399999999999986</c:v>
                </c:pt>
                <c:pt idx="222">
                  <c:v>0.15399999999999991</c:v>
                </c:pt>
                <c:pt idx="223">
                  <c:v>0.15399999999999991</c:v>
                </c:pt>
                <c:pt idx="224">
                  <c:v>-0.15399999999999991</c:v>
                </c:pt>
                <c:pt idx="225">
                  <c:v>0.30999999999999994</c:v>
                </c:pt>
                <c:pt idx="226">
                  <c:v>-0.46399999999999986</c:v>
                </c:pt>
                <c:pt idx="227">
                  <c:v>0.46399999999999986</c:v>
                </c:pt>
                <c:pt idx="228">
                  <c:v>0.308</c:v>
                </c:pt>
                <c:pt idx="229">
                  <c:v>0.46399999999999997</c:v>
                </c:pt>
                <c:pt idx="230">
                  <c:v>-0.31000000000000005</c:v>
                </c:pt>
                <c:pt idx="231">
                  <c:v>-0.92599999999999982</c:v>
                </c:pt>
                <c:pt idx="232">
                  <c:v>-0.30800000000000016</c:v>
                </c:pt>
                <c:pt idx="233">
                  <c:v>0.46200000000000008</c:v>
                </c:pt>
                <c:pt idx="234">
                  <c:v>0.15399999999999991</c:v>
                </c:pt>
                <c:pt idx="235">
                  <c:v>0.15600000000000006</c:v>
                </c:pt>
                <c:pt idx="236">
                  <c:v>-0.46399999999999986</c:v>
                </c:pt>
                <c:pt idx="237">
                  <c:v>0.46399999999999986</c:v>
                </c:pt>
                <c:pt idx="238">
                  <c:v>-0.15600000000000006</c:v>
                </c:pt>
                <c:pt idx="239">
                  <c:v>0</c:v>
                </c:pt>
                <c:pt idx="240">
                  <c:v>0.15600000000000006</c:v>
                </c:pt>
                <c:pt idx="241">
                  <c:v>0</c:v>
                </c:pt>
                <c:pt idx="242">
                  <c:v>0.77200000000000002</c:v>
                </c:pt>
                <c:pt idx="243">
                  <c:v>0.308</c:v>
                </c:pt>
                <c:pt idx="244">
                  <c:v>-0.92600000000000016</c:v>
                </c:pt>
                <c:pt idx="245">
                  <c:v>-0.46399999999999986</c:v>
                </c:pt>
                <c:pt idx="246">
                  <c:v>-0.77200000000000024</c:v>
                </c:pt>
                <c:pt idx="247">
                  <c:v>0.61800000000000033</c:v>
                </c:pt>
                <c:pt idx="248">
                  <c:v>0.77199999999999991</c:v>
                </c:pt>
                <c:pt idx="249">
                  <c:v>-0.77199999999999991</c:v>
                </c:pt>
                <c:pt idx="250">
                  <c:v>0.46399999999999986</c:v>
                </c:pt>
                <c:pt idx="251">
                  <c:v>-0.15600000000000006</c:v>
                </c:pt>
                <c:pt idx="252">
                  <c:v>0.15600000000000006</c:v>
                </c:pt>
                <c:pt idx="253">
                  <c:v>0</c:v>
                </c:pt>
                <c:pt idx="254">
                  <c:v>-0.30999999999999994</c:v>
                </c:pt>
                <c:pt idx="255">
                  <c:v>0.30999999999999994</c:v>
                </c:pt>
                <c:pt idx="256">
                  <c:v>1.08</c:v>
                </c:pt>
                <c:pt idx="257">
                  <c:v>0</c:v>
                </c:pt>
                <c:pt idx="258">
                  <c:v>-0.6180000000000001</c:v>
                </c:pt>
                <c:pt idx="259">
                  <c:v>-0.61799999999999999</c:v>
                </c:pt>
                <c:pt idx="260">
                  <c:v>-0.92600000000000016</c:v>
                </c:pt>
                <c:pt idx="261">
                  <c:v>0.92600000000000016</c:v>
                </c:pt>
                <c:pt idx="262">
                  <c:v>0.46400000000000008</c:v>
                </c:pt>
                <c:pt idx="263">
                  <c:v>-0.77199999999999991</c:v>
                </c:pt>
                <c:pt idx="264">
                  <c:v>0.61799999999999977</c:v>
                </c:pt>
                <c:pt idx="265">
                  <c:v>-0.30999999999999994</c:v>
                </c:pt>
                <c:pt idx="266">
                  <c:v>-0.15399999999999991</c:v>
                </c:pt>
                <c:pt idx="267">
                  <c:v>0.46399999999999986</c:v>
                </c:pt>
                <c:pt idx="268">
                  <c:v>-0.15399999999999991</c:v>
                </c:pt>
                <c:pt idx="269">
                  <c:v>0.308</c:v>
                </c:pt>
                <c:pt idx="270">
                  <c:v>1.0820000000000001</c:v>
                </c:pt>
                <c:pt idx="271">
                  <c:v>0.308</c:v>
                </c:pt>
                <c:pt idx="272">
                  <c:v>-0.77200000000000002</c:v>
                </c:pt>
                <c:pt idx="273">
                  <c:v>-0.92599999999999993</c:v>
                </c:pt>
                <c:pt idx="274">
                  <c:v>-0.92799999999999994</c:v>
                </c:pt>
                <c:pt idx="275">
                  <c:v>0.30999999999999978</c:v>
                </c:pt>
                <c:pt idx="276">
                  <c:v>0.46200000000000008</c:v>
                </c:pt>
                <c:pt idx="277">
                  <c:v>-0.15399999999999991</c:v>
                </c:pt>
                <c:pt idx="278">
                  <c:v>0.46399999999999986</c:v>
                </c:pt>
                <c:pt idx="279">
                  <c:v>0</c:v>
                </c:pt>
                <c:pt idx="280">
                  <c:v>-0.30999999999999994</c:v>
                </c:pt>
                <c:pt idx="281">
                  <c:v>0.30999999999999994</c:v>
                </c:pt>
                <c:pt idx="282">
                  <c:v>-0.15399999999999991</c:v>
                </c:pt>
                <c:pt idx="283">
                  <c:v>0.61799999999999999</c:v>
                </c:pt>
                <c:pt idx="284">
                  <c:v>0.61799999999999999</c:v>
                </c:pt>
                <c:pt idx="285">
                  <c:v>0.77200000000000002</c:v>
                </c:pt>
                <c:pt idx="286">
                  <c:v>-0.61799999999999999</c:v>
                </c:pt>
                <c:pt idx="287">
                  <c:v>-1.0820000000000001</c:v>
                </c:pt>
                <c:pt idx="288">
                  <c:v>-1.698</c:v>
                </c:pt>
                <c:pt idx="289">
                  <c:v>0.61799999999999999</c:v>
                </c:pt>
                <c:pt idx="290">
                  <c:v>0.46200000000000008</c:v>
                </c:pt>
                <c:pt idx="291">
                  <c:v>0.15399999999999991</c:v>
                </c:pt>
                <c:pt idx="292">
                  <c:v>0.30999999999999994</c:v>
                </c:pt>
                <c:pt idx="293">
                  <c:v>-0.15399999999999991</c:v>
                </c:pt>
                <c:pt idx="294">
                  <c:v>0.61799999999999999</c:v>
                </c:pt>
                <c:pt idx="295">
                  <c:v>-0.61799999999999999</c:v>
                </c:pt>
                <c:pt idx="296">
                  <c:v>0.15399999999999991</c:v>
                </c:pt>
                <c:pt idx="297">
                  <c:v>-0.15399999999999991</c:v>
                </c:pt>
                <c:pt idx="298">
                  <c:v>1.544</c:v>
                </c:pt>
                <c:pt idx="299">
                  <c:v>1.3900000000000001</c:v>
                </c:pt>
                <c:pt idx="300">
                  <c:v>-1.3900000000000001</c:v>
                </c:pt>
                <c:pt idx="301">
                  <c:v>-1.3900000000000001</c:v>
                </c:pt>
                <c:pt idx="302">
                  <c:v>-0.30999999999999994</c:v>
                </c:pt>
                <c:pt idx="303">
                  <c:v>-0.61599999999999999</c:v>
                </c:pt>
                <c:pt idx="304">
                  <c:v>0.15399999999999991</c:v>
                </c:pt>
                <c:pt idx="305">
                  <c:v>0.30800000000000016</c:v>
                </c:pt>
                <c:pt idx="306">
                  <c:v>0.30999999999999994</c:v>
                </c:pt>
                <c:pt idx="307">
                  <c:v>-0.15600000000000006</c:v>
                </c:pt>
                <c:pt idx="308">
                  <c:v>0.46400000000000008</c:v>
                </c:pt>
                <c:pt idx="309">
                  <c:v>0</c:v>
                </c:pt>
                <c:pt idx="310">
                  <c:v>-0.15400000000000008</c:v>
                </c:pt>
                <c:pt idx="311">
                  <c:v>0</c:v>
                </c:pt>
                <c:pt idx="312">
                  <c:v>1.3900000000000001</c:v>
                </c:pt>
                <c:pt idx="313">
                  <c:v>1.0820000000000001</c:v>
                </c:pt>
                <c:pt idx="314">
                  <c:v>0</c:v>
                </c:pt>
                <c:pt idx="315">
                  <c:v>-2.6259999999999999</c:v>
                </c:pt>
                <c:pt idx="316">
                  <c:v>-0.15600000000000006</c:v>
                </c:pt>
                <c:pt idx="317">
                  <c:v>-0.30799999999999983</c:v>
                </c:pt>
                <c:pt idx="318">
                  <c:v>0</c:v>
                </c:pt>
                <c:pt idx="319">
                  <c:v>0.46399999999999986</c:v>
                </c:pt>
                <c:pt idx="320">
                  <c:v>-0.6180000000000001</c:v>
                </c:pt>
                <c:pt idx="321">
                  <c:v>0.30800000000000016</c:v>
                </c:pt>
                <c:pt idx="322">
                  <c:v>0.30999999999999994</c:v>
                </c:pt>
                <c:pt idx="323">
                  <c:v>0.308</c:v>
                </c:pt>
                <c:pt idx="324">
                  <c:v>0.30999999999999994</c:v>
                </c:pt>
                <c:pt idx="325">
                  <c:v>-0.61799999999999999</c:v>
                </c:pt>
                <c:pt idx="326">
                  <c:v>1.08</c:v>
                </c:pt>
                <c:pt idx="327">
                  <c:v>1.8539999999999999</c:v>
                </c:pt>
                <c:pt idx="328">
                  <c:v>0</c:v>
                </c:pt>
                <c:pt idx="329">
                  <c:v>-2.3159999999999998</c:v>
                </c:pt>
                <c:pt idx="330">
                  <c:v>-0.46400000000000008</c:v>
                </c:pt>
                <c:pt idx="331">
                  <c:v>-0.15399999999999991</c:v>
                </c:pt>
                <c:pt idx="332">
                  <c:v>-0.15600000000000006</c:v>
                </c:pt>
                <c:pt idx="333">
                  <c:v>-0.46200000000000008</c:v>
                </c:pt>
                <c:pt idx="334">
                  <c:v>0.30800000000000016</c:v>
                </c:pt>
                <c:pt idx="335">
                  <c:v>-0.15399999999999991</c:v>
                </c:pt>
                <c:pt idx="336">
                  <c:v>0.15399999999999991</c:v>
                </c:pt>
                <c:pt idx="337">
                  <c:v>0.61799999999999999</c:v>
                </c:pt>
                <c:pt idx="338">
                  <c:v>-0.308</c:v>
                </c:pt>
                <c:pt idx="339">
                  <c:v>-0.15600000000000006</c:v>
                </c:pt>
                <c:pt idx="340">
                  <c:v>1.546</c:v>
                </c:pt>
                <c:pt idx="341">
                  <c:v>2.008</c:v>
                </c:pt>
                <c:pt idx="342">
                  <c:v>-1.0820000000000001</c:v>
                </c:pt>
                <c:pt idx="343">
                  <c:v>-1.236</c:v>
                </c:pt>
                <c:pt idx="344">
                  <c:v>0.30999999999999994</c:v>
                </c:pt>
                <c:pt idx="345">
                  <c:v>-1.7</c:v>
                </c:pt>
                <c:pt idx="346">
                  <c:v>0.92799999999999994</c:v>
                </c:pt>
                <c:pt idx="347">
                  <c:v>-0.92799999999999994</c:v>
                </c:pt>
                <c:pt idx="348">
                  <c:v>0.15399999999999991</c:v>
                </c:pt>
                <c:pt idx="349">
                  <c:v>-0.15399999999999991</c:v>
                </c:pt>
                <c:pt idx="350">
                  <c:v>-0.46400000000000008</c:v>
                </c:pt>
                <c:pt idx="351">
                  <c:v>0.61799999999999999</c:v>
                </c:pt>
                <c:pt idx="352">
                  <c:v>0.46400000000000008</c:v>
                </c:pt>
                <c:pt idx="353">
                  <c:v>0</c:v>
                </c:pt>
                <c:pt idx="354">
                  <c:v>1.0820000000000001</c:v>
                </c:pt>
                <c:pt idx="355">
                  <c:v>1.698</c:v>
                </c:pt>
                <c:pt idx="356">
                  <c:v>-0.46199999999999991</c:v>
                </c:pt>
                <c:pt idx="357">
                  <c:v>-0.92800000000000016</c:v>
                </c:pt>
                <c:pt idx="358">
                  <c:v>-0.92599999999999993</c:v>
                </c:pt>
                <c:pt idx="359">
                  <c:v>-0.6180000000000001</c:v>
                </c:pt>
                <c:pt idx="360">
                  <c:v>-0.15399999999999991</c:v>
                </c:pt>
                <c:pt idx="361">
                  <c:v>-0.15600000000000006</c:v>
                </c:pt>
                <c:pt idx="362">
                  <c:v>0</c:v>
                </c:pt>
                <c:pt idx="363">
                  <c:v>-0.46200000000000008</c:v>
                </c:pt>
                <c:pt idx="364">
                  <c:v>0.6180000000000001</c:v>
                </c:pt>
                <c:pt idx="365">
                  <c:v>-0.15600000000000006</c:v>
                </c:pt>
                <c:pt idx="366">
                  <c:v>0</c:v>
                </c:pt>
                <c:pt idx="367">
                  <c:v>0.46400000000000008</c:v>
                </c:pt>
                <c:pt idx="368">
                  <c:v>1.0820000000000001</c:v>
                </c:pt>
                <c:pt idx="369">
                  <c:v>2.3159999999999998</c:v>
                </c:pt>
                <c:pt idx="370">
                  <c:v>-1.08</c:v>
                </c:pt>
                <c:pt idx="371">
                  <c:v>-1.0820000000000001</c:v>
                </c:pt>
                <c:pt idx="372">
                  <c:v>-0.46399999999999997</c:v>
                </c:pt>
                <c:pt idx="373">
                  <c:v>-0.92600000000000016</c:v>
                </c:pt>
                <c:pt idx="374">
                  <c:v>-0.30999999999999994</c:v>
                </c:pt>
                <c:pt idx="375">
                  <c:v>0.15600000000000006</c:v>
                </c:pt>
                <c:pt idx="376">
                  <c:v>0.46199999999999991</c:v>
                </c:pt>
                <c:pt idx="377">
                  <c:v>-0.46199999999999991</c:v>
                </c:pt>
                <c:pt idx="378">
                  <c:v>0.15399999999999991</c:v>
                </c:pt>
                <c:pt idx="379">
                  <c:v>0</c:v>
                </c:pt>
                <c:pt idx="380">
                  <c:v>-0.15399999999999991</c:v>
                </c:pt>
                <c:pt idx="381">
                  <c:v>-0.15600000000000006</c:v>
                </c:pt>
                <c:pt idx="382">
                  <c:v>0.61799999999999999</c:v>
                </c:pt>
                <c:pt idx="383">
                  <c:v>2.3180000000000001</c:v>
                </c:pt>
                <c:pt idx="384">
                  <c:v>0.61799999999999999</c:v>
                </c:pt>
                <c:pt idx="385">
                  <c:v>-1.7</c:v>
                </c:pt>
                <c:pt idx="386">
                  <c:v>-0.46200000000000002</c:v>
                </c:pt>
                <c:pt idx="387">
                  <c:v>-1.0820000000000001</c:v>
                </c:pt>
                <c:pt idx="388">
                  <c:v>0.15400000000000008</c:v>
                </c:pt>
                <c:pt idx="389">
                  <c:v>0</c:v>
                </c:pt>
                <c:pt idx="390">
                  <c:v>0.15399999999999991</c:v>
                </c:pt>
                <c:pt idx="391">
                  <c:v>-0.46199999999999991</c:v>
                </c:pt>
                <c:pt idx="392">
                  <c:v>0.46199999999999991</c:v>
                </c:pt>
                <c:pt idx="393">
                  <c:v>-0.46199999999999991</c:v>
                </c:pt>
                <c:pt idx="394">
                  <c:v>0.15399999999999991</c:v>
                </c:pt>
                <c:pt idx="395">
                  <c:v>0.308</c:v>
                </c:pt>
                <c:pt idx="396">
                  <c:v>-0.61799999999999999</c:v>
                </c:pt>
                <c:pt idx="397">
                  <c:v>2.1640000000000001</c:v>
                </c:pt>
                <c:pt idx="398">
                  <c:v>0.92600000000000016</c:v>
                </c:pt>
                <c:pt idx="399">
                  <c:v>-1.236</c:v>
                </c:pt>
                <c:pt idx="400">
                  <c:v>-0.154</c:v>
                </c:pt>
                <c:pt idx="401">
                  <c:v>-1.544</c:v>
                </c:pt>
                <c:pt idx="402">
                  <c:v>0.15399999999999991</c:v>
                </c:pt>
                <c:pt idx="403">
                  <c:v>0.46400000000000008</c:v>
                </c:pt>
                <c:pt idx="404">
                  <c:v>0.154</c:v>
                </c:pt>
                <c:pt idx="405">
                  <c:v>-0.6180000000000001</c:v>
                </c:pt>
                <c:pt idx="406">
                  <c:v>0</c:v>
                </c:pt>
                <c:pt idx="407">
                  <c:v>0.308</c:v>
                </c:pt>
                <c:pt idx="408">
                  <c:v>0.15600000000000006</c:v>
                </c:pt>
                <c:pt idx="409">
                  <c:v>0.154</c:v>
                </c:pt>
                <c:pt idx="410">
                  <c:v>0</c:v>
                </c:pt>
                <c:pt idx="411">
                  <c:v>1.544</c:v>
                </c:pt>
                <c:pt idx="412">
                  <c:v>0.154</c:v>
                </c:pt>
                <c:pt idx="413">
                  <c:v>-1.08</c:v>
                </c:pt>
                <c:pt idx="414">
                  <c:v>-0.154</c:v>
                </c:pt>
                <c:pt idx="415">
                  <c:v>-2.0100000000000002</c:v>
                </c:pt>
                <c:pt idx="416">
                  <c:v>0</c:v>
                </c:pt>
                <c:pt idx="417">
                  <c:v>0.61799999999999999</c:v>
                </c:pt>
                <c:pt idx="418">
                  <c:v>0.61799999999999999</c:v>
                </c:pt>
                <c:pt idx="419">
                  <c:v>0.31000000000000005</c:v>
                </c:pt>
                <c:pt idx="420">
                  <c:v>0</c:v>
                </c:pt>
                <c:pt idx="421">
                  <c:v>0.308</c:v>
                </c:pt>
                <c:pt idx="422">
                  <c:v>-0.46200000000000002</c:v>
                </c:pt>
                <c:pt idx="423">
                  <c:v>0.46200000000000002</c:v>
                </c:pt>
                <c:pt idx="424">
                  <c:v>0.15599999999999997</c:v>
                </c:pt>
                <c:pt idx="425">
                  <c:v>1.08</c:v>
                </c:pt>
                <c:pt idx="426">
                  <c:v>0.31000000000000005</c:v>
                </c:pt>
                <c:pt idx="427">
                  <c:v>-0.46400000000000008</c:v>
                </c:pt>
                <c:pt idx="428">
                  <c:v>0.154</c:v>
                </c:pt>
                <c:pt idx="429">
                  <c:v>-1.39</c:v>
                </c:pt>
                <c:pt idx="430">
                  <c:v>-0.46400000000000008</c:v>
                </c:pt>
                <c:pt idx="431">
                  <c:v>0.15600000000000006</c:v>
                </c:pt>
                <c:pt idx="432">
                  <c:v>-0.61799999999999999</c:v>
                </c:pt>
                <c:pt idx="433">
                  <c:v>0.61799999999999999</c:v>
                </c:pt>
                <c:pt idx="434">
                  <c:v>0.154</c:v>
                </c:pt>
                <c:pt idx="435">
                  <c:v>0.154</c:v>
                </c:pt>
                <c:pt idx="436">
                  <c:v>-0.46400000000000008</c:v>
                </c:pt>
                <c:pt idx="437">
                  <c:v>0.31000000000000005</c:v>
                </c:pt>
                <c:pt idx="438">
                  <c:v>-0.6180000000000001</c:v>
                </c:pt>
                <c:pt idx="439">
                  <c:v>0.92600000000000016</c:v>
                </c:pt>
                <c:pt idx="440">
                  <c:v>0.61799999999999999</c:v>
                </c:pt>
                <c:pt idx="441">
                  <c:v>-0.92599999999999993</c:v>
                </c:pt>
                <c:pt idx="442">
                  <c:v>0.308</c:v>
                </c:pt>
                <c:pt idx="443">
                  <c:v>-0.77200000000000002</c:v>
                </c:pt>
                <c:pt idx="444">
                  <c:v>0.46399999999999997</c:v>
                </c:pt>
                <c:pt idx="445">
                  <c:v>0.308</c:v>
                </c:pt>
                <c:pt idx="446">
                  <c:v>-0.77200000000000002</c:v>
                </c:pt>
                <c:pt idx="447">
                  <c:v>0</c:v>
                </c:pt>
                <c:pt idx="448">
                  <c:v>0.30999999999999994</c:v>
                </c:pt>
                <c:pt idx="449">
                  <c:v>0.154</c:v>
                </c:pt>
                <c:pt idx="450">
                  <c:v>0</c:v>
                </c:pt>
                <c:pt idx="451">
                  <c:v>0.154</c:v>
                </c:pt>
                <c:pt idx="452">
                  <c:v>-0.154</c:v>
                </c:pt>
                <c:pt idx="453">
                  <c:v>0.77200000000000002</c:v>
                </c:pt>
                <c:pt idx="454">
                  <c:v>0.77200000000000002</c:v>
                </c:pt>
                <c:pt idx="455">
                  <c:v>-0.77200000000000002</c:v>
                </c:pt>
                <c:pt idx="456">
                  <c:v>0</c:v>
                </c:pt>
                <c:pt idx="457">
                  <c:v>-0.61799999999999999</c:v>
                </c:pt>
                <c:pt idx="458">
                  <c:v>-0.308</c:v>
                </c:pt>
                <c:pt idx="459">
                  <c:v>-0.15600000000000006</c:v>
                </c:pt>
                <c:pt idx="460">
                  <c:v>0.31000000000000005</c:v>
                </c:pt>
                <c:pt idx="461">
                  <c:v>-0.6180000000000001</c:v>
                </c:pt>
                <c:pt idx="462">
                  <c:v>0.6180000000000001</c:v>
                </c:pt>
                <c:pt idx="463">
                  <c:v>0</c:v>
                </c:pt>
                <c:pt idx="464">
                  <c:v>-0.31000000000000005</c:v>
                </c:pt>
                <c:pt idx="465">
                  <c:v>0.31000000000000005</c:v>
                </c:pt>
                <c:pt idx="466">
                  <c:v>-0.46399999999999997</c:v>
                </c:pt>
                <c:pt idx="467">
                  <c:v>0.15399999999999991</c:v>
                </c:pt>
                <c:pt idx="468">
                  <c:v>-9.886000000000001</c:v>
                </c:pt>
                <c:pt idx="469">
                  <c:v>-21.161999999999999</c:v>
                </c:pt>
                <c:pt idx="470">
                  <c:v>9.2680000000000007</c:v>
                </c:pt>
                <c:pt idx="471">
                  <c:v>4.3259999999999987</c:v>
                </c:pt>
                <c:pt idx="472">
                  <c:v>1.8540000000000021</c:v>
                </c:pt>
                <c:pt idx="473">
                  <c:v>2.7799999999999985</c:v>
                </c:pt>
                <c:pt idx="474">
                  <c:v>1.7000000000000015</c:v>
                </c:pt>
                <c:pt idx="475">
                  <c:v>1.6979999999999991</c:v>
                </c:pt>
                <c:pt idx="476">
                  <c:v>1.236</c:v>
                </c:pt>
                <c:pt idx="477">
                  <c:v>0.92600000000000049</c:v>
                </c:pt>
                <c:pt idx="478">
                  <c:v>0.46400000000000008</c:v>
                </c:pt>
                <c:pt idx="479">
                  <c:v>1.236</c:v>
                </c:pt>
                <c:pt idx="480">
                  <c:v>1.0820000000000001</c:v>
                </c:pt>
                <c:pt idx="481">
                  <c:v>0.61799999999999999</c:v>
                </c:pt>
                <c:pt idx="482">
                  <c:v>1.0800000000000005</c:v>
                </c:pt>
                <c:pt idx="483">
                  <c:v>0.15399999999999991</c:v>
                </c:pt>
                <c:pt idx="484">
                  <c:v>0</c:v>
                </c:pt>
                <c:pt idx="485">
                  <c:v>0.92799999999999971</c:v>
                </c:pt>
                <c:pt idx="486">
                  <c:v>0</c:v>
                </c:pt>
                <c:pt idx="487">
                  <c:v>0.30800000000000016</c:v>
                </c:pt>
                <c:pt idx="488">
                  <c:v>0.15399999999999991</c:v>
                </c:pt>
                <c:pt idx="489">
                  <c:v>0.15599999999999986</c:v>
                </c:pt>
                <c:pt idx="490">
                  <c:v>0.30800000000000016</c:v>
                </c:pt>
                <c:pt idx="491">
                  <c:v>-0.15399999999999991</c:v>
                </c:pt>
                <c:pt idx="492">
                  <c:v>0.61799999999999977</c:v>
                </c:pt>
                <c:pt idx="493">
                  <c:v>0</c:v>
                </c:pt>
                <c:pt idx="494">
                  <c:v>-0.15399999999999991</c:v>
                </c:pt>
                <c:pt idx="495">
                  <c:v>0</c:v>
                </c:pt>
                <c:pt idx="496">
                  <c:v>0.61799999999999999</c:v>
                </c:pt>
                <c:pt idx="497">
                  <c:v>0</c:v>
                </c:pt>
                <c:pt idx="498">
                  <c:v>0.154</c:v>
                </c:pt>
                <c:pt idx="499">
                  <c:v>-0.46399999999999997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8D-4A67-904A-2DEFF7465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94000"/>
        <c:axId val="313802320"/>
      </c:scatterChart>
      <c:valAx>
        <c:axId val="31379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3802320"/>
        <c:crosses val="autoZero"/>
        <c:crossBetween val="midCat"/>
      </c:valAx>
      <c:valAx>
        <c:axId val="31380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379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1044267866862756E-2"/>
          <c:y val="0.13909551594042074"/>
          <c:w val="0.88992622796682819"/>
          <c:h val="0.8037810688889752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Hoja1!$AJ$2:$AJ$580</c:f>
              <c:numCache>
                <c:formatCode>0.0</c:formatCode>
                <c:ptCount val="579"/>
                <c:pt idx="0">
                  <c:v>3.1619999999999999</c:v>
                </c:pt>
                <c:pt idx="1">
                  <c:v>0.53799999999999992</c:v>
                </c:pt>
                <c:pt idx="2">
                  <c:v>0.69000000000000006</c:v>
                </c:pt>
                <c:pt idx="3">
                  <c:v>0.84599999999999986</c:v>
                </c:pt>
                <c:pt idx="4">
                  <c:v>1.1540000000000001</c:v>
                </c:pt>
                <c:pt idx="5">
                  <c:v>7.3999999999999844E-2</c:v>
                </c:pt>
                <c:pt idx="6">
                  <c:v>0.53600000000000003</c:v>
                </c:pt>
                <c:pt idx="7">
                  <c:v>1</c:v>
                </c:pt>
                <c:pt idx="8">
                  <c:v>1.3080000000000001</c:v>
                </c:pt>
                <c:pt idx="9">
                  <c:v>0.38400000000000001</c:v>
                </c:pt>
                <c:pt idx="10">
                  <c:v>1.772</c:v>
                </c:pt>
                <c:pt idx="11">
                  <c:v>0.53600000000000003</c:v>
                </c:pt>
                <c:pt idx="12">
                  <c:v>1.9259999999999999</c:v>
                </c:pt>
                <c:pt idx="13">
                  <c:v>0.38200000000000001</c:v>
                </c:pt>
                <c:pt idx="14">
                  <c:v>1.6179999999999999</c:v>
                </c:pt>
                <c:pt idx="15">
                  <c:v>0.53800000000000003</c:v>
                </c:pt>
                <c:pt idx="16">
                  <c:v>1.462</c:v>
                </c:pt>
                <c:pt idx="17">
                  <c:v>0.53800000000000003</c:v>
                </c:pt>
                <c:pt idx="18">
                  <c:v>1.462</c:v>
                </c:pt>
                <c:pt idx="19">
                  <c:v>0.38200000000000001</c:v>
                </c:pt>
                <c:pt idx="20">
                  <c:v>2.0819999999999999</c:v>
                </c:pt>
                <c:pt idx="21">
                  <c:v>0.22799999999999998</c:v>
                </c:pt>
                <c:pt idx="22">
                  <c:v>1.772</c:v>
                </c:pt>
                <c:pt idx="23">
                  <c:v>0.22799999999999998</c:v>
                </c:pt>
                <c:pt idx="24">
                  <c:v>1.6179999999999999</c:v>
                </c:pt>
                <c:pt idx="25">
                  <c:v>0.69000000000000006</c:v>
                </c:pt>
                <c:pt idx="26">
                  <c:v>1.464</c:v>
                </c:pt>
                <c:pt idx="27">
                  <c:v>0.22799999999999998</c:v>
                </c:pt>
                <c:pt idx="28">
                  <c:v>2.2359999999999998</c:v>
                </c:pt>
                <c:pt idx="29">
                  <c:v>0.22800000000000009</c:v>
                </c:pt>
                <c:pt idx="30">
                  <c:v>1.7719999999999998</c:v>
                </c:pt>
                <c:pt idx="31">
                  <c:v>0.38200000000000001</c:v>
                </c:pt>
                <c:pt idx="32">
                  <c:v>1.1540000000000001</c:v>
                </c:pt>
                <c:pt idx="33">
                  <c:v>0.69199999999999995</c:v>
                </c:pt>
                <c:pt idx="34">
                  <c:v>2.2359999999999998</c:v>
                </c:pt>
                <c:pt idx="35">
                  <c:v>-0.54600000000000004</c:v>
                </c:pt>
                <c:pt idx="36">
                  <c:v>2.39</c:v>
                </c:pt>
                <c:pt idx="37">
                  <c:v>0.84599999999999975</c:v>
                </c:pt>
                <c:pt idx="38">
                  <c:v>7.4000000000000177E-2</c:v>
                </c:pt>
                <c:pt idx="39">
                  <c:v>1.9259999999999997</c:v>
                </c:pt>
                <c:pt idx="40">
                  <c:v>0.22800000000000009</c:v>
                </c:pt>
                <c:pt idx="41">
                  <c:v>2.39</c:v>
                </c:pt>
                <c:pt idx="42">
                  <c:v>-0.39000000000000012</c:v>
                </c:pt>
                <c:pt idx="43">
                  <c:v>2.39</c:v>
                </c:pt>
                <c:pt idx="44">
                  <c:v>7.3999999999999844E-2</c:v>
                </c:pt>
                <c:pt idx="45">
                  <c:v>1.6179999999999999</c:v>
                </c:pt>
                <c:pt idx="46">
                  <c:v>0.38200000000000001</c:v>
                </c:pt>
                <c:pt idx="47">
                  <c:v>1.3079999999999998</c:v>
                </c:pt>
                <c:pt idx="48">
                  <c:v>1</c:v>
                </c:pt>
                <c:pt idx="49">
                  <c:v>1.31</c:v>
                </c:pt>
                <c:pt idx="50">
                  <c:v>0.53599999999999992</c:v>
                </c:pt>
                <c:pt idx="51">
                  <c:v>1.1539999999999999</c:v>
                </c:pt>
                <c:pt idx="52">
                  <c:v>1.1540000000000004</c:v>
                </c:pt>
                <c:pt idx="53">
                  <c:v>1.9279999999999997</c:v>
                </c:pt>
                <c:pt idx="54">
                  <c:v>0.84400000000000008</c:v>
                </c:pt>
                <c:pt idx="55">
                  <c:v>0.69200000000000017</c:v>
                </c:pt>
                <c:pt idx="56">
                  <c:v>1.7719999999999996</c:v>
                </c:pt>
                <c:pt idx="57">
                  <c:v>0.69200000000000017</c:v>
                </c:pt>
                <c:pt idx="58">
                  <c:v>1.7719999999999998</c:v>
                </c:pt>
                <c:pt idx="59">
                  <c:v>7.2000000000000286E-2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1.9279999999999997</c:v>
                </c:pt>
                <c:pt idx="64">
                  <c:v>0.84600000000000009</c:v>
                </c:pt>
                <c:pt idx="65">
                  <c:v>0.84400000000000053</c:v>
                </c:pt>
                <c:pt idx="66">
                  <c:v>0.6919999999999995</c:v>
                </c:pt>
                <c:pt idx="67">
                  <c:v>2.2359999999999998</c:v>
                </c:pt>
                <c:pt idx="68">
                  <c:v>7.2000000000000619E-2</c:v>
                </c:pt>
                <c:pt idx="69">
                  <c:v>0.53799999999999959</c:v>
                </c:pt>
                <c:pt idx="70">
                  <c:v>1.1539999999999999</c:v>
                </c:pt>
                <c:pt idx="71">
                  <c:v>1.6179999999999999</c:v>
                </c:pt>
                <c:pt idx="72">
                  <c:v>1</c:v>
                </c:pt>
                <c:pt idx="73">
                  <c:v>1.1539999999999999</c:v>
                </c:pt>
                <c:pt idx="74">
                  <c:v>0.84600000000000009</c:v>
                </c:pt>
                <c:pt idx="75">
                  <c:v>1.1539999999999999</c:v>
                </c:pt>
                <c:pt idx="76">
                  <c:v>1</c:v>
                </c:pt>
                <c:pt idx="77">
                  <c:v>0.38200000000000001</c:v>
                </c:pt>
                <c:pt idx="78">
                  <c:v>1.1540000000000006</c:v>
                </c:pt>
                <c:pt idx="79">
                  <c:v>1.3099999999999994</c:v>
                </c:pt>
                <c:pt idx="80">
                  <c:v>1.7720000000000007</c:v>
                </c:pt>
                <c:pt idx="81">
                  <c:v>0.38199999999999934</c:v>
                </c:pt>
                <c:pt idx="82">
                  <c:v>1.1540000000000006</c:v>
                </c:pt>
                <c:pt idx="83">
                  <c:v>0.6919999999999995</c:v>
                </c:pt>
                <c:pt idx="84">
                  <c:v>0.69000000000000061</c:v>
                </c:pt>
                <c:pt idx="85">
                  <c:v>0.6919999999999995</c:v>
                </c:pt>
                <c:pt idx="86">
                  <c:v>2.3900000000000006</c:v>
                </c:pt>
                <c:pt idx="87">
                  <c:v>1.6179999999999999</c:v>
                </c:pt>
                <c:pt idx="88">
                  <c:v>-0.23600000000000065</c:v>
                </c:pt>
                <c:pt idx="89">
                  <c:v>1.1540000000000006</c:v>
                </c:pt>
                <c:pt idx="90">
                  <c:v>1.3099999999999994</c:v>
                </c:pt>
                <c:pt idx="91">
                  <c:v>0.22800000000000009</c:v>
                </c:pt>
                <c:pt idx="92">
                  <c:v>1</c:v>
                </c:pt>
                <c:pt idx="93">
                  <c:v>2.3899999999999997</c:v>
                </c:pt>
                <c:pt idx="94">
                  <c:v>0.38200000000000001</c:v>
                </c:pt>
                <c:pt idx="95">
                  <c:v>0.53599999999999992</c:v>
                </c:pt>
                <c:pt idx="96">
                  <c:v>2.0819999999999999</c:v>
                </c:pt>
                <c:pt idx="97">
                  <c:v>-0.3899999999999999</c:v>
                </c:pt>
                <c:pt idx="98">
                  <c:v>1.9260000000000006</c:v>
                </c:pt>
                <c:pt idx="99">
                  <c:v>-8.2000000000000073E-2</c:v>
                </c:pt>
                <c:pt idx="100">
                  <c:v>2.7</c:v>
                </c:pt>
                <c:pt idx="101">
                  <c:v>2.8540000000000001</c:v>
                </c:pt>
                <c:pt idx="102">
                  <c:v>-1.0080000000000005</c:v>
                </c:pt>
                <c:pt idx="103">
                  <c:v>0.22800000000000009</c:v>
                </c:pt>
                <c:pt idx="104">
                  <c:v>0.84400000000000053</c:v>
                </c:pt>
                <c:pt idx="105">
                  <c:v>7.3999999999999511E-2</c:v>
                </c:pt>
                <c:pt idx="106">
                  <c:v>2.8540000000000001</c:v>
                </c:pt>
                <c:pt idx="107">
                  <c:v>-0.23599999999999999</c:v>
                </c:pt>
                <c:pt idx="108">
                  <c:v>1.6179999999999999</c:v>
                </c:pt>
                <c:pt idx="109">
                  <c:v>0.53599999999999992</c:v>
                </c:pt>
                <c:pt idx="110">
                  <c:v>0.84600000000000009</c:v>
                </c:pt>
                <c:pt idx="111">
                  <c:v>1</c:v>
                </c:pt>
                <c:pt idx="112">
                  <c:v>1.1539999999999999</c:v>
                </c:pt>
                <c:pt idx="113">
                  <c:v>-0.54399999999999982</c:v>
                </c:pt>
                <c:pt idx="114">
                  <c:v>2.3899999999999997</c:v>
                </c:pt>
                <c:pt idx="115">
                  <c:v>2.5440000000000005</c:v>
                </c:pt>
                <c:pt idx="116">
                  <c:v>5.944</c:v>
                </c:pt>
                <c:pt idx="117">
                  <c:v>-3.3259999999999996</c:v>
                </c:pt>
                <c:pt idx="118">
                  <c:v>-8.2000000000000073E-2</c:v>
                </c:pt>
                <c:pt idx="119">
                  <c:v>0.53799999999999959</c:v>
                </c:pt>
                <c:pt idx="120">
                  <c:v>-8.2000000000000073E-2</c:v>
                </c:pt>
                <c:pt idx="121">
                  <c:v>0.53600000000000025</c:v>
                </c:pt>
                <c:pt idx="122">
                  <c:v>1.7739999999999998</c:v>
                </c:pt>
                <c:pt idx="123">
                  <c:v>0.68999999999999984</c:v>
                </c:pt>
                <c:pt idx="124">
                  <c:v>7.4000000000000177E-2</c:v>
                </c:pt>
                <c:pt idx="125">
                  <c:v>1.9259999999999997</c:v>
                </c:pt>
                <c:pt idx="126">
                  <c:v>1.9280000000000002</c:v>
                </c:pt>
                <c:pt idx="127">
                  <c:v>1</c:v>
                </c:pt>
                <c:pt idx="128">
                  <c:v>0.84400000000000053</c:v>
                </c:pt>
                <c:pt idx="129">
                  <c:v>1</c:v>
                </c:pt>
                <c:pt idx="130">
                  <c:v>0.38200000000000001</c:v>
                </c:pt>
                <c:pt idx="131">
                  <c:v>7.024</c:v>
                </c:pt>
                <c:pt idx="132">
                  <c:v>0.53799999999999959</c:v>
                </c:pt>
                <c:pt idx="133">
                  <c:v>-3.4799999999999995</c:v>
                </c:pt>
                <c:pt idx="134">
                  <c:v>7.3999999999999511E-2</c:v>
                </c:pt>
                <c:pt idx="135">
                  <c:v>-0.3919999999999999</c:v>
                </c:pt>
                <c:pt idx="136">
                  <c:v>0.22799999999999998</c:v>
                </c:pt>
                <c:pt idx="137">
                  <c:v>1.6180000000000001</c:v>
                </c:pt>
                <c:pt idx="138">
                  <c:v>3.008</c:v>
                </c:pt>
                <c:pt idx="139">
                  <c:v>1.1559999999999995</c:v>
                </c:pt>
                <c:pt idx="140">
                  <c:v>1</c:v>
                </c:pt>
                <c:pt idx="141">
                  <c:v>0.22600000000000053</c:v>
                </c:pt>
                <c:pt idx="142">
                  <c:v>1.3099999999999994</c:v>
                </c:pt>
                <c:pt idx="143">
                  <c:v>1.6179999999999999</c:v>
                </c:pt>
                <c:pt idx="144">
                  <c:v>1</c:v>
                </c:pt>
                <c:pt idx="145">
                  <c:v>3.78</c:v>
                </c:pt>
                <c:pt idx="146">
                  <c:v>1.7719999999999998</c:v>
                </c:pt>
                <c:pt idx="147">
                  <c:v>-0.54399999999999982</c:v>
                </c:pt>
                <c:pt idx="148">
                  <c:v>-0.54599999999999937</c:v>
                </c:pt>
                <c:pt idx="149">
                  <c:v>-1.9340000000000002</c:v>
                </c:pt>
                <c:pt idx="150">
                  <c:v>-1.7799999999999998</c:v>
                </c:pt>
                <c:pt idx="151">
                  <c:v>5.016</c:v>
                </c:pt>
                <c:pt idx="152">
                  <c:v>1.1539999999999999</c:v>
                </c:pt>
                <c:pt idx="153">
                  <c:v>1.6179999999999999</c:v>
                </c:pt>
                <c:pt idx="154">
                  <c:v>0.69200000000000017</c:v>
                </c:pt>
                <c:pt idx="155">
                  <c:v>0.84400000000000053</c:v>
                </c:pt>
                <c:pt idx="156">
                  <c:v>1.6179999999999999</c:v>
                </c:pt>
                <c:pt idx="157">
                  <c:v>-0.39000000000000012</c:v>
                </c:pt>
                <c:pt idx="158">
                  <c:v>2.8540000000000001</c:v>
                </c:pt>
                <c:pt idx="159">
                  <c:v>7.3999999999999511E-2</c:v>
                </c:pt>
                <c:pt idx="160">
                  <c:v>3.47</c:v>
                </c:pt>
                <c:pt idx="161">
                  <c:v>3.008</c:v>
                </c:pt>
                <c:pt idx="162">
                  <c:v>-3.016</c:v>
                </c:pt>
                <c:pt idx="163">
                  <c:v>1.3099999999999994</c:v>
                </c:pt>
                <c:pt idx="164">
                  <c:v>-2.09</c:v>
                </c:pt>
                <c:pt idx="165">
                  <c:v>0.69199999999999995</c:v>
                </c:pt>
                <c:pt idx="166">
                  <c:v>3.1619999999999999</c:v>
                </c:pt>
                <c:pt idx="167">
                  <c:v>1.6179999999999999</c:v>
                </c:pt>
                <c:pt idx="168">
                  <c:v>7.2000000000000286E-2</c:v>
                </c:pt>
                <c:pt idx="169">
                  <c:v>2.0819999999999999</c:v>
                </c:pt>
                <c:pt idx="170">
                  <c:v>0.22800000000000009</c:v>
                </c:pt>
                <c:pt idx="171">
                  <c:v>1.6179999999999999</c:v>
                </c:pt>
                <c:pt idx="172">
                  <c:v>0.38200000000000001</c:v>
                </c:pt>
                <c:pt idx="173">
                  <c:v>2.2359999999999998</c:v>
                </c:pt>
                <c:pt idx="174">
                  <c:v>0.22800000000000009</c:v>
                </c:pt>
                <c:pt idx="175">
                  <c:v>4.3980000000000006</c:v>
                </c:pt>
                <c:pt idx="176">
                  <c:v>-2.8620000000000005</c:v>
                </c:pt>
                <c:pt idx="177">
                  <c:v>7.4000000000000177E-2</c:v>
                </c:pt>
                <c:pt idx="178">
                  <c:v>1</c:v>
                </c:pt>
                <c:pt idx="179">
                  <c:v>1.7719999999999998</c:v>
                </c:pt>
                <c:pt idx="180">
                  <c:v>1.9259999999999997</c:v>
                </c:pt>
                <c:pt idx="181">
                  <c:v>0.22800000000000009</c:v>
                </c:pt>
                <c:pt idx="182">
                  <c:v>2.2359999999999998</c:v>
                </c:pt>
                <c:pt idx="183">
                  <c:v>-0.54599999999999982</c:v>
                </c:pt>
                <c:pt idx="184">
                  <c:v>2.5459999999999998</c:v>
                </c:pt>
                <c:pt idx="185">
                  <c:v>-0.3899999999999999</c:v>
                </c:pt>
                <c:pt idx="186">
                  <c:v>1.9259999999999997</c:v>
                </c:pt>
                <c:pt idx="187">
                  <c:v>0.22800000000000009</c:v>
                </c:pt>
                <c:pt idx="188">
                  <c:v>1.3080000000000005</c:v>
                </c:pt>
                <c:pt idx="189">
                  <c:v>3.008</c:v>
                </c:pt>
                <c:pt idx="190">
                  <c:v>0.22800000000000009</c:v>
                </c:pt>
                <c:pt idx="191">
                  <c:v>-0.85400000000000031</c:v>
                </c:pt>
                <c:pt idx="192">
                  <c:v>0.38400000000000001</c:v>
                </c:pt>
                <c:pt idx="193">
                  <c:v>1.4620000000000002</c:v>
                </c:pt>
                <c:pt idx="194">
                  <c:v>1.7720000000000002</c:v>
                </c:pt>
                <c:pt idx="195">
                  <c:v>0.38199999999999967</c:v>
                </c:pt>
                <c:pt idx="196">
                  <c:v>1.4639999999999997</c:v>
                </c:pt>
                <c:pt idx="197">
                  <c:v>1.31</c:v>
                </c:pt>
                <c:pt idx="198">
                  <c:v>-0.7</c:v>
                </c:pt>
                <c:pt idx="199">
                  <c:v>1.464</c:v>
                </c:pt>
                <c:pt idx="200">
                  <c:v>1.1540000000000004</c:v>
                </c:pt>
                <c:pt idx="201">
                  <c:v>1.6179999999999997</c:v>
                </c:pt>
                <c:pt idx="202">
                  <c:v>1.6179999999999999</c:v>
                </c:pt>
                <c:pt idx="203">
                  <c:v>-0.23599999999999954</c:v>
                </c:pt>
                <c:pt idx="204">
                  <c:v>3.1619999999999999</c:v>
                </c:pt>
                <c:pt idx="205">
                  <c:v>-0.23599999999999999</c:v>
                </c:pt>
                <c:pt idx="206">
                  <c:v>-0.85200000000000031</c:v>
                </c:pt>
                <c:pt idx="207">
                  <c:v>2.8520000000000003</c:v>
                </c:pt>
                <c:pt idx="208">
                  <c:v>-0.85200000000000031</c:v>
                </c:pt>
                <c:pt idx="209">
                  <c:v>2.8520000000000003</c:v>
                </c:pt>
                <c:pt idx="210">
                  <c:v>1.1559999999999995</c:v>
                </c:pt>
                <c:pt idx="211">
                  <c:v>-1.3180000000000001</c:v>
                </c:pt>
                <c:pt idx="212">
                  <c:v>-2.7079999999999997</c:v>
                </c:pt>
                <c:pt idx="213">
                  <c:v>-7.9999999999999627E-2</c:v>
                </c:pt>
                <c:pt idx="214">
                  <c:v>0.84599999999999942</c:v>
                </c:pt>
                <c:pt idx="215">
                  <c:v>1.9260000000000002</c:v>
                </c:pt>
                <c:pt idx="216">
                  <c:v>0.38200000000000034</c:v>
                </c:pt>
                <c:pt idx="217">
                  <c:v>1.9259999999999997</c:v>
                </c:pt>
                <c:pt idx="218">
                  <c:v>1.774</c:v>
                </c:pt>
                <c:pt idx="219">
                  <c:v>1.3080000000000001</c:v>
                </c:pt>
                <c:pt idx="220">
                  <c:v>-1.3160000000000003</c:v>
                </c:pt>
                <c:pt idx="221">
                  <c:v>2.0800000000000005</c:v>
                </c:pt>
                <c:pt idx="222">
                  <c:v>0.38200000000000001</c:v>
                </c:pt>
                <c:pt idx="223">
                  <c:v>1.3099999999999998</c:v>
                </c:pt>
                <c:pt idx="224">
                  <c:v>1.1539999999999999</c:v>
                </c:pt>
                <c:pt idx="225">
                  <c:v>0.84600000000000009</c:v>
                </c:pt>
                <c:pt idx="226">
                  <c:v>1.1539999999999999</c:v>
                </c:pt>
                <c:pt idx="227">
                  <c:v>1.1540000000000004</c:v>
                </c:pt>
                <c:pt idx="228">
                  <c:v>1</c:v>
                </c:pt>
                <c:pt idx="229">
                  <c:v>1.3099999999999998</c:v>
                </c:pt>
                <c:pt idx="230">
                  <c:v>1</c:v>
                </c:pt>
                <c:pt idx="231">
                  <c:v>1.1540000000000004</c:v>
                </c:pt>
                <c:pt idx="232">
                  <c:v>0.84599999999999975</c:v>
                </c:pt>
                <c:pt idx="233">
                  <c:v>3.008</c:v>
                </c:pt>
                <c:pt idx="234">
                  <c:v>0.53600000000000003</c:v>
                </c:pt>
                <c:pt idx="235">
                  <c:v>-1.472</c:v>
                </c:pt>
                <c:pt idx="236">
                  <c:v>1.7719999999999998</c:v>
                </c:pt>
                <c:pt idx="237">
                  <c:v>-7.9999999999999627E-2</c:v>
                </c:pt>
                <c:pt idx="238">
                  <c:v>1.9259999999999997</c:v>
                </c:pt>
                <c:pt idx="239">
                  <c:v>1.1539999999999999</c:v>
                </c:pt>
                <c:pt idx="240">
                  <c:v>1.31</c:v>
                </c:pt>
                <c:pt idx="241">
                  <c:v>0.53599999999999992</c:v>
                </c:pt>
                <c:pt idx="242">
                  <c:v>1.6179999999999999</c:v>
                </c:pt>
                <c:pt idx="243">
                  <c:v>0.38200000000000001</c:v>
                </c:pt>
                <c:pt idx="244">
                  <c:v>1.6179999999999999</c:v>
                </c:pt>
                <c:pt idx="245">
                  <c:v>1.1539999999999999</c:v>
                </c:pt>
                <c:pt idx="246">
                  <c:v>0.69200000000000017</c:v>
                </c:pt>
                <c:pt idx="247">
                  <c:v>3.1619999999999999</c:v>
                </c:pt>
                <c:pt idx="248">
                  <c:v>1</c:v>
                </c:pt>
                <c:pt idx="249">
                  <c:v>-1.7800000000000002</c:v>
                </c:pt>
                <c:pt idx="250">
                  <c:v>0.84600000000000009</c:v>
                </c:pt>
                <c:pt idx="251">
                  <c:v>1</c:v>
                </c:pt>
                <c:pt idx="252">
                  <c:v>1.1539999999999999</c:v>
                </c:pt>
                <c:pt idx="253">
                  <c:v>2.0820000000000003</c:v>
                </c:pt>
                <c:pt idx="254">
                  <c:v>0.22599999999999998</c:v>
                </c:pt>
                <c:pt idx="255">
                  <c:v>1.464</c:v>
                </c:pt>
                <c:pt idx="256">
                  <c:v>0.53599999999999992</c:v>
                </c:pt>
                <c:pt idx="257">
                  <c:v>1.6179999999999999</c:v>
                </c:pt>
                <c:pt idx="258">
                  <c:v>1</c:v>
                </c:pt>
                <c:pt idx="259">
                  <c:v>0.84600000000000009</c:v>
                </c:pt>
                <c:pt idx="260">
                  <c:v>1</c:v>
                </c:pt>
                <c:pt idx="261">
                  <c:v>1.6179999999999999</c:v>
                </c:pt>
                <c:pt idx="262">
                  <c:v>3.6259999999999999</c:v>
                </c:pt>
                <c:pt idx="263">
                  <c:v>-0.54400000000000004</c:v>
                </c:pt>
                <c:pt idx="264">
                  <c:v>-0.85399999999999987</c:v>
                </c:pt>
                <c:pt idx="265">
                  <c:v>-0.23599999999999999</c:v>
                </c:pt>
                <c:pt idx="266">
                  <c:v>-0.54400000000000048</c:v>
                </c:pt>
                <c:pt idx="267">
                  <c:v>3.9340000000000002</c:v>
                </c:pt>
                <c:pt idx="268">
                  <c:v>0.84600000000000009</c:v>
                </c:pt>
                <c:pt idx="269">
                  <c:v>1.1539999999999999</c:v>
                </c:pt>
                <c:pt idx="270">
                  <c:v>1</c:v>
                </c:pt>
                <c:pt idx="271">
                  <c:v>1.1539999999999999</c:v>
                </c:pt>
                <c:pt idx="272">
                  <c:v>0.53799999999999992</c:v>
                </c:pt>
                <c:pt idx="273">
                  <c:v>1.1540000000000004</c:v>
                </c:pt>
                <c:pt idx="274">
                  <c:v>1.3079999999999998</c:v>
                </c:pt>
                <c:pt idx="275">
                  <c:v>1.774</c:v>
                </c:pt>
                <c:pt idx="276">
                  <c:v>4.0880000000000001</c:v>
                </c:pt>
                <c:pt idx="277">
                  <c:v>-0.54400000000000004</c:v>
                </c:pt>
                <c:pt idx="278">
                  <c:v>-1.1619999999999999</c:v>
                </c:pt>
                <c:pt idx="279">
                  <c:v>-0.7</c:v>
                </c:pt>
                <c:pt idx="280">
                  <c:v>-1.1620000000000004</c:v>
                </c:pt>
                <c:pt idx="281">
                  <c:v>4.5520000000000005</c:v>
                </c:pt>
                <c:pt idx="282">
                  <c:v>0.69199999999999984</c:v>
                </c:pt>
                <c:pt idx="283">
                  <c:v>1.1540000000000004</c:v>
                </c:pt>
                <c:pt idx="284">
                  <c:v>1.464</c:v>
                </c:pt>
                <c:pt idx="285">
                  <c:v>0.53600000000000014</c:v>
                </c:pt>
                <c:pt idx="286">
                  <c:v>1.464</c:v>
                </c:pt>
                <c:pt idx="287">
                  <c:v>1</c:v>
                </c:pt>
                <c:pt idx="288">
                  <c:v>0.3819999999999999</c:v>
                </c:pt>
                <c:pt idx="289">
                  <c:v>1.9260000000000002</c:v>
                </c:pt>
                <c:pt idx="290">
                  <c:v>2.7</c:v>
                </c:pt>
                <c:pt idx="291">
                  <c:v>3.6259999999999999</c:v>
                </c:pt>
                <c:pt idx="292">
                  <c:v>-3.016</c:v>
                </c:pt>
                <c:pt idx="293">
                  <c:v>0.22599999999999998</c:v>
                </c:pt>
                <c:pt idx="294">
                  <c:v>-1.4700000000000002</c:v>
                </c:pt>
                <c:pt idx="295">
                  <c:v>0.22800000000000009</c:v>
                </c:pt>
                <c:pt idx="296">
                  <c:v>3.7800000000000002</c:v>
                </c:pt>
                <c:pt idx="297">
                  <c:v>1.4620000000000002</c:v>
                </c:pt>
                <c:pt idx="298">
                  <c:v>0.84600000000000009</c:v>
                </c:pt>
                <c:pt idx="299">
                  <c:v>0.84600000000000009</c:v>
                </c:pt>
                <c:pt idx="300">
                  <c:v>1.3079999999999998</c:v>
                </c:pt>
                <c:pt idx="301">
                  <c:v>1</c:v>
                </c:pt>
                <c:pt idx="302">
                  <c:v>1</c:v>
                </c:pt>
                <c:pt idx="303">
                  <c:v>0.84600000000000009</c:v>
                </c:pt>
                <c:pt idx="304">
                  <c:v>1.9279999999999999</c:v>
                </c:pt>
                <c:pt idx="305">
                  <c:v>5.17</c:v>
                </c:pt>
                <c:pt idx="306">
                  <c:v>-0.54399999999999982</c:v>
                </c:pt>
                <c:pt idx="307">
                  <c:v>-2.7079999999999997</c:v>
                </c:pt>
                <c:pt idx="308">
                  <c:v>0.22799999999999976</c:v>
                </c:pt>
                <c:pt idx="309">
                  <c:v>-1.6260000000000003</c:v>
                </c:pt>
                <c:pt idx="310">
                  <c:v>4.0880000000000001</c:v>
                </c:pt>
                <c:pt idx="311">
                  <c:v>1.31</c:v>
                </c:pt>
                <c:pt idx="312">
                  <c:v>1</c:v>
                </c:pt>
                <c:pt idx="313">
                  <c:v>1.1539999999999999</c:v>
                </c:pt>
                <c:pt idx="314">
                  <c:v>1.1539999999999999</c:v>
                </c:pt>
                <c:pt idx="315">
                  <c:v>0.84600000000000009</c:v>
                </c:pt>
                <c:pt idx="316">
                  <c:v>1.31</c:v>
                </c:pt>
                <c:pt idx="317">
                  <c:v>1</c:v>
                </c:pt>
                <c:pt idx="318">
                  <c:v>1.1539999999999999</c:v>
                </c:pt>
                <c:pt idx="319">
                  <c:v>4.7060000000000004</c:v>
                </c:pt>
                <c:pt idx="320">
                  <c:v>2.2360000000000002</c:v>
                </c:pt>
                <c:pt idx="321">
                  <c:v>-3.6340000000000003</c:v>
                </c:pt>
                <c:pt idx="322">
                  <c:v>0.69199999999999995</c:v>
                </c:pt>
                <c:pt idx="323">
                  <c:v>-1.008</c:v>
                </c:pt>
                <c:pt idx="324">
                  <c:v>-0.23600000000000065</c:v>
                </c:pt>
                <c:pt idx="325">
                  <c:v>2.8540000000000001</c:v>
                </c:pt>
                <c:pt idx="326">
                  <c:v>1.4620000000000002</c:v>
                </c:pt>
                <c:pt idx="327">
                  <c:v>1.1559999999999999</c:v>
                </c:pt>
                <c:pt idx="328">
                  <c:v>1.6180000000000001</c:v>
                </c:pt>
                <c:pt idx="329">
                  <c:v>0.69000000000000006</c:v>
                </c:pt>
                <c:pt idx="330">
                  <c:v>1</c:v>
                </c:pt>
                <c:pt idx="331">
                  <c:v>1.31</c:v>
                </c:pt>
                <c:pt idx="332">
                  <c:v>1.1539999999999999</c:v>
                </c:pt>
                <c:pt idx="333">
                  <c:v>2.39</c:v>
                </c:pt>
                <c:pt idx="334">
                  <c:v>5.3259999999999996</c:v>
                </c:pt>
                <c:pt idx="335">
                  <c:v>-2.7079999999999997</c:v>
                </c:pt>
                <c:pt idx="336">
                  <c:v>-0.23599999999999999</c:v>
                </c:pt>
                <c:pt idx="337">
                  <c:v>-0.69799999999999995</c:v>
                </c:pt>
                <c:pt idx="338">
                  <c:v>-1.1639999999999997</c:v>
                </c:pt>
                <c:pt idx="339">
                  <c:v>2.5459999999999998</c:v>
                </c:pt>
                <c:pt idx="340">
                  <c:v>1.7719999999999998</c:v>
                </c:pt>
                <c:pt idx="341">
                  <c:v>1.1540000000000004</c:v>
                </c:pt>
                <c:pt idx="342">
                  <c:v>1.3079999999999998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1.31</c:v>
                </c:pt>
                <c:pt idx="347">
                  <c:v>1.6180000000000001</c:v>
                </c:pt>
                <c:pt idx="348">
                  <c:v>5.7879999999999994</c:v>
                </c:pt>
                <c:pt idx="349">
                  <c:v>-1.9339999999999997</c:v>
                </c:pt>
                <c:pt idx="350">
                  <c:v>-1.6259999999999999</c:v>
                </c:pt>
                <c:pt idx="351">
                  <c:v>-0.7</c:v>
                </c:pt>
                <c:pt idx="352">
                  <c:v>0.53599999999999992</c:v>
                </c:pt>
                <c:pt idx="353">
                  <c:v>2.3899999999999997</c:v>
                </c:pt>
                <c:pt idx="354">
                  <c:v>1.31</c:v>
                </c:pt>
                <c:pt idx="355">
                  <c:v>1.1539999999999999</c:v>
                </c:pt>
                <c:pt idx="356">
                  <c:v>1.1539999999999999</c:v>
                </c:pt>
                <c:pt idx="357">
                  <c:v>0.84600000000000009</c:v>
                </c:pt>
                <c:pt idx="358">
                  <c:v>1.31</c:v>
                </c:pt>
                <c:pt idx="359">
                  <c:v>1</c:v>
                </c:pt>
                <c:pt idx="360">
                  <c:v>0.84399999999999997</c:v>
                </c:pt>
                <c:pt idx="361">
                  <c:v>1.6179999999999999</c:v>
                </c:pt>
                <c:pt idx="362">
                  <c:v>5.79</c:v>
                </c:pt>
                <c:pt idx="363">
                  <c:v>-0.54599999999999982</c:v>
                </c:pt>
                <c:pt idx="364">
                  <c:v>-1.9340000000000002</c:v>
                </c:pt>
                <c:pt idx="365">
                  <c:v>0.22799999999999998</c:v>
                </c:pt>
                <c:pt idx="366">
                  <c:v>-1.3180000000000001</c:v>
                </c:pt>
                <c:pt idx="367">
                  <c:v>1.464</c:v>
                </c:pt>
                <c:pt idx="368">
                  <c:v>2.5439999999999996</c:v>
                </c:pt>
                <c:pt idx="369">
                  <c:v>0.69199999999999984</c:v>
                </c:pt>
                <c:pt idx="370">
                  <c:v>1.6180000000000001</c:v>
                </c:pt>
                <c:pt idx="371">
                  <c:v>0.69000000000000006</c:v>
                </c:pt>
                <c:pt idx="372">
                  <c:v>1.7719999999999998</c:v>
                </c:pt>
                <c:pt idx="373">
                  <c:v>0.38200000000000001</c:v>
                </c:pt>
                <c:pt idx="374">
                  <c:v>1.31</c:v>
                </c:pt>
                <c:pt idx="375">
                  <c:v>2.0819999999999999</c:v>
                </c:pt>
                <c:pt idx="376">
                  <c:v>6.5600000000000005</c:v>
                </c:pt>
                <c:pt idx="377">
                  <c:v>-1.7800000000000002</c:v>
                </c:pt>
                <c:pt idx="378">
                  <c:v>-1.7799999999999998</c:v>
                </c:pt>
                <c:pt idx="379">
                  <c:v>-0.3919999999999999</c:v>
                </c:pt>
                <c:pt idx="380">
                  <c:v>-1.1619999999999999</c:v>
                </c:pt>
                <c:pt idx="381">
                  <c:v>0.6919999999999995</c:v>
                </c:pt>
                <c:pt idx="382">
                  <c:v>2.0800000000000005</c:v>
                </c:pt>
                <c:pt idx="383">
                  <c:v>2.5459999999999998</c:v>
                </c:pt>
                <c:pt idx="384">
                  <c:v>0.69000000000000006</c:v>
                </c:pt>
                <c:pt idx="385">
                  <c:v>1.31</c:v>
                </c:pt>
                <c:pt idx="386">
                  <c:v>1.3080000000000001</c:v>
                </c:pt>
                <c:pt idx="387">
                  <c:v>0.38200000000000001</c:v>
                </c:pt>
                <c:pt idx="388">
                  <c:v>1.31</c:v>
                </c:pt>
                <c:pt idx="389">
                  <c:v>1.3080000000000001</c:v>
                </c:pt>
                <c:pt idx="390">
                  <c:v>6.4060000000000006</c:v>
                </c:pt>
                <c:pt idx="391">
                  <c:v>0.6919999999999995</c:v>
                </c:pt>
                <c:pt idx="392">
                  <c:v>-3.016</c:v>
                </c:pt>
                <c:pt idx="393">
                  <c:v>-0.23599999999999999</c:v>
                </c:pt>
                <c:pt idx="394">
                  <c:v>-1.008</c:v>
                </c:pt>
                <c:pt idx="395">
                  <c:v>1</c:v>
                </c:pt>
                <c:pt idx="396">
                  <c:v>0.84599999999999942</c:v>
                </c:pt>
                <c:pt idx="397">
                  <c:v>1.7720000000000002</c:v>
                </c:pt>
                <c:pt idx="398">
                  <c:v>2.2360000000000002</c:v>
                </c:pt>
                <c:pt idx="399">
                  <c:v>1</c:v>
                </c:pt>
                <c:pt idx="400">
                  <c:v>1.1539999999999999</c:v>
                </c:pt>
                <c:pt idx="401">
                  <c:v>1.464</c:v>
                </c:pt>
                <c:pt idx="402">
                  <c:v>0.38200000000000001</c:v>
                </c:pt>
                <c:pt idx="403">
                  <c:v>0.84399999999999997</c:v>
                </c:pt>
                <c:pt idx="404">
                  <c:v>6.2520000000000007</c:v>
                </c:pt>
                <c:pt idx="405">
                  <c:v>1.6179999999999999</c:v>
                </c:pt>
                <c:pt idx="406">
                  <c:v>-3.4779999999999998</c:v>
                </c:pt>
                <c:pt idx="407">
                  <c:v>-0.23599999999999999</c:v>
                </c:pt>
                <c:pt idx="408">
                  <c:v>-0.54599999999999982</c:v>
                </c:pt>
                <c:pt idx="409">
                  <c:v>0.84600000000000009</c:v>
                </c:pt>
                <c:pt idx="410">
                  <c:v>1</c:v>
                </c:pt>
                <c:pt idx="411">
                  <c:v>1.3099999999999998</c:v>
                </c:pt>
                <c:pt idx="412">
                  <c:v>2.08</c:v>
                </c:pt>
                <c:pt idx="413">
                  <c:v>1.6179999999999999</c:v>
                </c:pt>
                <c:pt idx="414">
                  <c:v>0.69199999999999995</c:v>
                </c:pt>
                <c:pt idx="415">
                  <c:v>1.3080000000000001</c:v>
                </c:pt>
                <c:pt idx="416">
                  <c:v>0.69199999999999995</c:v>
                </c:pt>
                <c:pt idx="417">
                  <c:v>1.6179999999999999</c:v>
                </c:pt>
                <c:pt idx="418">
                  <c:v>7.1779999999999999</c:v>
                </c:pt>
                <c:pt idx="419">
                  <c:v>-1.6260000000000003</c:v>
                </c:pt>
                <c:pt idx="420">
                  <c:v>-1.7800000000000002</c:v>
                </c:pt>
                <c:pt idx="421">
                  <c:v>-0.23599999999999999</c:v>
                </c:pt>
                <c:pt idx="422">
                  <c:v>-0.54400000000000004</c:v>
                </c:pt>
                <c:pt idx="423">
                  <c:v>1.3079999999999998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1.464</c:v>
                </c:pt>
                <c:pt idx="428">
                  <c:v>1.6180000000000001</c:v>
                </c:pt>
                <c:pt idx="429">
                  <c:v>1.462</c:v>
                </c:pt>
                <c:pt idx="430">
                  <c:v>0.69199999999999995</c:v>
                </c:pt>
                <c:pt idx="431">
                  <c:v>1.6180000000000001</c:v>
                </c:pt>
                <c:pt idx="432">
                  <c:v>3.008</c:v>
                </c:pt>
                <c:pt idx="433">
                  <c:v>5.6340000000000003</c:v>
                </c:pt>
                <c:pt idx="434">
                  <c:v>-4.7160000000000002</c:v>
                </c:pt>
                <c:pt idx="435">
                  <c:v>-8.0000000000000071E-2</c:v>
                </c:pt>
                <c:pt idx="436">
                  <c:v>0.22599999999999998</c:v>
                </c:pt>
                <c:pt idx="437">
                  <c:v>-0.23399999999999999</c:v>
                </c:pt>
                <c:pt idx="438">
                  <c:v>2.08</c:v>
                </c:pt>
                <c:pt idx="439">
                  <c:v>0.84600000000000009</c:v>
                </c:pt>
                <c:pt idx="440">
                  <c:v>0.68999999999999984</c:v>
                </c:pt>
                <c:pt idx="441">
                  <c:v>0.69199999999999984</c:v>
                </c:pt>
                <c:pt idx="442">
                  <c:v>1.1540000000000004</c:v>
                </c:pt>
                <c:pt idx="443">
                  <c:v>1.7719999999999998</c:v>
                </c:pt>
                <c:pt idx="444">
                  <c:v>1.464</c:v>
                </c:pt>
                <c:pt idx="445">
                  <c:v>1.464</c:v>
                </c:pt>
                <c:pt idx="446">
                  <c:v>1</c:v>
                </c:pt>
                <c:pt idx="447">
                  <c:v>8.1059999999999999</c:v>
                </c:pt>
                <c:pt idx="448">
                  <c:v>-4.7160000000000002</c:v>
                </c:pt>
                <c:pt idx="449">
                  <c:v>7.4000000000000066E-2</c:v>
                </c:pt>
                <c:pt idx="450">
                  <c:v>-0.23599999999999999</c:v>
                </c:pt>
                <c:pt idx="451">
                  <c:v>7.2000000000000064E-2</c:v>
                </c:pt>
                <c:pt idx="452">
                  <c:v>1.6179999999999999</c:v>
                </c:pt>
                <c:pt idx="453">
                  <c:v>0.84600000000000009</c:v>
                </c:pt>
                <c:pt idx="454">
                  <c:v>1</c:v>
                </c:pt>
                <c:pt idx="455">
                  <c:v>1.1539999999999999</c:v>
                </c:pt>
                <c:pt idx="456">
                  <c:v>0.84600000000000009</c:v>
                </c:pt>
                <c:pt idx="457">
                  <c:v>0.53599999999999992</c:v>
                </c:pt>
                <c:pt idx="458">
                  <c:v>1.464</c:v>
                </c:pt>
                <c:pt idx="459">
                  <c:v>1.7719999999999998</c:v>
                </c:pt>
                <c:pt idx="460">
                  <c:v>1.6179999999999999</c:v>
                </c:pt>
                <c:pt idx="461">
                  <c:v>7.9520000000000008</c:v>
                </c:pt>
                <c:pt idx="462">
                  <c:v>-4.7160000000000002</c:v>
                </c:pt>
                <c:pt idx="463">
                  <c:v>0.22799999999999998</c:v>
                </c:pt>
                <c:pt idx="464">
                  <c:v>-0.3899999999999999</c:v>
                </c:pt>
                <c:pt idx="465">
                  <c:v>0.53600000000000014</c:v>
                </c:pt>
                <c:pt idx="466">
                  <c:v>1</c:v>
                </c:pt>
                <c:pt idx="467">
                  <c:v>1.464</c:v>
                </c:pt>
                <c:pt idx="468">
                  <c:v>1</c:v>
                </c:pt>
                <c:pt idx="469">
                  <c:v>0.84399999999999997</c:v>
                </c:pt>
                <c:pt idx="470">
                  <c:v>0.84600000000000009</c:v>
                </c:pt>
                <c:pt idx="471">
                  <c:v>0.84600000000000009</c:v>
                </c:pt>
                <c:pt idx="472">
                  <c:v>1</c:v>
                </c:pt>
                <c:pt idx="473">
                  <c:v>1.1539999999999999</c:v>
                </c:pt>
                <c:pt idx="474">
                  <c:v>1.31</c:v>
                </c:pt>
                <c:pt idx="475">
                  <c:v>4.7060000000000004</c:v>
                </c:pt>
                <c:pt idx="476">
                  <c:v>3.9359999999999995</c:v>
                </c:pt>
                <c:pt idx="477">
                  <c:v>-3.4799999999999995</c:v>
                </c:pt>
                <c:pt idx="478">
                  <c:v>-0.54400000000000004</c:v>
                </c:pt>
                <c:pt idx="479">
                  <c:v>0.53599999999999992</c:v>
                </c:pt>
                <c:pt idx="480">
                  <c:v>-0.23600000000000021</c:v>
                </c:pt>
                <c:pt idx="481">
                  <c:v>2.39</c:v>
                </c:pt>
                <c:pt idx="482">
                  <c:v>0.53599999999999992</c:v>
                </c:pt>
                <c:pt idx="483">
                  <c:v>1.31</c:v>
                </c:pt>
                <c:pt idx="484">
                  <c:v>0.69000000000000006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0.84600000000000009</c:v>
                </c:pt>
                <c:pt idx="489">
                  <c:v>1.31</c:v>
                </c:pt>
                <c:pt idx="490">
                  <c:v>7.0239999999999991</c:v>
                </c:pt>
                <c:pt idx="491">
                  <c:v>-1.6259999999999999</c:v>
                </c:pt>
                <c:pt idx="492">
                  <c:v>-0.85399999999999987</c:v>
                </c:pt>
                <c:pt idx="493">
                  <c:v>-8.2000000000000073E-2</c:v>
                </c:pt>
                <c:pt idx="494">
                  <c:v>0.22800000000000009</c:v>
                </c:pt>
                <c:pt idx="495">
                  <c:v>1</c:v>
                </c:pt>
                <c:pt idx="496">
                  <c:v>1.7719999999999998</c:v>
                </c:pt>
                <c:pt idx="497">
                  <c:v>0.53800000000000003</c:v>
                </c:pt>
                <c:pt idx="498">
                  <c:v>1.1539999999999999</c:v>
                </c:pt>
                <c:pt idx="499">
                  <c:v>1</c:v>
                </c:pt>
                <c:pt idx="500">
                  <c:v>0.69000000000000006</c:v>
                </c:pt>
                <c:pt idx="501">
                  <c:v>1.1560000000000001</c:v>
                </c:pt>
                <c:pt idx="502">
                  <c:v>1.3080000000000001</c:v>
                </c:pt>
                <c:pt idx="503">
                  <c:v>0.69199999999999995</c:v>
                </c:pt>
                <c:pt idx="504">
                  <c:v>3.3159999999999998</c:v>
                </c:pt>
                <c:pt idx="505">
                  <c:v>3.3180000000000001</c:v>
                </c:pt>
                <c:pt idx="506">
                  <c:v>-1.3180000000000001</c:v>
                </c:pt>
                <c:pt idx="507">
                  <c:v>-0.54400000000000004</c:v>
                </c:pt>
                <c:pt idx="508">
                  <c:v>0.69</c:v>
                </c:pt>
                <c:pt idx="509">
                  <c:v>0.38200000000000001</c:v>
                </c:pt>
                <c:pt idx="510">
                  <c:v>1.1560000000000001</c:v>
                </c:pt>
                <c:pt idx="511">
                  <c:v>1.1539999999999999</c:v>
                </c:pt>
                <c:pt idx="512">
                  <c:v>1.1540000000000001</c:v>
                </c:pt>
                <c:pt idx="513">
                  <c:v>0.69199999999999995</c:v>
                </c:pt>
                <c:pt idx="514">
                  <c:v>1.3080000000000001</c:v>
                </c:pt>
                <c:pt idx="515">
                  <c:v>0.69199999999999995</c:v>
                </c:pt>
                <c:pt idx="516">
                  <c:v>1.3080000000000001</c:v>
                </c:pt>
                <c:pt idx="517">
                  <c:v>0.84599999999999986</c:v>
                </c:pt>
                <c:pt idx="518">
                  <c:v>1.1540000000000001</c:v>
                </c:pt>
                <c:pt idx="519">
                  <c:v>5.7880000000000003</c:v>
                </c:pt>
                <c:pt idx="520">
                  <c:v>-1.6260000000000003</c:v>
                </c:pt>
                <c:pt idx="521">
                  <c:v>-8.0000000000000071E-2</c:v>
                </c:pt>
                <c:pt idx="522">
                  <c:v>0.53600000000000003</c:v>
                </c:pt>
                <c:pt idx="523">
                  <c:v>0.22799999999999998</c:v>
                </c:pt>
                <c:pt idx="524">
                  <c:v>1</c:v>
                </c:pt>
                <c:pt idx="525">
                  <c:v>1.464</c:v>
                </c:pt>
                <c:pt idx="526">
                  <c:v>0.84399999999999997</c:v>
                </c:pt>
                <c:pt idx="527">
                  <c:v>1</c:v>
                </c:pt>
                <c:pt idx="528">
                  <c:v>0.84600000000000009</c:v>
                </c:pt>
                <c:pt idx="529">
                  <c:v>0.69199999999999995</c:v>
                </c:pt>
                <c:pt idx="530">
                  <c:v>1.3080000000000001</c:v>
                </c:pt>
                <c:pt idx="531">
                  <c:v>1</c:v>
                </c:pt>
                <c:pt idx="532">
                  <c:v>0.69199999999999995</c:v>
                </c:pt>
                <c:pt idx="533">
                  <c:v>2.2359999999999998</c:v>
                </c:pt>
                <c:pt idx="534">
                  <c:v>4.5519999999999996</c:v>
                </c:pt>
                <c:pt idx="535">
                  <c:v>-1.6259999999999999</c:v>
                </c:pt>
                <c:pt idx="536">
                  <c:v>0.22799999999999998</c:v>
                </c:pt>
                <c:pt idx="537">
                  <c:v>0.22799999999999998</c:v>
                </c:pt>
                <c:pt idx="538">
                  <c:v>7.2000000000000064E-2</c:v>
                </c:pt>
                <c:pt idx="539">
                  <c:v>1.464</c:v>
                </c:pt>
                <c:pt idx="540">
                  <c:v>1.1540000000000001</c:v>
                </c:pt>
                <c:pt idx="541">
                  <c:v>1.1539999999999999</c:v>
                </c:pt>
                <c:pt idx="542">
                  <c:v>0.69199999999999995</c:v>
                </c:pt>
                <c:pt idx="543">
                  <c:v>1.3080000000000001</c:v>
                </c:pt>
                <c:pt idx="544">
                  <c:v>0.69199999999999995</c:v>
                </c:pt>
                <c:pt idx="545">
                  <c:v>1.3080000000000001</c:v>
                </c:pt>
                <c:pt idx="546">
                  <c:v>1.31</c:v>
                </c:pt>
                <c:pt idx="547">
                  <c:v>0.69</c:v>
                </c:pt>
                <c:pt idx="548">
                  <c:v>4.5540000000000003</c:v>
                </c:pt>
                <c:pt idx="549">
                  <c:v>-0.54599999999999982</c:v>
                </c:pt>
                <c:pt idx="550">
                  <c:v>7.4000000000000066E-2</c:v>
                </c:pt>
                <c:pt idx="551">
                  <c:v>0.38200000000000001</c:v>
                </c:pt>
                <c:pt idx="552">
                  <c:v>0.53599999999999992</c:v>
                </c:pt>
                <c:pt idx="553">
                  <c:v>0.69199999999999995</c:v>
                </c:pt>
                <c:pt idx="554">
                  <c:v>1.1540000000000001</c:v>
                </c:pt>
                <c:pt idx="555">
                  <c:v>1.31</c:v>
                </c:pt>
                <c:pt idx="556">
                  <c:v>0.69000000000000006</c:v>
                </c:pt>
                <c:pt idx="557">
                  <c:v>1.31</c:v>
                </c:pt>
                <c:pt idx="558">
                  <c:v>0.84399999999999997</c:v>
                </c:pt>
                <c:pt idx="559">
                  <c:v>0.84600000000000009</c:v>
                </c:pt>
                <c:pt idx="560">
                  <c:v>1.1539999999999999</c:v>
                </c:pt>
                <c:pt idx="561">
                  <c:v>7.4000000000000177E-2</c:v>
                </c:pt>
                <c:pt idx="562">
                  <c:v>-30.82</c:v>
                </c:pt>
                <c:pt idx="563">
                  <c:v>11.039999999999997</c:v>
                </c:pt>
                <c:pt idx="564">
                  <c:v>5.169999999999999</c:v>
                </c:pt>
                <c:pt idx="565">
                  <c:v>3.0080000000000013</c:v>
                </c:pt>
                <c:pt idx="566">
                  <c:v>3.1639999999999988</c:v>
                </c:pt>
                <c:pt idx="567">
                  <c:v>2.6980000000000017</c:v>
                </c:pt>
                <c:pt idx="568">
                  <c:v>2.5459999999999994</c:v>
                </c:pt>
                <c:pt idx="569">
                  <c:v>2.0799999999999996</c:v>
                </c:pt>
                <c:pt idx="570">
                  <c:v>2.3900000000000006</c:v>
                </c:pt>
                <c:pt idx="571">
                  <c:v>2.0819999999999994</c:v>
                </c:pt>
                <c:pt idx="572">
                  <c:v>2.2359999999999998</c:v>
                </c:pt>
                <c:pt idx="573">
                  <c:v>1.6180000000000008</c:v>
                </c:pt>
                <c:pt idx="574">
                  <c:v>1.6179999999999992</c:v>
                </c:pt>
                <c:pt idx="575">
                  <c:v>1.7719999999999998</c:v>
                </c:pt>
                <c:pt idx="576">
                  <c:v>2.0800000000000005</c:v>
                </c:pt>
                <c:pt idx="577">
                  <c:v>1.7739999999999996</c:v>
                </c:pt>
                <c:pt idx="578">
                  <c:v>1.3080000000000005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2E-4A8C-ACDE-A4679CD0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54928"/>
        <c:axId val="342756592"/>
      </c:scatterChart>
      <c:valAx>
        <c:axId val="34275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2756592"/>
        <c:crosses val="autoZero"/>
        <c:crossBetween val="midCat"/>
      </c:valAx>
      <c:valAx>
        <c:axId val="3427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275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Hoja1!$BT$2:$BT$997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xVal>
          <c:yVal>
            <c:numRef>
              <c:f>Hoja1!$BU$2:$BU$997</c:f>
              <c:numCache>
                <c:formatCode>General</c:formatCode>
                <c:ptCount val="996"/>
                <c:pt idx="0">
                  <c:v>205.56</c:v>
                </c:pt>
                <c:pt idx="1">
                  <c:v>205.25</c:v>
                </c:pt>
                <c:pt idx="2">
                  <c:v>205.06</c:v>
                </c:pt>
                <c:pt idx="3">
                  <c:v>204.79</c:v>
                </c:pt>
                <c:pt idx="4">
                  <c:v>204.52</c:v>
                </c:pt>
                <c:pt idx="5">
                  <c:v>204.28</c:v>
                </c:pt>
                <c:pt idx="6">
                  <c:v>204.01</c:v>
                </c:pt>
                <c:pt idx="7">
                  <c:v>203.74</c:v>
                </c:pt>
                <c:pt idx="8">
                  <c:v>203.59</c:v>
                </c:pt>
                <c:pt idx="9">
                  <c:v>203.32</c:v>
                </c:pt>
                <c:pt idx="10">
                  <c:v>203.09</c:v>
                </c:pt>
                <c:pt idx="11">
                  <c:v>202.93</c:v>
                </c:pt>
                <c:pt idx="12">
                  <c:v>202.82</c:v>
                </c:pt>
                <c:pt idx="13">
                  <c:v>203.12</c:v>
                </c:pt>
                <c:pt idx="14">
                  <c:v>203.09</c:v>
                </c:pt>
                <c:pt idx="15">
                  <c:v>202.7</c:v>
                </c:pt>
                <c:pt idx="16">
                  <c:v>202.35</c:v>
                </c:pt>
                <c:pt idx="17">
                  <c:v>201.97</c:v>
                </c:pt>
                <c:pt idx="18">
                  <c:v>201.73</c:v>
                </c:pt>
                <c:pt idx="19">
                  <c:v>201.27</c:v>
                </c:pt>
                <c:pt idx="20">
                  <c:v>201.12</c:v>
                </c:pt>
                <c:pt idx="21">
                  <c:v>200.92</c:v>
                </c:pt>
                <c:pt idx="22">
                  <c:v>200.69</c:v>
                </c:pt>
                <c:pt idx="23">
                  <c:v>200.46</c:v>
                </c:pt>
                <c:pt idx="24">
                  <c:v>200.19</c:v>
                </c:pt>
                <c:pt idx="25">
                  <c:v>199.84</c:v>
                </c:pt>
                <c:pt idx="26">
                  <c:v>199.69</c:v>
                </c:pt>
                <c:pt idx="27">
                  <c:v>199.42</c:v>
                </c:pt>
                <c:pt idx="28">
                  <c:v>199.22</c:v>
                </c:pt>
                <c:pt idx="29">
                  <c:v>198.99</c:v>
                </c:pt>
                <c:pt idx="30">
                  <c:v>198.76</c:v>
                </c:pt>
                <c:pt idx="31">
                  <c:v>198.53</c:v>
                </c:pt>
                <c:pt idx="32">
                  <c:v>198.34</c:v>
                </c:pt>
                <c:pt idx="33">
                  <c:v>198.49</c:v>
                </c:pt>
                <c:pt idx="34">
                  <c:v>198.57</c:v>
                </c:pt>
                <c:pt idx="35">
                  <c:v>198.53</c:v>
                </c:pt>
                <c:pt idx="36">
                  <c:v>198.07</c:v>
                </c:pt>
                <c:pt idx="37">
                  <c:v>197.68</c:v>
                </c:pt>
                <c:pt idx="38">
                  <c:v>197.37</c:v>
                </c:pt>
                <c:pt idx="39">
                  <c:v>197.06</c:v>
                </c:pt>
                <c:pt idx="40">
                  <c:v>196.83</c:v>
                </c:pt>
                <c:pt idx="41">
                  <c:v>196.71</c:v>
                </c:pt>
                <c:pt idx="42">
                  <c:v>196.56</c:v>
                </c:pt>
                <c:pt idx="43">
                  <c:v>196.29</c:v>
                </c:pt>
                <c:pt idx="44">
                  <c:v>196.1</c:v>
                </c:pt>
                <c:pt idx="45">
                  <c:v>195.86</c:v>
                </c:pt>
                <c:pt idx="46">
                  <c:v>195.63</c:v>
                </c:pt>
                <c:pt idx="47">
                  <c:v>195.32</c:v>
                </c:pt>
                <c:pt idx="48">
                  <c:v>195.13</c:v>
                </c:pt>
                <c:pt idx="49">
                  <c:v>194.86</c:v>
                </c:pt>
                <c:pt idx="50">
                  <c:v>194.71</c:v>
                </c:pt>
                <c:pt idx="51">
                  <c:v>194.51</c:v>
                </c:pt>
                <c:pt idx="52">
                  <c:v>194.32</c:v>
                </c:pt>
                <c:pt idx="53">
                  <c:v>194.4</c:v>
                </c:pt>
                <c:pt idx="54">
                  <c:v>194.59</c:v>
                </c:pt>
                <c:pt idx="55">
                  <c:v>194.51</c:v>
                </c:pt>
                <c:pt idx="56">
                  <c:v>194.17</c:v>
                </c:pt>
                <c:pt idx="57">
                  <c:v>193.78</c:v>
                </c:pt>
                <c:pt idx="58">
                  <c:v>193.43</c:v>
                </c:pt>
                <c:pt idx="59">
                  <c:v>193.16</c:v>
                </c:pt>
                <c:pt idx="60">
                  <c:v>192.81</c:v>
                </c:pt>
                <c:pt idx="61">
                  <c:v>192.74</c:v>
                </c:pt>
                <c:pt idx="62">
                  <c:v>192.47</c:v>
                </c:pt>
                <c:pt idx="63">
                  <c:v>192.23</c:v>
                </c:pt>
                <c:pt idx="64">
                  <c:v>192.08</c:v>
                </c:pt>
                <c:pt idx="65">
                  <c:v>191.85</c:v>
                </c:pt>
                <c:pt idx="66">
                  <c:v>191.58</c:v>
                </c:pt>
                <c:pt idx="67">
                  <c:v>191.39</c:v>
                </c:pt>
                <c:pt idx="68">
                  <c:v>191.19</c:v>
                </c:pt>
                <c:pt idx="69">
                  <c:v>191</c:v>
                </c:pt>
                <c:pt idx="70">
                  <c:v>190.73</c:v>
                </c:pt>
                <c:pt idx="71">
                  <c:v>190.54</c:v>
                </c:pt>
                <c:pt idx="72">
                  <c:v>190.3</c:v>
                </c:pt>
                <c:pt idx="73">
                  <c:v>190.42</c:v>
                </c:pt>
                <c:pt idx="74">
                  <c:v>190.77</c:v>
                </c:pt>
                <c:pt idx="75">
                  <c:v>190.73</c:v>
                </c:pt>
                <c:pt idx="76">
                  <c:v>190.38</c:v>
                </c:pt>
                <c:pt idx="77">
                  <c:v>190</c:v>
                </c:pt>
                <c:pt idx="78">
                  <c:v>189.69</c:v>
                </c:pt>
                <c:pt idx="79">
                  <c:v>189.34</c:v>
                </c:pt>
                <c:pt idx="80">
                  <c:v>188.95</c:v>
                </c:pt>
                <c:pt idx="81">
                  <c:v>188.84</c:v>
                </c:pt>
                <c:pt idx="82">
                  <c:v>188.64</c:v>
                </c:pt>
                <c:pt idx="83">
                  <c:v>188.49</c:v>
                </c:pt>
                <c:pt idx="84">
                  <c:v>188.22</c:v>
                </c:pt>
                <c:pt idx="85">
                  <c:v>187.99</c:v>
                </c:pt>
                <c:pt idx="86">
                  <c:v>187.72</c:v>
                </c:pt>
                <c:pt idx="87">
                  <c:v>187.56</c:v>
                </c:pt>
                <c:pt idx="88">
                  <c:v>187.33</c:v>
                </c:pt>
                <c:pt idx="89">
                  <c:v>187.1</c:v>
                </c:pt>
                <c:pt idx="90">
                  <c:v>186.87</c:v>
                </c:pt>
                <c:pt idx="91">
                  <c:v>186.71</c:v>
                </c:pt>
                <c:pt idx="92">
                  <c:v>186.52</c:v>
                </c:pt>
                <c:pt idx="93">
                  <c:v>186.6</c:v>
                </c:pt>
                <c:pt idx="94">
                  <c:v>186.91</c:v>
                </c:pt>
                <c:pt idx="95">
                  <c:v>186.91</c:v>
                </c:pt>
                <c:pt idx="96">
                  <c:v>186.64</c:v>
                </c:pt>
                <c:pt idx="97">
                  <c:v>186.25</c:v>
                </c:pt>
                <c:pt idx="98">
                  <c:v>185.82</c:v>
                </c:pt>
                <c:pt idx="99">
                  <c:v>185.59</c:v>
                </c:pt>
                <c:pt idx="100">
                  <c:v>185.17</c:v>
                </c:pt>
                <c:pt idx="101">
                  <c:v>184.97</c:v>
                </c:pt>
                <c:pt idx="102">
                  <c:v>184.9</c:v>
                </c:pt>
                <c:pt idx="103">
                  <c:v>184.67</c:v>
                </c:pt>
                <c:pt idx="104">
                  <c:v>184.43</c:v>
                </c:pt>
                <c:pt idx="105">
                  <c:v>184.16</c:v>
                </c:pt>
                <c:pt idx="106">
                  <c:v>183.93</c:v>
                </c:pt>
                <c:pt idx="107">
                  <c:v>183.7</c:v>
                </c:pt>
                <c:pt idx="108">
                  <c:v>183.58</c:v>
                </c:pt>
                <c:pt idx="109">
                  <c:v>183.31</c:v>
                </c:pt>
                <c:pt idx="110">
                  <c:v>183.16</c:v>
                </c:pt>
                <c:pt idx="111">
                  <c:v>182.97</c:v>
                </c:pt>
                <c:pt idx="112">
                  <c:v>182.74</c:v>
                </c:pt>
                <c:pt idx="113">
                  <c:v>182.77</c:v>
                </c:pt>
                <c:pt idx="114">
                  <c:v>183.2</c:v>
                </c:pt>
                <c:pt idx="115">
                  <c:v>183.43</c:v>
                </c:pt>
                <c:pt idx="116">
                  <c:v>183.16</c:v>
                </c:pt>
                <c:pt idx="117">
                  <c:v>182.74</c:v>
                </c:pt>
                <c:pt idx="118">
                  <c:v>182.39</c:v>
                </c:pt>
                <c:pt idx="119">
                  <c:v>182.04</c:v>
                </c:pt>
                <c:pt idx="120">
                  <c:v>181.65</c:v>
                </c:pt>
                <c:pt idx="121">
                  <c:v>181.38</c:v>
                </c:pt>
                <c:pt idx="122">
                  <c:v>181.27</c:v>
                </c:pt>
                <c:pt idx="123">
                  <c:v>181.04</c:v>
                </c:pt>
                <c:pt idx="124">
                  <c:v>180.96</c:v>
                </c:pt>
                <c:pt idx="125">
                  <c:v>180.69</c:v>
                </c:pt>
                <c:pt idx="126">
                  <c:v>180.46</c:v>
                </c:pt>
                <c:pt idx="127">
                  <c:v>180.19</c:v>
                </c:pt>
                <c:pt idx="128">
                  <c:v>179.95</c:v>
                </c:pt>
                <c:pt idx="129">
                  <c:v>179.72</c:v>
                </c:pt>
                <c:pt idx="130">
                  <c:v>179.53</c:v>
                </c:pt>
                <c:pt idx="131">
                  <c:v>179.34</c:v>
                </c:pt>
                <c:pt idx="132">
                  <c:v>179.14</c:v>
                </c:pt>
                <c:pt idx="133">
                  <c:v>179.11</c:v>
                </c:pt>
                <c:pt idx="134">
                  <c:v>179.53</c:v>
                </c:pt>
                <c:pt idx="135">
                  <c:v>179.84</c:v>
                </c:pt>
                <c:pt idx="136">
                  <c:v>179.72</c:v>
                </c:pt>
                <c:pt idx="137">
                  <c:v>179.38</c:v>
                </c:pt>
                <c:pt idx="138">
                  <c:v>178.95</c:v>
                </c:pt>
                <c:pt idx="139">
                  <c:v>178.6</c:v>
                </c:pt>
                <c:pt idx="140">
                  <c:v>178.18</c:v>
                </c:pt>
                <c:pt idx="141">
                  <c:v>177.87</c:v>
                </c:pt>
                <c:pt idx="142">
                  <c:v>177.75</c:v>
                </c:pt>
                <c:pt idx="143">
                  <c:v>177.6</c:v>
                </c:pt>
                <c:pt idx="144">
                  <c:v>177.37</c:v>
                </c:pt>
                <c:pt idx="145">
                  <c:v>177.14</c:v>
                </c:pt>
                <c:pt idx="146">
                  <c:v>176.98</c:v>
                </c:pt>
                <c:pt idx="147">
                  <c:v>176.67</c:v>
                </c:pt>
                <c:pt idx="148">
                  <c:v>176.4</c:v>
                </c:pt>
                <c:pt idx="149">
                  <c:v>176.25</c:v>
                </c:pt>
                <c:pt idx="150">
                  <c:v>176.02</c:v>
                </c:pt>
                <c:pt idx="151">
                  <c:v>175.86</c:v>
                </c:pt>
                <c:pt idx="152">
                  <c:v>175.67</c:v>
                </c:pt>
                <c:pt idx="153">
                  <c:v>175.51</c:v>
                </c:pt>
                <c:pt idx="154">
                  <c:v>175.86</c:v>
                </c:pt>
                <c:pt idx="155">
                  <c:v>176.36</c:v>
                </c:pt>
                <c:pt idx="156">
                  <c:v>176.36</c:v>
                </c:pt>
                <c:pt idx="157">
                  <c:v>176.05</c:v>
                </c:pt>
                <c:pt idx="158">
                  <c:v>175.63</c:v>
                </c:pt>
                <c:pt idx="159">
                  <c:v>175.17</c:v>
                </c:pt>
                <c:pt idx="160">
                  <c:v>174.78</c:v>
                </c:pt>
                <c:pt idx="161">
                  <c:v>174.43</c:v>
                </c:pt>
                <c:pt idx="162">
                  <c:v>174.28</c:v>
                </c:pt>
                <c:pt idx="163">
                  <c:v>174.08</c:v>
                </c:pt>
                <c:pt idx="164">
                  <c:v>173.89</c:v>
                </c:pt>
                <c:pt idx="165">
                  <c:v>173.66</c:v>
                </c:pt>
                <c:pt idx="166">
                  <c:v>173.35</c:v>
                </c:pt>
                <c:pt idx="167">
                  <c:v>173.2</c:v>
                </c:pt>
                <c:pt idx="168">
                  <c:v>172.97</c:v>
                </c:pt>
                <c:pt idx="169">
                  <c:v>172.73</c:v>
                </c:pt>
                <c:pt idx="170">
                  <c:v>172.54</c:v>
                </c:pt>
                <c:pt idx="171">
                  <c:v>172.35</c:v>
                </c:pt>
                <c:pt idx="172">
                  <c:v>172.12</c:v>
                </c:pt>
                <c:pt idx="173">
                  <c:v>171.96</c:v>
                </c:pt>
                <c:pt idx="174">
                  <c:v>171.77</c:v>
                </c:pt>
                <c:pt idx="175">
                  <c:v>172.08</c:v>
                </c:pt>
                <c:pt idx="176">
                  <c:v>172.58</c:v>
                </c:pt>
                <c:pt idx="177">
                  <c:v>172.73</c:v>
                </c:pt>
                <c:pt idx="178">
                  <c:v>172.46</c:v>
                </c:pt>
                <c:pt idx="179">
                  <c:v>171.92</c:v>
                </c:pt>
                <c:pt idx="180">
                  <c:v>171.42</c:v>
                </c:pt>
                <c:pt idx="181">
                  <c:v>171</c:v>
                </c:pt>
                <c:pt idx="182">
                  <c:v>170.65</c:v>
                </c:pt>
                <c:pt idx="183">
                  <c:v>170.57</c:v>
                </c:pt>
                <c:pt idx="184">
                  <c:v>170.42</c:v>
                </c:pt>
                <c:pt idx="185">
                  <c:v>170.26</c:v>
                </c:pt>
                <c:pt idx="186">
                  <c:v>169.95</c:v>
                </c:pt>
                <c:pt idx="187">
                  <c:v>169.76</c:v>
                </c:pt>
                <c:pt idx="188">
                  <c:v>169.53</c:v>
                </c:pt>
                <c:pt idx="189">
                  <c:v>169.3</c:v>
                </c:pt>
                <c:pt idx="190">
                  <c:v>169.1</c:v>
                </c:pt>
                <c:pt idx="191">
                  <c:v>168.91</c:v>
                </c:pt>
                <c:pt idx="192">
                  <c:v>168.72</c:v>
                </c:pt>
                <c:pt idx="193">
                  <c:v>168.56</c:v>
                </c:pt>
                <c:pt idx="194">
                  <c:v>168.33</c:v>
                </c:pt>
                <c:pt idx="195">
                  <c:v>168.29</c:v>
                </c:pt>
                <c:pt idx="196">
                  <c:v>168.68</c:v>
                </c:pt>
                <c:pt idx="197">
                  <c:v>169.14</c:v>
                </c:pt>
                <c:pt idx="198">
                  <c:v>169.14</c:v>
                </c:pt>
                <c:pt idx="199">
                  <c:v>168.72</c:v>
                </c:pt>
                <c:pt idx="200">
                  <c:v>168.22</c:v>
                </c:pt>
                <c:pt idx="201">
                  <c:v>167.91</c:v>
                </c:pt>
                <c:pt idx="202">
                  <c:v>167.33</c:v>
                </c:pt>
                <c:pt idx="203">
                  <c:v>167.13</c:v>
                </c:pt>
                <c:pt idx="204">
                  <c:v>167.1</c:v>
                </c:pt>
                <c:pt idx="205">
                  <c:v>166.94</c:v>
                </c:pt>
                <c:pt idx="206">
                  <c:v>166.75</c:v>
                </c:pt>
                <c:pt idx="207">
                  <c:v>166.63</c:v>
                </c:pt>
                <c:pt idx="208">
                  <c:v>166.36</c:v>
                </c:pt>
                <c:pt idx="209">
                  <c:v>166.05</c:v>
                </c:pt>
                <c:pt idx="210">
                  <c:v>165.94</c:v>
                </c:pt>
                <c:pt idx="211">
                  <c:v>165.74</c:v>
                </c:pt>
                <c:pt idx="212">
                  <c:v>165.51</c:v>
                </c:pt>
                <c:pt idx="213">
                  <c:v>165.36</c:v>
                </c:pt>
                <c:pt idx="214">
                  <c:v>165.24</c:v>
                </c:pt>
                <c:pt idx="215">
                  <c:v>165.05</c:v>
                </c:pt>
                <c:pt idx="216">
                  <c:v>165.24</c:v>
                </c:pt>
                <c:pt idx="217">
                  <c:v>165.74</c:v>
                </c:pt>
                <c:pt idx="218">
                  <c:v>166.01</c:v>
                </c:pt>
                <c:pt idx="219">
                  <c:v>165.82</c:v>
                </c:pt>
                <c:pt idx="220">
                  <c:v>165.36</c:v>
                </c:pt>
                <c:pt idx="221">
                  <c:v>164.78</c:v>
                </c:pt>
                <c:pt idx="222">
                  <c:v>164.35</c:v>
                </c:pt>
                <c:pt idx="223">
                  <c:v>164.01</c:v>
                </c:pt>
                <c:pt idx="224">
                  <c:v>163.81</c:v>
                </c:pt>
                <c:pt idx="225">
                  <c:v>163.69999999999999</c:v>
                </c:pt>
                <c:pt idx="226">
                  <c:v>163.43</c:v>
                </c:pt>
                <c:pt idx="227">
                  <c:v>163.27000000000001</c:v>
                </c:pt>
                <c:pt idx="228">
                  <c:v>163.04</c:v>
                </c:pt>
                <c:pt idx="229">
                  <c:v>162.77000000000001</c:v>
                </c:pt>
                <c:pt idx="230">
                  <c:v>162.58000000000001</c:v>
                </c:pt>
                <c:pt idx="231">
                  <c:v>162.41999999999999</c:v>
                </c:pt>
                <c:pt idx="232">
                  <c:v>162.15</c:v>
                </c:pt>
                <c:pt idx="233">
                  <c:v>162.04</c:v>
                </c:pt>
                <c:pt idx="234">
                  <c:v>161.77000000000001</c:v>
                </c:pt>
                <c:pt idx="235">
                  <c:v>161.69</c:v>
                </c:pt>
                <c:pt idx="236">
                  <c:v>161.77000000000001</c:v>
                </c:pt>
                <c:pt idx="237">
                  <c:v>162.31</c:v>
                </c:pt>
                <c:pt idx="238">
                  <c:v>162.69</c:v>
                </c:pt>
                <c:pt idx="239">
                  <c:v>162.69</c:v>
                </c:pt>
                <c:pt idx="240">
                  <c:v>162.31</c:v>
                </c:pt>
                <c:pt idx="241">
                  <c:v>161.80000000000001</c:v>
                </c:pt>
                <c:pt idx="242">
                  <c:v>161.34</c:v>
                </c:pt>
                <c:pt idx="243">
                  <c:v>160.76</c:v>
                </c:pt>
                <c:pt idx="244">
                  <c:v>160.61000000000001</c:v>
                </c:pt>
                <c:pt idx="245">
                  <c:v>160.44999999999999</c:v>
                </c:pt>
                <c:pt idx="246">
                  <c:v>160.26</c:v>
                </c:pt>
                <c:pt idx="247">
                  <c:v>160.13999999999999</c:v>
                </c:pt>
                <c:pt idx="248">
                  <c:v>159.94999999999999</c:v>
                </c:pt>
                <c:pt idx="249">
                  <c:v>159.63999999999999</c:v>
                </c:pt>
                <c:pt idx="250">
                  <c:v>159.37</c:v>
                </c:pt>
                <c:pt idx="251">
                  <c:v>159.18</c:v>
                </c:pt>
                <c:pt idx="252">
                  <c:v>159.1</c:v>
                </c:pt>
                <c:pt idx="253">
                  <c:v>158.91</c:v>
                </c:pt>
                <c:pt idx="254">
                  <c:v>158.83000000000001</c:v>
                </c:pt>
                <c:pt idx="255">
                  <c:v>158.68</c:v>
                </c:pt>
                <c:pt idx="256">
                  <c:v>158.52000000000001</c:v>
                </c:pt>
                <c:pt idx="257">
                  <c:v>158.79</c:v>
                </c:pt>
                <c:pt idx="258">
                  <c:v>159.37</c:v>
                </c:pt>
                <c:pt idx="259">
                  <c:v>159.53</c:v>
                </c:pt>
                <c:pt idx="260">
                  <c:v>159.44999999999999</c:v>
                </c:pt>
                <c:pt idx="261">
                  <c:v>159.02000000000001</c:v>
                </c:pt>
                <c:pt idx="262">
                  <c:v>158.52000000000001</c:v>
                </c:pt>
                <c:pt idx="263">
                  <c:v>157.97999999999999</c:v>
                </c:pt>
                <c:pt idx="264">
                  <c:v>157.63</c:v>
                </c:pt>
                <c:pt idx="265">
                  <c:v>157.52000000000001</c:v>
                </c:pt>
                <c:pt idx="266">
                  <c:v>157.47999999999999</c:v>
                </c:pt>
                <c:pt idx="267">
                  <c:v>157.29</c:v>
                </c:pt>
                <c:pt idx="268">
                  <c:v>157.05000000000001</c:v>
                </c:pt>
                <c:pt idx="269">
                  <c:v>156.86000000000001</c:v>
                </c:pt>
                <c:pt idx="270">
                  <c:v>156.59</c:v>
                </c:pt>
                <c:pt idx="271">
                  <c:v>156.32</c:v>
                </c:pt>
                <c:pt idx="272">
                  <c:v>156.16999999999999</c:v>
                </c:pt>
                <c:pt idx="273">
                  <c:v>156.05000000000001</c:v>
                </c:pt>
                <c:pt idx="274">
                  <c:v>155.9</c:v>
                </c:pt>
                <c:pt idx="275">
                  <c:v>155.66</c:v>
                </c:pt>
                <c:pt idx="276">
                  <c:v>155.55000000000001</c:v>
                </c:pt>
                <c:pt idx="277">
                  <c:v>155.69999999999999</c:v>
                </c:pt>
                <c:pt idx="278">
                  <c:v>156.28</c:v>
                </c:pt>
                <c:pt idx="279">
                  <c:v>156.75</c:v>
                </c:pt>
                <c:pt idx="280">
                  <c:v>156.75</c:v>
                </c:pt>
                <c:pt idx="281">
                  <c:v>156.51</c:v>
                </c:pt>
                <c:pt idx="282">
                  <c:v>156.01</c:v>
                </c:pt>
                <c:pt idx="283">
                  <c:v>155.38999999999999</c:v>
                </c:pt>
                <c:pt idx="284">
                  <c:v>154.82</c:v>
                </c:pt>
                <c:pt idx="285">
                  <c:v>154.54</c:v>
                </c:pt>
                <c:pt idx="286">
                  <c:v>154.43</c:v>
                </c:pt>
                <c:pt idx="287">
                  <c:v>154.24</c:v>
                </c:pt>
                <c:pt idx="288">
                  <c:v>154.16</c:v>
                </c:pt>
                <c:pt idx="289">
                  <c:v>153.93</c:v>
                </c:pt>
                <c:pt idx="290">
                  <c:v>153.69999999999999</c:v>
                </c:pt>
                <c:pt idx="291">
                  <c:v>153.5</c:v>
                </c:pt>
                <c:pt idx="292">
                  <c:v>153.22999999999999</c:v>
                </c:pt>
                <c:pt idx="293">
                  <c:v>152.96</c:v>
                </c:pt>
                <c:pt idx="294">
                  <c:v>152.81</c:v>
                </c:pt>
                <c:pt idx="295">
                  <c:v>152.69</c:v>
                </c:pt>
                <c:pt idx="296">
                  <c:v>152.5</c:v>
                </c:pt>
                <c:pt idx="297">
                  <c:v>152.65</c:v>
                </c:pt>
                <c:pt idx="298">
                  <c:v>153.22999999999999</c:v>
                </c:pt>
                <c:pt idx="299">
                  <c:v>153.69999999999999</c:v>
                </c:pt>
                <c:pt idx="300">
                  <c:v>153.81</c:v>
                </c:pt>
                <c:pt idx="301">
                  <c:v>153.58000000000001</c:v>
                </c:pt>
                <c:pt idx="302">
                  <c:v>153</c:v>
                </c:pt>
                <c:pt idx="303">
                  <c:v>152.41999999999999</c:v>
                </c:pt>
                <c:pt idx="304">
                  <c:v>151.76</c:v>
                </c:pt>
                <c:pt idx="305">
                  <c:v>151.46</c:v>
                </c:pt>
                <c:pt idx="306">
                  <c:v>151.30000000000001</c:v>
                </c:pt>
                <c:pt idx="307">
                  <c:v>151.15</c:v>
                </c:pt>
                <c:pt idx="308">
                  <c:v>151.03</c:v>
                </c:pt>
                <c:pt idx="309">
                  <c:v>150.84</c:v>
                </c:pt>
                <c:pt idx="310">
                  <c:v>150.53</c:v>
                </c:pt>
                <c:pt idx="311">
                  <c:v>150.26</c:v>
                </c:pt>
                <c:pt idx="312">
                  <c:v>150.07</c:v>
                </c:pt>
                <c:pt idx="313">
                  <c:v>149.87</c:v>
                </c:pt>
                <c:pt idx="314">
                  <c:v>149.72</c:v>
                </c:pt>
                <c:pt idx="315">
                  <c:v>149.6</c:v>
                </c:pt>
                <c:pt idx="316">
                  <c:v>149.49</c:v>
                </c:pt>
                <c:pt idx="317">
                  <c:v>149.33000000000001</c:v>
                </c:pt>
                <c:pt idx="318">
                  <c:v>149.72</c:v>
                </c:pt>
                <c:pt idx="319">
                  <c:v>150.37</c:v>
                </c:pt>
                <c:pt idx="320">
                  <c:v>150.80000000000001</c:v>
                </c:pt>
                <c:pt idx="321">
                  <c:v>150.72</c:v>
                </c:pt>
                <c:pt idx="322">
                  <c:v>150.26</c:v>
                </c:pt>
                <c:pt idx="323">
                  <c:v>149.72</c:v>
                </c:pt>
                <c:pt idx="324">
                  <c:v>148.94999999999999</c:v>
                </c:pt>
                <c:pt idx="325">
                  <c:v>148.47999999999999</c:v>
                </c:pt>
                <c:pt idx="326">
                  <c:v>148.33000000000001</c:v>
                </c:pt>
                <c:pt idx="327">
                  <c:v>148.33000000000001</c:v>
                </c:pt>
                <c:pt idx="328">
                  <c:v>148.21</c:v>
                </c:pt>
                <c:pt idx="329">
                  <c:v>147.9</c:v>
                </c:pt>
                <c:pt idx="330">
                  <c:v>147.75</c:v>
                </c:pt>
                <c:pt idx="331">
                  <c:v>147.59</c:v>
                </c:pt>
                <c:pt idx="332">
                  <c:v>147.32</c:v>
                </c:pt>
                <c:pt idx="333">
                  <c:v>147.13</c:v>
                </c:pt>
                <c:pt idx="334">
                  <c:v>146.97999999999999</c:v>
                </c:pt>
                <c:pt idx="335">
                  <c:v>146.74</c:v>
                </c:pt>
                <c:pt idx="336">
                  <c:v>146.55000000000001</c:v>
                </c:pt>
                <c:pt idx="337">
                  <c:v>146.44</c:v>
                </c:pt>
                <c:pt idx="338">
                  <c:v>146.86000000000001</c:v>
                </c:pt>
                <c:pt idx="339">
                  <c:v>147.59</c:v>
                </c:pt>
                <c:pt idx="340">
                  <c:v>147.9</c:v>
                </c:pt>
                <c:pt idx="341">
                  <c:v>148.1</c:v>
                </c:pt>
                <c:pt idx="342">
                  <c:v>147.75</c:v>
                </c:pt>
                <c:pt idx="343">
                  <c:v>147.36000000000001</c:v>
                </c:pt>
                <c:pt idx="344">
                  <c:v>146.55000000000001</c:v>
                </c:pt>
                <c:pt idx="345">
                  <c:v>146.01</c:v>
                </c:pt>
                <c:pt idx="346">
                  <c:v>145.74</c:v>
                </c:pt>
                <c:pt idx="347">
                  <c:v>145.66</c:v>
                </c:pt>
                <c:pt idx="348">
                  <c:v>145.51</c:v>
                </c:pt>
                <c:pt idx="349">
                  <c:v>145.32</c:v>
                </c:pt>
                <c:pt idx="350">
                  <c:v>145.16</c:v>
                </c:pt>
                <c:pt idx="351">
                  <c:v>144.97</c:v>
                </c:pt>
                <c:pt idx="352">
                  <c:v>144.69999999999999</c:v>
                </c:pt>
                <c:pt idx="353">
                  <c:v>144.5</c:v>
                </c:pt>
                <c:pt idx="354">
                  <c:v>144.31</c:v>
                </c:pt>
                <c:pt idx="355">
                  <c:v>144.16</c:v>
                </c:pt>
                <c:pt idx="356">
                  <c:v>144</c:v>
                </c:pt>
                <c:pt idx="357">
                  <c:v>143.85</c:v>
                </c:pt>
                <c:pt idx="358">
                  <c:v>144.19999999999999</c:v>
                </c:pt>
                <c:pt idx="359">
                  <c:v>145.01</c:v>
                </c:pt>
                <c:pt idx="360">
                  <c:v>145.59</c:v>
                </c:pt>
                <c:pt idx="361">
                  <c:v>145.62</c:v>
                </c:pt>
                <c:pt idx="362">
                  <c:v>145.32</c:v>
                </c:pt>
                <c:pt idx="363">
                  <c:v>144.97</c:v>
                </c:pt>
                <c:pt idx="364">
                  <c:v>144.31</c:v>
                </c:pt>
                <c:pt idx="365">
                  <c:v>143.54</c:v>
                </c:pt>
                <c:pt idx="366">
                  <c:v>143.11000000000001</c:v>
                </c:pt>
                <c:pt idx="367">
                  <c:v>143</c:v>
                </c:pt>
                <c:pt idx="368">
                  <c:v>142.77000000000001</c:v>
                </c:pt>
                <c:pt idx="369">
                  <c:v>142.61000000000001</c:v>
                </c:pt>
                <c:pt idx="370">
                  <c:v>142.34</c:v>
                </c:pt>
                <c:pt idx="371">
                  <c:v>142.11000000000001</c:v>
                </c:pt>
                <c:pt idx="372">
                  <c:v>141.91999999999999</c:v>
                </c:pt>
                <c:pt idx="373">
                  <c:v>141.69</c:v>
                </c:pt>
                <c:pt idx="374">
                  <c:v>141.53</c:v>
                </c:pt>
                <c:pt idx="375">
                  <c:v>141.41999999999999</c:v>
                </c:pt>
                <c:pt idx="376">
                  <c:v>141.22</c:v>
                </c:pt>
                <c:pt idx="377">
                  <c:v>141.11000000000001</c:v>
                </c:pt>
                <c:pt idx="378">
                  <c:v>141.57</c:v>
                </c:pt>
                <c:pt idx="379">
                  <c:v>142.30000000000001</c:v>
                </c:pt>
                <c:pt idx="380">
                  <c:v>142.77000000000001</c:v>
                </c:pt>
                <c:pt idx="381">
                  <c:v>142.77000000000001</c:v>
                </c:pt>
                <c:pt idx="382">
                  <c:v>142.5</c:v>
                </c:pt>
                <c:pt idx="383">
                  <c:v>142.07</c:v>
                </c:pt>
                <c:pt idx="384">
                  <c:v>141.44999999999999</c:v>
                </c:pt>
                <c:pt idx="385">
                  <c:v>140.68</c:v>
                </c:pt>
                <c:pt idx="386">
                  <c:v>140.33000000000001</c:v>
                </c:pt>
                <c:pt idx="387">
                  <c:v>140.18</c:v>
                </c:pt>
                <c:pt idx="388">
                  <c:v>139.94999999999999</c:v>
                </c:pt>
                <c:pt idx="389">
                  <c:v>139.83000000000001</c:v>
                </c:pt>
                <c:pt idx="390">
                  <c:v>139.72</c:v>
                </c:pt>
                <c:pt idx="391">
                  <c:v>139.41</c:v>
                </c:pt>
                <c:pt idx="392">
                  <c:v>139.13999999999999</c:v>
                </c:pt>
                <c:pt idx="393">
                  <c:v>138.94</c:v>
                </c:pt>
                <c:pt idx="394">
                  <c:v>138.75</c:v>
                </c:pt>
                <c:pt idx="395">
                  <c:v>138.6</c:v>
                </c:pt>
                <c:pt idx="396">
                  <c:v>138.47999999999999</c:v>
                </c:pt>
                <c:pt idx="397">
                  <c:v>138.6</c:v>
                </c:pt>
                <c:pt idx="398">
                  <c:v>139.29</c:v>
                </c:pt>
                <c:pt idx="399">
                  <c:v>139.94999999999999</c:v>
                </c:pt>
                <c:pt idx="400">
                  <c:v>140.30000000000001</c:v>
                </c:pt>
                <c:pt idx="401">
                  <c:v>139.99</c:v>
                </c:pt>
                <c:pt idx="402">
                  <c:v>139.72</c:v>
                </c:pt>
                <c:pt idx="403">
                  <c:v>139.1</c:v>
                </c:pt>
                <c:pt idx="404">
                  <c:v>138.4</c:v>
                </c:pt>
                <c:pt idx="405">
                  <c:v>137.86000000000001</c:v>
                </c:pt>
                <c:pt idx="406">
                  <c:v>137.59</c:v>
                </c:pt>
                <c:pt idx="407">
                  <c:v>137.4</c:v>
                </c:pt>
                <c:pt idx="408">
                  <c:v>137.24</c:v>
                </c:pt>
                <c:pt idx="409">
                  <c:v>137.01</c:v>
                </c:pt>
                <c:pt idx="410">
                  <c:v>136.86000000000001</c:v>
                </c:pt>
                <c:pt idx="411">
                  <c:v>136.69999999999999</c:v>
                </c:pt>
                <c:pt idx="412">
                  <c:v>136.47</c:v>
                </c:pt>
                <c:pt idx="413">
                  <c:v>136.32</c:v>
                </c:pt>
                <c:pt idx="414">
                  <c:v>136.12</c:v>
                </c:pt>
                <c:pt idx="415">
                  <c:v>135.97</c:v>
                </c:pt>
                <c:pt idx="416">
                  <c:v>135.85</c:v>
                </c:pt>
                <c:pt idx="417">
                  <c:v>136.36000000000001</c:v>
                </c:pt>
                <c:pt idx="418">
                  <c:v>137.13</c:v>
                </c:pt>
                <c:pt idx="419">
                  <c:v>137.71</c:v>
                </c:pt>
                <c:pt idx="420">
                  <c:v>137.71</c:v>
                </c:pt>
                <c:pt idx="421">
                  <c:v>137.4</c:v>
                </c:pt>
                <c:pt idx="422">
                  <c:v>136.97</c:v>
                </c:pt>
                <c:pt idx="423">
                  <c:v>136.36000000000001</c:v>
                </c:pt>
                <c:pt idx="424">
                  <c:v>135.69999999999999</c:v>
                </c:pt>
                <c:pt idx="425">
                  <c:v>135.24</c:v>
                </c:pt>
                <c:pt idx="426">
                  <c:v>135.04</c:v>
                </c:pt>
                <c:pt idx="427">
                  <c:v>134.88999999999999</c:v>
                </c:pt>
                <c:pt idx="428">
                  <c:v>134.72999999999999</c:v>
                </c:pt>
                <c:pt idx="429">
                  <c:v>134.5</c:v>
                </c:pt>
                <c:pt idx="430">
                  <c:v>134.35</c:v>
                </c:pt>
                <c:pt idx="431">
                  <c:v>134.08000000000001</c:v>
                </c:pt>
                <c:pt idx="432">
                  <c:v>133.88</c:v>
                </c:pt>
                <c:pt idx="433">
                  <c:v>133.72999999999999</c:v>
                </c:pt>
                <c:pt idx="434">
                  <c:v>133.58000000000001</c:v>
                </c:pt>
                <c:pt idx="435">
                  <c:v>133.38</c:v>
                </c:pt>
                <c:pt idx="436">
                  <c:v>133.5</c:v>
                </c:pt>
                <c:pt idx="437">
                  <c:v>134.16</c:v>
                </c:pt>
                <c:pt idx="438">
                  <c:v>134.97</c:v>
                </c:pt>
                <c:pt idx="439">
                  <c:v>135.28</c:v>
                </c:pt>
                <c:pt idx="440">
                  <c:v>135.16</c:v>
                </c:pt>
                <c:pt idx="441">
                  <c:v>134.97</c:v>
                </c:pt>
                <c:pt idx="442">
                  <c:v>134.5</c:v>
                </c:pt>
                <c:pt idx="443">
                  <c:v>133.88</c:v>
                </c:pt>
                <c:pt idx="444">
                  <c:v>133.34</c:v>
                </c:pt>
                <c:pt idx="445">
                  <c:v>132.84</c:v>
                </c:pt>
                <c:pt idx="446">
                  <c:v>132.53</c:v>
                </c:pt>
                <c:pt idx="447">
                  <c:v>132.34</c:v>
                </c:pt>
                <c:pt idx="448">
                  <c:v>132.03</c:v>
                </c:pt>
                <c:pt idx="449">
                  <c:v>131.88</c:v>
                </c:pt>
                <c:pt idx="450">
                  <c:v>131.65</c:v>
                </c:pt>
                <c:pt idx="451">
                  <c:v>131.44999999999999</c:v>
                </c:pt>
                <c:pt idx="452">
                  <c:v>131.26</c:v>
                </c:pt>
                <c:pt idx="453">
                  <c:v>131.1</c:v>
                </c:pt>
                <c:pt idx="454">
                  <c:v>130.99</c:v>
                </c:pt>
                <c:pt idx="455">
                  <c:v>130.83000000000001</c:v>
                </c:pt>
                <c:pt idx="456">
                  <c:v>130.99</c:v>
                </c:pt>
                <c:pt idx="457">
                  <c:v>131.72</c:v>
                </c:pt>
                <c:pt idx="458">
                  <c:v>132.49</c:v>
                </c:pt>
                <c:pt idx="459">
                  <c:v>132.72999999999999</c:v>
                </c:pt>
                <c:pt idx="460">
                  <c:v>132.57</c:v>
                </c:pt>
                <c:pt idx="461">
                  <c:v>132.34</c:v>
                </c:pt>
                <c:pt idx="462">
                  <c:v>131.91999999999999</c:v>
                </c:pt>
                <c:pt idx="463">
                  <c:v>131.34</c:v>
                </c:pt>
                <c:pt idx="464">
                  <c:v>130.76</c:v>
                </c:pt>
                <c:pt idx="465">
                  <c:v>130.33000000000001</c:v>
                </c:pt>
                <c:pt idx="466">
                  <c:v>130.02000000000001</c:v>
                </c:pt>
                <c:pt idx="467">
                  <c:v>129.71</c:v>
                </c:pt>
                <c:pt idx="468">
                  <c:v>129.52000000000001</c:v>
                </c:pt>
                <c:pt idx="469">
                  <c:v>129.29</c:v>
                </c:pt>
                <c:pt idx="470">
                  <c:v>129.06</c:v>
                </c:pt>
                <c:pt idx="471">
                  <c:v>128.86000000000001</c:v>
                </c:pt>
                <c:pt idx="472">
                  <c:v>128.75</c:v>
                </c:pt>
                <c:pt idx="473">
                  <c:v>128.52000000000001</c:v>
                </c:pt>
                <c:pt idx="474">
                  <c:v>128.4</c:v>
                </c:pt>
                <c:pt idx="475">
                  <c:v>128.29</c:v>
                </c:pt>
                <c:pt idx="476">
                  <c:v>128.36000000000001</c:v>
                </c:pt>
                <c:pt idx="477">
                  <c:v>129.1</c:v>
                </c:pt>
                <c:pt idx="478">
                  <c:v>129.91</c:v>
                </c:pt>
                <c:pt idx="479">
                  <c:v>130.25</c:v>
                </c:pt>
                <c:pt idx="480">
                  <c:v>130.1</c:v>
                </c:pt>
                <c:pt idx="481">
                  <c:v>129.91</c:v>
                </c:pt>
                <c:pt idx="482">
                  <c:v>129.47999999999999</c:v>
                </c:pt>
                <c:pt idx="483">
                  <c:v>128.97999999999999</c:v>
                </c:pt>
                <c:pt idx="484">
                  <c:v>128.4</c:v>
                </c:pt>
                <c:pt idx="485">
                  <c:v>128.02000000000001</c:v>
                </c:pt>
                <c:pt idx="486">
                  <c:v>127.63</c:v>
                </c:pt>
                <c:pt idx="487">
                  <c:v>127.4</c:v>
                </c:pt>
                <c:pt idx="488">
                  <c:v>127.13</c:v>
                </c:pt>
                <c:pt idx="489">
                  <c:v>126.97</c:v>
                </c:pt>
                <c:pt idx="490">
                  <c:v>126.78</c:v>
                </c:pt>
                <c:pt idx="491">
                  <c:v>126.55</c:v>
                </c:pt>
                <c:pt idx="492">
                  <c:v>126.35</c:v>
                </c:pt>
                <c:pt idx="493">
                  <c:v>126.2</c:v>
                </c:pt>
                <c:pt idx="494">
                  <c:v>126.01</c:v>
                </c:pt>
                <c:pt idx="495">
                  <c:v>125.89</c:v>
                </c:pt>
                <c:pt idx="496">
                  <c:v>126.05</c:v>
                </c:pt>
                <c:pt idx="497">
                  <c:v>126.82</c:v>
                </c:pt>
                <c:pt idx="498">
                  <c:v>127.71</c:v>
                </c:pt>
                <c:pt idx="499">
                  <c:v>127.94</c:v>
                </c:pt>
                <c:pt idx="500">
                  <c:v>127.78</c:v>
                </c:pt>
                <c:pt idx="501">
                  <c:v>127.63</c:v>
                </c:pt>
                <c:pt idx="502">
                  <c:v>127.28</c:v>
                </c:pt>
                <c:pt idx="503">
                  <c:v>126.78</c:v>
                </c:pt>
                <c:pt idx="504">
                  <c:v>126.35</c:v>
                </c:pt>
                <c:pt idx="505">
                  <c:v>126.01</c:v>
                </c:pt>
                <c:pt idx="506">
                  <c:v>125.7</c:v>
                </c:pt>
                <c:pt idx="507">
                  <c:v>125.27</c:v>
                </c:pt>
                <c:pt idx="508">
                  <c:v>124.89</c:v>
                </c:pt>
                <c:pt idx="509">
                  <c:v>124.58</c:v>
                </c:pt>
                <c:pt idx="510">
                  <c:v>124.39</c:v>
                </c:pt>
                <c:pt idx="511">
                  <c:v>124.19</c:v>
                </c:pt>
                <c:pt idx="512">
                  <c:v>124.04</c:v>
                </c:pt>
                <c:pt idx="513">
                  <c:v>123.77</c:v>
                </c:pt>
                <c:pt idx="514">
                  <c:v>123.65</c:v>
                </c:pt>
                <c:pt idx="515">
                  <c:v>123.57</c:v>
                </c:pt>
                <c:pt idx="516">
                  <c:v>123.73</c:v>
                </c:pt>
                <c:pt idx="517">
                  <c:v>124.5</c:v>
                </c:pt>
                <c:pt idx="518">
                  <c:v>125.5</c:v>
                </c:pt>
                <c:pt idx="519">
                  <c:v>125.74</c:v>
                </c:pt>
                <c:pt idx="520">
                  <c:v>125.7</c:v>
                </c:pt>
                <c:pt idx="521">
                  <c:v>125.43</c:v>
                </c:pt>
                <c:pt idx="522">
                  <c:v>125.04</c:v>
                </c:pt>
                <c:pt idx="523">
                  <c:v>124.62</c:v>
                </c:pt>
                <c:pt idx="524">
                  <c:v>124.23</c:v>
                </c:pt>
                <c:pt idx="525">
                  <c:v>123.77</c:v>
                </c:pt>
                <c:pt idx="526">
                  <c:v>123.54</c:v>
                </c:pt>
                <c:pt idx="527">
                  <c:v>123.07</c:v>
                </c:pt>
                <c:pt idx="528">
                  <c:v>122.8</c:v>
                </c:pt>
                <c:pt idx="529">
                  <c:v>122.38</c:v>
                </c:pt>
                <c:pt idx="530">
                  <c:v>122.15</c:v>
                </c:pt>
                <c:pt idx="531">
                  <c:v>121.87</c:v>
                </c:pt>
                <c:pt idx="532">
                  <c:v>121.72</c:v>
                </c:pt>
                <c:pt idx="533">
                  <c:v>121.53</c:v>
                </c:pt>
                <c:pt idx="534">
                  <c:v>121.41</c:v>
                </c:pt>
                <c:pt idx="535">
                  <c:v>121.18</c:v>
                </c:pt>
                <c:pt idx="536">
                  <c:v>121.14</c:v>
                </c:pt>
                <c:pt idx="537">
                  <c:v>121.87</c:v>
                </c:pt>
                <c:pt idx="538">
                  <c:v>122.88</c:v>
                </c:pt>
                <c:pt idx="539">
                  <c:v>123.38</c:v>
                </c:pt>
                <c:pt idx="540">
                  <c:v>123.38</c:v>
                </c:pt>
                <c:pt idx="541">
                  <c:v>123.11</c:v>
                </c:pt>
                <c:pt idx="542">
                  <c:v>122.96</c:v>
                </c:pt>
                <c:pt idx="543">
                  <c:v>122.65</c:v>
                </c:pt>
                <c:pt idx="544">
                  <c:v>122.22</c:v>
                </c:pt>
                <c:pt idx="545">
                  <c:v>121.91</c:v>
                </c:pt>
                <c:pt idx="546">
                  <c:v>121.6</c:v>
                </c:pt>
                <c:pt idx="547">
                  <c:v>121.18</c:v>
                </c:pt>
                <c:pt idx="548">
                  <c:v>120.87</c:v>
                </c:pt>
                <c:pt idx="549">
                  <c:v>120.48</c:v>
                </c:pt>
                <c:pt idx="550">
                  <c:v>120.18</c:v>
                </c:pt>
                <c:pt idx="551">
                  <c:v>119.79</c:v>
                </c:pt>
                <c:pt idx="552">
                  <c:v>119.6</c:v>
                </c:pt>
                <c:pt idx="553">
                  <c:v>119.4</c:v>
                </c:pt>
                <c:pt idx="554">
                  <c:v>119.25</c:v>
                </c:pt>
                <c:pt idx="555">
                  <c:v>119.13</c:v>
                </c:pt>
                <c:pt idx="556">
                  <c:v>119.02</c:v>
                </c:pt>
                <c:pt idx="557">
                  <c:v>119.29</c:v>
                </c:pt>
                <c:pt idx="558">
                  <c:v>120.25</c:v>
                </c:pt>
                <c:pt idx="559">
                  <c:v>121.1</c:v>
                </c:pt>
                <c:pt idx="560">
                  <c:v>121.18</c:v>
                </c:pt>
                <c:pt idx="561">
                  <c:v>121.14</c:v>
                </c:pt>
                <c:pt idx="562">
                  <c:v>121.3</c:v>
                </c:pt>
                <c:pt idx="563">
                  <c:v>121.14</c:v>
                </c:pt>
                <c:pt idx="564">
                  <c:v>120.83</c:v>
                </c:pt>
                <c:pt idx="565">
                  <c:v>120.56</c:v>
                </c:pt>
                <c:pt idx="566">
                  <c:v>120.33</c:v>
                </c:pt>
                <c:pt idx="567">
                  <c:v>119.87</c:v>
                </c:pt>
                <c:pt idx="568">
                  <c:v>119.44</c:v>
                </c:pt>
                <c:pt idx="569">
                  <c:v>119.06</c:v>
                </c:pt>
                <c:pt idx="570">
                  <c:v>118.44</c:v>
                </c:pt>
                <c:pt idx="571">
                  <c:v>118.05</c:v>
                </c:pt>
                <c:pt idx="572">
                  <c:v>117.7</c:v>
                </c:pt>
                <c:pt idx="573">
                  <c:v>117.43</c:v>
                </c:pt>
                <c:pt idx="574">
                  <c:v>117.16</c:v>
                </c:pt>
                <c:pt idx="575">
                  <c:v>117.09</c:v>
                </c:pt>
                <c:pt idx="576">
                  <c:v>116.85</c:v>
                </c:pt>
                <c:pt idx="577">
                  <c:v>116.78</c:v>
                </c:pt>
                <c:pt idx="578">
                  <c:v>117.4</c:v>
                </c:pt>
                <c:pt idx="579">
                  <c:v>118.36</c:v>
                </c:pt>
                <c:pt idx="580">
                  <c:v>119.02</c:v>
                </c:pt>
                <c:pt idx="581">
                  <c:v>119.17</c:v>
                </c:pt>
                <c:pt idx="582">
                  <c:v>119.4</c:v>
                </c:pt>
                <c:pt idx="583">
                  <c:v>119.4</c:v>
                </c:pt>
                <c:pt idx="584">
                  <c:v>119.13</c:v>
                </c:pt>
                <c:pt idx="585">
                  <c:v>118.82</c:v>
                </c:pt>
                <c:pt idx="586">
                  <c:v>118.4</c:v>
                </c:pt>
                <c:pt idx="587">
                  <c:v>118.05</c:v>
                </c:pt>
                <c:pt idx="588">
                  <c:v>117.74</c:v>
                </c:pt>
                <c:pt idx="589">
                  <c:v>117.28</c:v>
                </c:pt>
                <c:pt idx="590">
                  <c:v>116.85</c:v>
                </c:pt>
                <c:pt idx="591">
                  <c:v>116.43</c:v>
                </c:pt>
                <c:pt idx="592">
                  <c:v>116.04</c:v>
                </c:pt>
                <c:pt idx="593">
                  <c:v>115.66</c:v>
                </c:pt>
                <c:pt idx="594">
                  <c:v>115.46</c:v>
                </c:pt>
                <c:pt idx="595">
                  <c:v>115.19</c:v>
                </c:pt>
                <c:pt idx="596">
                  <c:v>115.04</c:v>
                </c:pt>
                <c:pt idx="597">
                  <c:v>115</c:v>
                </c:pt>
                <c:pt idx="598">
                  <c:v>114.96</c:v>
                </c:pt>
                <c:pt idx="599">
                  <c:v>115.5</c:v>
                </c:pt>
                <c:pt idx="600">
                  <c:v>116.55</c:v>
                </c:pt>
                <c:pt idx="601">
                  <c:v>117.16</c:v>
                </c:pt>
                <c:pt idx="602">
                  <c:v>117.63</c:v>
                </c:pt>
                <c:pt idx="603">
                  <c:v>117.74</c:v>
                </c:pt>
                <c:pt idx="604">
                  <c:v>117.7</c:v>
                </c:pt>
                <c:pt idx="605">
                  <c:v>117.47</c:v>
                </c:pt>
                <c:pt idx="606">
                  <c:v>117.13</c:v>
                </c:pt>
                <c:pt idx="607">
                  <c:v>116.85</c:v>
                </c:pt>
                <c:pt idx="608">
                  <c:v>116.62</c:v>
                </c:pt>
                <c:pt idx="609">
                  <c:v>116.31</c:v>
                </c:pt>
                <c:pt idx="610">
                  <c:v>115.93</c:v>
                </c:pt>
                <c:pt idx="611">
                  <c:v>115.66</c:v>
                </c:pt>
                <c:pt idx="612">
                  <c:v>115.31</c:v>
                </c:pt>
                <c:pt idx="613">
                  <c:v>114.92</c:v>
                </c:pt>
                <c:pt idx="614">
                  <c:v>114.42</c:v>
                </c:pt>
                <c:pt idx="615">
                  <c:v>114.04</c:v>
                </c:pt>
                <c:pt idx="616">
                  <c:v>113.73</c:v>
                </c:pt>
                <c:pt idx="617">
                  <c:v>113.46</c:v>
                </c:pt>
                <c:pt idx="618">
                  <c:v>113.19</c:v>
                </c:pt>
                <c:pt idx="619">
                  <c:v>113.19</c:v>
                </c:pt>
                <c:pt idx="620">
                  <c:v>113.96</c:v>
                </c:pt>
                <c:pt idx="621">
                  <c:v>115.08</c:v>
                </c:pt>
                <c:pt idx="622">
                  <c:v>115.73</c:v>
                </c:pt>
                <c:pt idx="623">
                  <c:v>115.93</c:v>
                </c:pt>
                <c:pt idx="624">
                  <c:v>115.93</c:v>
                </c:pt>
                <c:pt idx="625">
                  <c:v>115.85</c:v>
                </c:pt>
                <c:pt idx="626">
                  <c:v>115.58</c:v>
                </c:pt>
                <c:pt idx="627">
                  <c:v>115.19</c:v>
                </c:pt>
                <c:pt idx="628">
                  <c:v>114.89</c:v>
                </c:pt>
                <c:pt idx="629">
                  <c:v>114.54</c:v>
                </c:pt>
                <c:pt idx="630">
                  <c:v>114.34</c:v>
                </c:pt>
                <c:pt idx="631">
                  <c:v>113.96</c:v>
                </c:pt>
                <c:pt idx="632">
                  <c:v>113.61</c:v>
                </c:pt>
                <c:pt idx="633">
                  <c:v>113.22</c:v>
                </c:pt>
                <c:pt idx="634">
                  <c:v>112.88</c:v>
                </c:pt>
                <c:pt idx="635">
                  <c:v>112.41</c:v>
                </c:pt>
                <c:pt idx="636">
                  <c:v>112.03</c:v>
                </c:pt>
                <c:pt idx="637">
                  <c:v>111.8</c:v>
                </c:pt>
                <c:pt idx="638">
                  <c:v>111.49</c:v>
                </c:pt>
                <c:pt idx="639">
                  <c:v>111.26</c:v>
                </c:pt>
                <c:pt idx="640">
                  <c:v>111.14</c:v>
                </c:pt>
                <c:pt idx="641">
                  <c:v>111.49</c:v>
                </c:pt>
                <c:pt idx="642">
                  <c:v>112.61</c:v>
                </c:pt>
                <c:pt idx="643">
                  <c:v>113.53</c:v>
                </c:pt>
                <c:pt idx="644">
                  <c:v>114</c:v>
                </c:pt>
                <c:pt idx="645">
                  <c:v>114</c:v>
                </c:pt>
                <c:pt idx="646">
                  <c:v>114</c:v>
                </c:pt>
                <c:pt idx="647">
                  <c:v>113.73</c:v>
                </c:pt>
                <c:pt idx="648">
                  <c:v>113.38</c:v>
                </c:pt>
                <c:pt idx="649">
                  <c:v>113.03</c:v>
                </c:pt>
                <c:pt idx="650">
                  <c:v>112.61</c:v>
                </c:pt>
                <c:pt idx="651">
                  <c:v>112.34</c:v>
                </c:pt>
                <c:pt idx="652">
                  <c:v>111.99</c:v>
                </c:pt>
                <c:pt idx="653">
                  <c:v>111.64</c:v>
                </c:pt>
                <c:pt idx="654">
                  <c:v>111.33</c:v>
                </c:pt>
                <c:pt idx="655">
                  <c:v>110.95</c:v>
                </c:pt>
                <c:pt idx="656">
                  <c:v>110.52</c:v>
                </c:pt>
                <c:pt idx="657">
                  <c:v>110.14</c:v>
                </c:pt>
                <c:pt idx="658">
                  <c:v>109.79</c:v>
                </c:pt>
                <c:pt idx="659">
                  <c:v>109.59</c:v>
                </c:pt>
                <c:pt idx="660">
                  <c:v>109.44</c:v>
                </c:pt>
                <c:pt idx="661">
                  <c:v>109.29</c:v>
                </c:pt>
                <c:pt idx="662">
                  <c:v>109.36</c:v>
                </c:pt>
                <c:pt idx="663">
                  <c:v>110.1</c:v>
                </c:pt>
                <c:pt idx="664">
                  <c:v>111.22</c:v>
                </c:pt>
                <c:pt idx="665">
                  <c:v>111.8</c:v>
                </c:pt>
                <c:pt idx="666">
                  <c:v>111.91</c:v>
                </c:pt>
                <c:pt idx="667">
                  <c:v>111.87</c:v>
                </c:pt>
                <c:pt idx="668">
                  <c:v>111.76</c:v>
                </c:pt>
                <c:pt idx="669">
                  <c:v>111.37</c:v>
                </c:pt>
                <c:pt idx="670">
                  <c:v>111.06</c:v>
                </c:pt>
                <c:pt idx="671">
                  <c:v>110.75</c:v>
                </c:pt>
                <c:pt idx="672">
                  <c:v>110.41</c:v>
                </c:pt>
                <c:pt idx="673">
                  <c:v>110.14</c:v>
                </c:pt>
                <c:pt idx="674">
                  <c:v>109.87</c:v>
                </c:pt>
                <c:pt idx="675">
                  <c:v>109.67</c:v>
                </c:pt>
                <c:pt idx="676">
                  <c:v>109.36</c:v>
                </c:pt>
                <c:pt idx="677">
                  <c:v>108.98</c:v>
                </c:pt>
                <c:pt idx="678">
                  <c:v>108.71</c:v>
                </c:pt>
                <c:pt idx="679">
                  <c:v>108.36</c:v>
                </c:pt>
                <c:pt idx="680">
                  <c:v>108.09</c:v>
                </c:pt>
                <c:pt idx="681">
                  <c:v>107.86</c:v>
                </c:pt>
                <c:pt idx="682">
                  <c:v>107.66</c:v>
                </c:pt>
                <c:pt idx="683">
                  <c:v>107.74</c:v>
                </c:pt>
                <c:pt idx="684">
                  <c:v>108.59</c:v>
                </c:pt>
                <c:pt idx="685">
                  <c:v>109.59</c:v>
                </c:pt>
                <c:pt idx="686">
                  <c:v>110.06</c:v>
                </c:pt>
                <c:pt idx="687">
                  <c:v>110.14</c:v>
                </c:pt>
                <c:pt idx="688">
                  <c:v>110.1</c:v>
                </c:pt>
                <c:pt idx="689">
                  <c:v>109.9</c:v>
                </c:pt>
                <c:pt idx="690">
                  <c:v>109.59</c:v>
                </c:pt>
                <c:pt idx="691">
                  <c:v>109.25</c:v>
                </c:pt>
                <c:pt idx="692">
                  <c:v>108.75</c:v>
                </c:pt>
                <c:pt idx="693">
                  <c:v>108.51</c:v>
                </c:pt>
                <c:pt idx="694">
                  <c:v>108.24</c:v>
                </c:pt>
                <c:pt idx="695">
                  <c:v>108.01</c:v>
                </c:pt>
                <c:pt idx="696">
                  <c:v>107.86</c:v>
                </c:pt>
                <c:pt idx="697">
                  <c:v>107.55</c:v>
                </c:pt>
                <c:pt idx="698">
                  <c:v>107.16</c:v>
                </c:pt>
                <c:pt idx="699">
                  <c:v>106.81</c:v>
                </c:pt>
                <c:pt idx="700">
                  <c:v>106.47</c:v>
                </c:pt>
                <c:pt idx="701">
                  <c:v>106.08</c:v>
                </c:pt>
                <c:pt idx="702">
                  <c:v>105.77</c:v>
                </c:pt>
                <c:pt idx="703">
                  <c:v>105.58</c:v>
                </c:pt>
                <c:pt idx="704">
                  <c:v>105.69</c:v>
                </c:pt>
                <c:pt idx="705">
                  <c:v>106.7</c:v>
                </c:pt>
                <c:pt idx="706">
                  <c:v>107.66</c:v>
                </c:pt>
                <c:pt idx="707">
                  <c:v>108.01</c:v>
                </c:pt>
                <c:pt idx="708">
                  <c:v>108.05</c:v>
                </c:pt>
                <c:pt idx="709">
                  <c:v>108.01</c:v>
                </c:pt>
                <c:pt idx="710">
                  <c:v>107.78</c:v>
                </c:pt>
                <c:pt idx="711">
                  <c:v>107.39</c:v>
                </c:pt>
                <c:pt idx="712">
                  <c:v>107.01</c:v>
                </c:pt>
                <c:pt idx="713">
                  <c:v>106.74</c:v>
                </c:pt>
                <c:pt idx="714">
                  <c:v>106.51</c:v>
                </c:pt>
                <c:pt idx="715">
                  <c:v>106.24</c:v>
                </c:pt>
                <c:pt idx="716">
                  <c:v>105.96</c:v>
                </c:pt>
                <c:pt idx="717">
                  <c:v>105.73</c:v>
                </c:pt>
                <c:pt idx="718">
                  <c:v>105.46</c:v>
                </c:pt>
                <c:pt idx="719">
                  <c:v>105.08</c:v>
                </c:pt>
                <c:pt idx="720">
                  <c:v>104.73</c:v>
                </c:pt>
                <c:pt idx="721">
                  <c:v>104.34</c:v>
                </c:pt>
                <c:pt idx="722">
                  <c:v>103.96</c:v>
                </c:pt>
                <c:pt idx="723">
                  <c:v>103.65</c:v>
                </c:pt>
                <c:pt idx="724">
                  <c:v>103.38</c:v>
                </c:pt>
                <c:pt idx="725">
                  <c:v>103.45</c:v>
                </c:pt>
                <c:pt idx="726">
                  <c:v>104.34</c:v>
                </c:pt>
                <c:pt idx="727">
                  <c:v>105.46</c:v>
                </c:pt>
                <c:pt idx="728">
                  <c:v>105.81</c:v>
                </c:pt>
                <c:pt idx="729">
                  <c:v>105.85</c:v>
                </c:pt>
                <c:pt idx="730">
                  <c:v>105.81</c:v>
                </c:pt>
                <c:pt idx="731">
                  <c:v>105.62</c:v>
                </c:pt>
                <c:pt idx="732">
                  <c:v>105.23</c:v>
                </c:pt>
                <c:pt idx="733">
                  <c:v>104.88</c:v>
                </c:pt>
                <c:pt idx="734">
                  <c:v>104.46</c:v>
                </c:pt>
                <c:pt idx="735">
                  <c:v>104.27</c:v>
                </c:pt>
                <c:pt idx="736">
                  <c:v>104</c:v>
                </c:pt>
                <c:pt idx="737">
                  <c:v>103.84</c:v>
                </c:pt>
                <c:pt idx="738">
                  <c:v>103.65</c:v>
                </c:pt>
                <c:pt idx="739">
                  <c:v>103.34</c:v>
                </c:pt>
                <c:pt idx="740">
                  <c:v>102.99</c:v>
                </c:pt>
                <c:pt idx="741">
                  <c:v>102.76</c:v>
                </c:pt>
                <c:pt idx="742">
                  <c:v>102.33</c:v>
                </c:pt>
                <c:pt idx="743">
                  <c:v>102.03</c:v>
                </c:pt>
                <c:pt idx="744">
                  <c:v>101.72</c:v>
                </c:pt>
                <c:pt idx="745">
                  <c:v>101.45</c:v>
                </c:pt>
                <c:pt idx="746">
                  <c:v>101.52</c:v>
                </c:pt>
                <c:pt idx="747">
                  <c:v>102.3</c:v>
                </c:pt>
                <c:pt idx="748">
                  <c:v>103.34</c:v>
                </c:pt>
                <c:pt idx="749">
                  <c:v>103.72</c:v>
                </c:pt>
                <c:pt idx="750">
                  <c:v>103.76</c:v>
                </c:pt>
                <c:pt idx="751">
                  <c:v>103.65</c:v>
                </c:pt>
                <c:pt idx="752">
                  <c:v>103.45</c:v>
                </c:pt>
                <c:pt idx="753">
                  <c:v>103.11</c:v>
                </c:pt>
                <c:pt idx="754">
                  <c:v>102.8</c:v>
                </c:pt>
                <c:pt idx="755">
                  <c:v>102.45</c:v>
                </c:pt>
                <c:pt idx="756">
                  <c:v>102.18</c:v>
                </c:pt>
                <c:pt idx="757">
                  <c:v>101.91</c:v>
                </c:pt>
                <c:pt idx="758">
                  <c:v>101.72</c:v>
                </c:pt>
                <c:pt idx="759">
                  <c:v>101.52</c:v>
                </c:pt>
                <c:pt idx="760">
                  <c:v>101.29</c:v>
                </c:pt>
                <c:pt idx="761">
                  <c:v>100.94</c:v>
                </c:pt>
                <c:pt idx="762">
                  <c:v>100.67</c:v>
                </c:pt>
                <c:pt idx="763">
                  <c:v>100.33</c:v>
                </c:pt>
                <c:pt idx="764">
                  <c:v>100.06</c:v>
                </c:pt>
                <c:pt idx="765">
                  <c:v>99.67</c:v>
                </c:pt>
                <c:pt idx="766">
                  <c:v>99.48</c:v>
                </c:pt>
                <c:pt idx="767">
                  <c:v>99.52</c:v>
                </c:pt>
                <c:pt idx="768">
                  <c:v>100.33</c:v>
                </c:pt>
                <c:pt idx="769">
                  <c:v>101.45</c:v>
                </c:pt>
                <c:pt idx="770">
                  <c:v>101.83</c:v>
                </c:pt>
                <c:pt idx="771">
                  <c:v>101.83</c:v>
                </c:pt>
                <c:pt idx="772">
                  <c:v>101.79</c:v>
                </c:pt>
                <c:pt idx="773">
                  <c:v>101.6</c:v>
                </c:pt>
                <c:pt idx="774">
                  <c:v>101.21</c:v>
                </c:pt>
                <c:pt idx="775">
                  <c:v>100.87</c:v>
                </c:pt>
                <c:pt idx="776">
                  <c:v>100.52</c:v>
                </c:pt>
                <c:pt idx="777">
                  <c:v>100.29</c:v>
                </c:pt>
                <c:pt idx="778">
                  <c:v>100.1</c:v>
                </c:pt>
                <c:pt idx="779">
                  <c:v>99.9</c:v>
                </c:pt>
                <c:pt idx="780">
                  <c:v>99.63</c:v>
                </c:pt>
                <c:pt idx="781">
                  <c:v>99.4</c:v>
                </c:pt>
                <c:pt idx="782">
                  <c:v>99.13</c:v>
                </c:pt>
                <c:pt idx="783">
                  <c:v>98.9</c:v>
                </c:pt>
                <c:pt idx="784">
                  <c:v>98.59</c:v>
                </c:pt>
                <c:pt idx="785">
                  <c:v>98.28</c:v>
                </c:pt>
                <c:pt idx="786">
                  <c:v>97.97</c:v>
                </c:pt>
                <c:pt idx="787">
                  <c:v>97.78</c:v>
                </c:pt>
                <c:pt idx="788">
                  <c:v>98.09</c:v>
                </c:pt>
                <c:pt idx="789">
                  <c:v>99.05</c:v>
                </c:pt>
                <c:pt idx="790">
                  <c:v>99.82</c:v>
                </c:pt>
                <c:pt idx="791">
                  <c:v>100.06</c:v>
                </c:pt>
                <c:pt idx="792">
                  <c:v>100.06</c:v>
                </c:pt>
                <c:pt idx="793">
                  <c:v>99.94</c:v>
                </c:pt>
                <c:pt idx="794">
                  <c:v>99.63</c:v>
                </c:pt>
                <c:pt idx="795">
                  <c:v>99.32</c:v>
                </c:pt>
                <c:pt idx="796">
                  <c:v>98.94</c:v>
                </c:pt>
                <c:pt idx="797">
                  <c:v>98.78</c:v>
                </c:pt>
                <c:pt idx="798">
                  <c:v>98.59</c:v>
                </c:pt>
                <c:pt idx="799">
                  <c:v>98.43</c:v>
                </c:pt>
                <c:pt idx="800">
                  <c:v>98.24</c:v>
                </c:pt>
                <c:pt idx="801">
                  <c:v>98.13</c:v>
                </c:pt>
                <c:pt idx="802">
                  <c:v>97.86</c:v>
                </c:pt>
                <c:pt idx="803">
                  <c:v>97.58</c:v>
                </c:pt>
                <c:pt idx="804">
                  <c:v>97.28</c:v>
                </c:pt>
                <c:pt idx="805">
                  <c:v>96.93</c:v>
                </c:pt>
                <c:pt idx="806">
                  <c:v>96.66</c:v>
                </c:pt>
                <c:pt idx="807">
                  <c:v>96.35</c:v>
                </c:pt>
                <c:pt idx="808">
                  <c:v>96.54</c:v>
                </c:pt>
                <c:pt idx="809">
                  <c:v>97.47</c:v>
                </c:pt>
                <c:pt idx="810">
                  <c:v>98.13</c:v>
                </c:pt>
                <c:pt idx="811">
                  <c:v>98.28</c:v>
                </c:pt>
                <c:pt idx="812">
                  <c:v>98.28</c:v>
                </c:pt>
                <c:pt idx="813">
                  <c:v>98.28</c:v>
                </c:pt>
                <c:pt idx="814">
                  <c:v>98.13</c:v>
                </c:pt>
                <c:pt idx="815">
                  <c:v>97.78</c:v>
                </c:pt>
                <c:pt idx="816">
                  <c:v>97.51</c:v>
                </c:pt>
                <c:pt idx="817">
                  <c:v>97.28</c:v>
                </c:pt>
                <c:pt idx="818">
                  <c:v>97.01</c:v>
                </c:pt>
                <c:pt idx="819">
                  <c:v>96.93</c:v>
                </c:pt>
                <c:pt idx="820">
                  <c:v>96.77</c:v>
                </c:pt>
                <c:pt idx="821">
                  <c:v>96.54</c:v>
                </c:pt>
                <c:pt idx="822">
                  <c:v>96.31</c:v>
                </c:pt>
                <c:pt idx="823">
                  <c:v>96.08</c:v>
                </c:pt>
                <c:pt idx="824">
                  <c:v>95.85</c:v>
                </c:pt>
                <c:pt idx="825">
                  <c:v>95.5</c:v>
                </c:pt>
                <c:pt idx="826">
                  <c:v>95.23</c:v>
                </c:pt>
                <c:pt idx="827">
                  <c:v>94.92</c:v>
                </c:pt>
                <c:pt idx="828">
                  <c:v>94.88</c:v>
                </c:pt>
                <c:pt idx="829">
                  <c:v>95.65</c:v>
                </c:pt>
                <c:pt idx="830">
                  <c:v>96.35</c:v>
                </c:pt>
                <c:pt idx="831">
                  <c:v>96.54</c:v>
                </c:pt>
                <c:pt idx="832">
                  <c:v>96.66</c:v>
                </c:pt>
                <c:pt idx="833">
                  <c:v>96.66</c:v>
                </c:pt>
                <c:pt idx="834">
                  <c:v>96.47</c:v>
                </c:pt>
                <c:pt idx="835">
                  <c:v>96.23</c:v>
                </c:pt>
                <c:pt idx="836">
                  <c:v>95.96</c:v>
                </c:pt>
                <c:pt idx="837">
                  <c:v>95.73</c:v>
                </c:pt>
                <c:pt idx="838">
                  <c:v>95.54</c:v>
                </c:pt>
                <c:pt idx="839">
                  <c:v>95.5</c:v>
                </c:pt>
                <c:pt idx="840">
                  <c:v>95.31</c:v>
                </c:pt>
                <c:pt idx="841">
                  <c:v>95.15</c:v>
                </c:pt>
                <c:pt idx="842">
                  <c:v>94.92</c:v>
                </c:pt>
                <c:pt idx="843">
                  <c:v>94.84</c:v>
                </c:pt>
                <c:pt idx="844">
                  <c:v>94.61</c:v>
                </c:pt>
                <c:pt idx="845">
                  <c:v>94.38</c:v>
                </c:pt>
                <c:pt idx="846">
                  <c:v>94.15</c:v>
                </c:pt>
                <c:pt idx="847">
                  <c:v>93.88</c:v>
                </c:pt>
                <c:pt idx="848">
                  <c:v>93.72</c:v>
                </c:pt>
                <c:pt idx="849">
                  <c:v>94.07</c:v>
                </c:pt>
                <c:pt idx="850">
                  <c:v>94.92</c:v>
                </c:pt>
                <c:pt idx="851">
                  <c:v>95.15</c:v>
                </c:pt>
                <c:pt idx="852">
                  <c:v>95.31</c:v>
                </c:pt>
                <c:pt idx="853">
                  <c:v>95.35</c:v>
                </c:pt>
                <c:pt idx="854">
                  <c:v>95.31</c:v>
                </c:pt>
                <c:pt idx="855">
                  <c:v>95.15</c:v>
                </c:pt>
                <c:pt idx="856">
                  <c:v>94.88</c:v>
                </c:pt>
                <c:pt idx="857">
                  <c:v>94.73</c:v>
                </c:pt>
                <c:pt idx="858">
                  <c:v>94.57</c:v>
                </c:pt>
                <c:pt idx="859">
                  <c:v>94.42</c:v>
                </c:pt>
                <c:pt idx="860">
                  <c:v>94.34</c:v>
                </c:pt>
                <c:pt idx="861">
                  <c:v>94.19</c:v>
                </c:pt>
                <c:pt idx="862">
                  <c:v>93.99</c:v>
                </c:pt>
                <c:pt idx="863">
                  <c:v>93.84</c:v>
                </c:pt>
                <c:pt idx="864">
                  <c:v>93.61</c:v>
                </c:pt>
                <c:pt idx="865">
                  <c:v>93.45</c:v>
                </c:pt>
                <c:pt idx="866">
                  <c:v>93.3</c:v>
                </c:pt>
                <c:pt idx="867">
                  <c:v>93.07</c:v>
                </c:pt>
                <c:pt idx="868">
                  <c:v>92.87</c:v>
                </c:pt>
                <c:pt idx="869">
                  <c:v>93.07</c:v>
                </c:pt>
                <c:pt idx="870">
                  <c:v>93.61</c:v>
                </c:pt>
                <c:pt idx="871">
                  <c:v>93.88</c:v>
                </c:pt>
                <c:pt idx="872">
                  <c:v>94.07</c:v>
                </c:pt>
                <c:pt idx="873">
                  <c:v>94.15</c:v>
                </c:pt>
                <c:pt idx="874">
                  <c:v>94.15</c:v>
                </c:pt>
                <c:pt idx="875">
                  <c:v>93.95</c:v>
                </c:pt>
                <c:pt idx="876">
                  <c:v>93.68</c:v>
                </c:pt>
                <c:pt idx="877">
                  <c:v>93.53</c:v>
                </c:pt>
                <c:pt idx="878">
                  <c:v>93.34</c:v>
                </c:pt>
                <c:pt idx="879">
                  <c:v>93.3</c:v>
                </c:pt>
                <c:pt idx="880">
                  <c:v>93.14</c:v>
                </c:pt>
                <c:pt idx="881">
                  <c:v>92.95</c:v>
                </c:pt>
                <c:pt idx="882">
                  <c:v>92.84</c:v>
                </c:pt>
                <c:pt idx="883">
                  <c:v>92.64</c:v>
                </c:pt>
                <c:pt idx="884">
                  <c:v>92.45</c:v>
                </c:pt>
                <c:pt idx="885">
                  <c:v>92.22</c:v>
                </c:pt>
                <c:pt idx="886">
                  <c:v>92.06</c:v>
                </c:pt>
                <c:pt idx="887">
                  <c:v>91.79</c:v>
                </c:pt>
                <c:pt idx="888">
                  <c:v>91.64</c:v>
                </c:pt>
                <c:pt idx="889">
                  <c:v>91.6</c:v>
                </c:pt>
                <c:pt idx="890">
                  <c:v>92.06</c:v>
                </c:pt>
                <c:pt idx="891">
                  <c:v>92.45</c:v>
                </c:pt>
                <c:pt idx="892">
                  <c:v>92.56</c:v>
                </c:pt>
                <c:pt idx="893">
                  <c:v>88.47</c:v>
                </c:pt>
                <c:pt idx="894">
                  <c:v>84.07</c:v>
                </c:pt>
                <c:pt idx="895">
                  <c:v>80.400000000000006</c:v>
                </c:pt>
                <c:pt idx="896">
                  <c:v>77.27</c:v>
                </c:pt>
                <c:pt idx="897">
                  <c:v>74.38</c:v>
                </c:pt>
                <c:pt idx="898">
                  <c:v>71.790000000000006</c:v>
                </c:pt>
                <c:pt idx="899">
                  <c:v>69.2</c:v>
                </c:pt>
                <c:pt idx="900">
                  <c:v>66.849999999999994</c:v>
                </c:pt>
                <c:pt idx="901">
                  <c:v>64.64</c:v>
                </c:pt>
                <c:pt idx="902">
                  <c:v>62.44</c:v>
                </c:pt>
                <c:pt idx="903">
                  <c:v>60.24</c:v>
                </c:pt>
                <c:pt idx="904">
                  <c:v>58.23</c:v>
                </c:pt>
                <c:pt idx="905">
                  <c:v>56.23</c:v>
                </c:pt>
                <c:pt idx="906">
                  <c:v>54.41</c:v>
                </c:pt>
                <c:pt idx="907">
                  <c:v>52.6</c:v>
                </c:pt>
                <c:pt idx="908">
                  <c:v>50.82</c:v>
                </c:pt>
                <c:pt idx="909">
                  <c:v>49.12</c:v>
                </c:pt>
                <c:pt idx="910">
                  <c:v>47.69</c:v>
                </c:pt>
                <c:pt idx="911">
                  <c:v>46.38</c:v>
                </c:pt>
                <c:pt idx="912">
                  <c:v>44.95</c:v>
                </c:pt>
                <c:pt idx="913">
                  <c:v>43.6</c:v>
                </c:pt>
                <c:pt idx="914">
                  <c:v>42.25</c:v>
                </c:pt>
                <c:pt idx="915">
                  <c:v>40.9</c:v>
                </c:pt>
                <c:pt idx="916">
                  <c:v>39.54</c:v>
                </c:pt>
                <c:pt idx="917">
                  <c:v>38.229999999999997</c:v>
                </c:pt>
                <c:pt idx="918">
                  <c:v>36.99</c:v>
                </c:pt>
                <c:pt idx="919">
                  <c:v>35.880000000000003</c:v>
                </c:pt>
                <c:pt idx="920">
                  <c:v>34.72</c:v>
                </c:pt>
                <c:pt idx="921">
                  <c:v>33.6</c:v>
                </c:pt>
                <c:pt idx="922">
                  <c:v>32.590000000000003</c:v>
                </c:pt>
                <c:pt idx="923">
                  <c:v>31.47</c:v>
                </c:pt>
                <c:pt idx="924">
                  <c:v>30.51</c:v>
                </c:pt>
                <c:pt idx="925">
                  <c:v>29.5</c:v>
                </c:pt>
                <c:pt idx="926">
                  <c:v>28.58</c:v>
                </c:pt>
                <c:pt idx="927">
                  <c:v>27.73</c:v>
                </c:pt>
                <c:pt idx="928">
                  <c:v>26.88</c:v>
                </c:pt>
                <c:pt idx="929">
                  <c:v>26.07</c:v>
                </c:pt>
                <c:pt idx="930">
                  <c:v>25.29</c:v>
                </c:pt>
                <c:pt idx="931">
                  <c:v>24.75</c:v>
                </c:pt>
                <c:pt idx="932">
                  <c:v>24.14</c:v>
                </c:pt>
                <c:pt idx="933">
                  <c:v>23.56</c:v>
                </c:pt>
                <c:pt idx="934">
                  <c:v>22.98</c:v>
                </c:pt>
                <c:pt idx="935">
                  <c:v>22.24</c:v>
                </c:pt>
                <c:pt idx="936">
                  <c:v>21.66</c:v>
                </c:pt>
                <c:pt idx="937">
                  <c:v>21.05</c:v>
                </c:pt>
                <c:pt idx="938">
                  <c:v>20.47</c:v>
                </c:pt>
                <c:pt idx="939">
                  <c:v>19.93</c:v>
                </c:pt>
                <c:pt idx="940">
                  <c:v>19.420000000000002</c:v>
                </c:pt>
                <c:pt idx="941">
                  <c:v>18.850000000000001</c:v>
                </c:pt>
                <c:pt idx="942">
                  <c:v>18.38</c:v>
                </c:pt>
                <c:pt idx="943">
                  <c:v>17.96</c:v>
                </c:pt>
                <c:pt idx="944">
                  <c:v>17.38</c:v>
                </c:pt>
                <c:pt idx="945">
                  <c:v>16.95</c:v>
                </c:pt>
                <c:pt idx="946">
                  <c:v>16.57</c:v>
                </c:pt>
                <c:pt idx="947">
                  <c:v>16.059999999999999</c:v>
                </c:pt>
                <c:pt idx="948">
                  <c:v>15.68</c:v>
                </c:pt>
                <c:pt idx="949">
                  <c:v>15.29</c:v>
                </c:pt>
                <c:pt idx="950">
                  <c:v>14.94</c:v>
                </c:pt>
                <c:pt idx="951">
                  <c:v>14.56</c:v>
                </c:pt>
                <c:pt idx="952">
                  <c:v>14.33</c:v>
                </c:pt>
                <c:pt idx="953">
                  <c:v>14.1</c:v>
                </c:pt>
                <c:pt idx="954">
                  <c:v>13.86</c:v>
                </c:pt>
                <c:pt idx="955">
                  <c:v>13.59</c:v>
                </c:pt>
                <c:pt idx="956">
                  <c:v>13.28</c:v>
                </c:pt>
                <c:pt idx="957">
                  <c:v>12.94</c:v>
                </c:pt>
                <c:pt idx="958">
                  <c:v>12.63</c:v>
                </c:pt>
                <c:pt idx="959">
                  <c:v>12.36</c:v>
                </c:pt>
                <c:pt idx="960">
                  <c:v>12.09</c:v>
                </c:pt>
                <c:pt idx="961">
                  <c:v>11.78</c:v>
                </c:pt>
                <c:pt idx="962">
                  <c:v>11.59</c:v>
                </c:pt>
                <c:pt idx="963">
                  <c:v>11.35</c:v>
                </c:pt>
                <c:pt idx="964">
                  <c:v>11.12</c:v>
                </c:pt>
                <c:pt idx="965">
                  <c:v>10.89</c:v>
                </c:pt>
                <c:pt idx="966">
                  <c:v>10.62</c:v>
                </c:pt>
                <c:pt idx="967">
                  <c:v>10.43</c:v>
                </c:pt>
                <c:pt idx="968">
                  <c:v>10.23</c:v>
                </c:pt>
                <c:pt idx="969">
                  <c:v>10.039999999999999</c:v>
                </c:pt>
                <c:pt idx="970">
                  <c:v>9.81</c:v>
                </c:pt>
                <c:pt idx="971">
                  <c:v>9.6199999999999992</c:v>
                </c:pt>
                <c:pt idx="972">
                  <c:v>9.6199999999999992</c:v>
                </c:pt>
                <c:pt idx="973">
                  <c:v>9.5</c:v>
                </c:pt>
                <c:pt idx="974">
                  <c:v>9.35</c:v>
                </c:pt>
                <c:pt idx="975">
                  <c:v>9.23</c:v>
                </c:pt>
                <c:pt idx="976">
                  <c:v>9</c:v>
                </c:pt>
                <c:pt idx="977">
                  <c:v>8.84</c:v>
                </c:pt>
                <c:pt idx="978">
                  <c:v>8.69</c:v>
                </c:pt>
                <c:pt idx="979">
                  <c:v>8.5</c:v>
                </c:pt>
                <c:pt idx="980">
                  <c:v>8.3800000000000008</c:v>
                </c:pt>
                <c:pt idx="981">
                  <c:v>8.3000000000000007</c:v>
                </c:pt>
                <c:pt idx="982">
                  <c:v>8.15</c:v>
                </c:pt>
                <c:pt idx="983">
                  <c:v>8.0299999999999994</c:v>
                </c:pt>
                <c:pt idx="984">
                  <c:v>7.84</c:v>
                </c:pt>
                <c:pt idx="985">
                  <c:v>7.76</c:v>
                </c:pt>
                <c:pt idx="986">
                  <c:v>7.61</c:v>
                </c:pt>
                <c:pt idx="987">
                  <c:v>7.41</c:v>
                </c:pt>
                <c:pt idx="988">
                  <c:v>7.3</c:v>
                </c:pt>
                <c:pt idx="989">
                  <c:v>7.18</c:v>
                </c:pt>
                <c:pt idx="990">
                  <c:v>7.07</c:v>
                </c:pt>
                <c:pt idx="991">
                  <c:v>6.91</c:v>
                </c:pt>
                <c:pt idx="992">
                  <c:v>6.91</c:v>
                </c:pt>
                <c:pt idx="993">
                  <c:v>6.84</c:v>
                </c:pt>
                <c:pt idx="994">
                  <c:v>6.72</c:v>
                </c:pt>
                <c:pt idx="995">
                  <c:v>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96-4695-B674-E21074CF5A9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Hoja1!$BT$2:$BT$997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xVal>
          <c:yVal>
            <c:numRef>
              <c:f>Hoja1!$BV$2:$BV$997</c:f>
              <c:numCache>
                <c:formatCode>General</c:formatCode>
                <c:ptCount val="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166.36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160.18</c:v>
                </c:pt>
                <c:pt idx="34">
                  <c:v>157.09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157.09</c:v>
                </c:pt>
                <c:pt idx="54">
                  <c:v>161.72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158.63</c:v>
                </c:pt>
                <c:pt idx="74">
                  <c:v>167.9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157.09</c:v>
                </c:pt>
                <c:pt idx="94">
                  <c:v>166.36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155.54</c:v>
                </c:pt>
                <c:pt idx="114">
                  <c:v>170.99</c:v>
                </c:pt>
                <c:pt idx="115">
                  <c:v>163.27000000000001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170.99</c:v>
                </c:pt>
                <c:pt idx="135">
                  <c:v>166.36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167.9</c:v>
                </c:pt>
                <c:pt idx="155">
                  <c:v>174.07999999999998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166.36</c:v>
                </c:pt>
                <c:pt idx="176">
                  <c:v>174.07999999999998</c:v>
                </c:pt>
                <c:pt idx="177">
                  <c:v>160.18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169.45</c:v>
                </c:pt>
                <c:pt idx="197">
                  <c:v>172.54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161.72</c:v>
                </c:pt>
                <c:pt idx="217">
                  <c:v>174.07999999999998</c:v>
                </c:pt>
                <c:pt idx="218">
                  <c:v>164.81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157.09</c:v>
                </c:pt>
                <c:pt idx="237">
                  <c:v>175.63</c:v>
                </c:pt>
                <c:pt idx="238">
                  <c:v>169.45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164.81</c:v>
                </c:pt>
                <c:pt idx="258">
                  <c:v>177.17000000000002</c:v>
                </c:pt>
                <c:pt idx="259">
                  <c:v>160.18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160.18</c:v>
                </c:pt>
                <c:pt idx="278">
                  <c:v>177.17000000000002</c:v>
                </c:pt>
                <c:pt idx="279">
                  <c:v>172.54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160.18</c:v>
                </c:pt>
                <c:pt idx="298">
                  <c:v>177.17000000000002</c:v>
                </c:pt>
                <c:pt idx="299">
                  <c:v>172.54</c:v>
                </c:pt>
                <c:pt idx="300">
                  <c:v>158.63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169.45</c:v>
                </c:pt>
                <c:pt idx="319">
                  <c:v>180.26</c:v>
                </c:pt>
                <c:pt idx="320">
                  <c:v>170.99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170.99</c:v>
                </c:pt>
                <c:pt idx="339">
                  <c:v>183.35</c:v>
                </c:pt>
                <c:pt idx="340">
                  <c:v>166.36</c:v>
                </c:pt>
                <c:pt idx="341">
                  <c:v>161.72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167.9</c:v>
                </c:pt>
                <c:pt idx="359">
                  <c:v>186.44</c:v>
                </c:pt>
                <c:pt idx="360">
                  <c:v>177.17000000000002</c:v>
                </c:pt>
                <c:pt idx="361">
                  <c:v>155.54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172.54</c:v>
                </c:pt>
                <c:pt idx="379">
                  <c:v>183.35</c:v>
                </c:pt>
                <c:pt idx="380">
                  <c:v>172.54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158.63</c:v>
                </c:pt>
                <c:pt idx="398">
                  <c:v>181.8</c:v>
                </c:pt>
                <c:pt idx="399">
                  <c:v>180.26</c:v>
                </c:pt>
                <c:pt idx="400">
                  <c:v>167.9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174.07999999999998</c:v>
                </c:pt>
                <c:pt idx="418">
                  <c:v>184.89</c:v>
                </c:pt>
                <c:pt idx="419">
                  <c:v>177.17000000000002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158.63</c:v>
                </c:pt>
                <c:pt idx="437">
                  <c:v>180.26</c:v>
                </c:pt>
                <c:pt idx="438">
                  <c:v>186.44</c:v>
                </c:pt>
                <c:pt idx="439">
                  <c:v>166.36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160.18</c:v>
                </c:pt>
                <c:pt idx="457">
                  <c:v>183.35</c:v>
                </c:pt>
                <c:pt idx="458">
                  <c:v>184.89</c:v>
                </c:pt>
                <c:pt idx="459">
                  <c:v>163.27000000000001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157.09</c:v>
                </c:pt>
                <c:pt idx="477">
                  <c:v>183.35</c:v>
                </c:pt>
                <c:pt idx="478">
                  <c:v>186.44</c:v>
                </c:pt>
                <c:pt idx="479">
                  <c:v>167.9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160.18</c:v>
                </c:pt>
                <c:pt idx="497">
                  <c:v>184.89</c:v>
                </c:pt>
                <c:pt idx="498">
                  <c:v>189.53</c:v>
                </c:pt>
                <c:pt idx="499">
                  <c:v>163.27000000000001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160.18</c:v>
                </c:pt>
                <c:pt idx="517">
                  <c:v>184.89</c:v>
                </c:pt>
                <c:pt idx="518">
                  <c:v>194.16</c:v>
                </c:pt>
                <c:pt idx="519">
                  <c:v>163.27000000000001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183.35</c:v>
                </c:pt>
                <c:pt idx="538">
                  <c:v>194.16</c:v>
                </c:pt>
                <c:pt idx="539">
                  <c:v>174.07999999999998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164.81</c:v>
                </c:pt>
                <c:pt idx="558">
                  <c:v>192.62</c:v>
                </c:pt>
                <c:pt idx="559">
                  <c:v>187.98</c:v>
                </c:pt>
                <c:pt idx="560">
                  <c:v>157.09</c:v>
                </c:pt>
                <c:pt idx="561">
                  <c:v>0</c:v>
                </c:pt>
                <c:pt idx="562">
                  <c:v>160.18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178.71</c:v>
                </c:pt>
                <c:pt idx="579">
                  <c:v>192.62</c:v>
                </c:pt>
                <c:pt idx="580">
                  <c:v>180.26</c:v>
                </c:pt>
                <c:pt idx="581">
                  <c:v>160.18</c:v>
                </c:pt>
                <c:pt idx="582">
                  <c:v>163.27000000000001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175.63</c:v>
                </c:pt>
                <c:pt idx="600">
                  <c:v>195.71</c:v>
                </c:pt>
                <c:pt idx="601">
                  <c:v>178.71</c:v>
                </c:pt>
                <c:pt idx="602">
                  <c:v>172.54</c:v>
                </c:pt>
                <c:pt idx="603">
                  <c:v>158.63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184.89</c:v>
                </c:pt>
                <c:pt idx="621">
                  <c:v>198.8</c:v>
                </c:pt>
                <c:pt idx="622">
                  <c:v>180.26</c:v>
                </c:pt>
                <c:pt idx="623">
                  <c:v>161.72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167.9</c:v>
                </c:pt>
                <c:pt idx="642">
                  <c:v>198.8</c:v>
                </c:pt>
                <c:pt idx="643">
                  <c:v>191.07</c:v>
                </c:pt>
                <c:pt idx="644">
                  <c:v>172.54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157.09</c:v>
                </c:pt>
                <c:pt idx="663">
                  <c:v>183.35</c:v>
                </c:pt>
                <c:pt idx="664">
                  <c:v>198.8</c:v>
                </c:pt>
                <c:pt idx="665">
                  <c:v>177.17000000000002</c:v>
                </c:pt>
                <c:pt idx="666">
                  <c:v>158.63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157.09</c:v>
                </c:pt>
                <c:pt idx="684">
                  <c:v>187.98</c:v>
                </c:pt>
                <c:pt idx="685">
                  <c:v>194.16</c:v>
                </c:pt>
                <c:pt idx="686">
                  <c:v>172.54</c:v>
                </c:pt>
                <c:pt idx="687">
                  <c:v>157.09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158.63</c:v>
                </c:pt>
                <c:pt idx="705">
                  <c:v>194.16</c:v>
                </c:pt>
                <c:pt idx="706">
                  <c:v>192.62</c:v>
                </c:pt>
                <c:pt idx="707">
                  <c:v>167.9</c:v>
                </c:pt>
                <c:pt idx="708">
                  <c:v>155.54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157.09</c:v>
                </c:pt>
                <c:pt idx="726">
                  <c:v>189.53</c:v>
                </c:pt>
                <c:pt idx="727">
                  <c:v>198.8</c:v>
                </c:pt>
                <c:pt idx="728">
                  <c:v>167.9</c:v>
                </c:pt>
                <c:pt idx="729">
                  <c:v>155.54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157.09</c:v>
                </c:pt>
                <c:pt idx="747">
                  <c:v>184.89</c:v>
                </c:pt>
                <c:pt idx="748">
                  <c:v>195.71</c:v>
                </c:pt>
                <c:pt idx="749">
                  <c:v>169.45</c:v>
                </c:pt>
                <c:pt idx="750">
                  <c:v>155.54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155.54</c:v>
                </c:pt>
                <c:pt idx="768">
                  <c:v>186.44</c:v>
                </c:pt>
                <c:pt idx="769">
                  <c:v>198.8</c:v>
                </c:pt>
                <c:pt idx="770">
                  <c:v>169.45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166.36</c:v>
                </c:pt>
                <c:pt idx="789">
                  <c:v>192.62</c:v>
                </c:pt>
                <c:pt idx="790">
                  <c:v>184.89</c:v>
                </c:pt>
                <c:pt idx="791">
                  <c:v>163.27000000000001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161.72</c:v>
                </c:pt>
                <c:pt idx="809">
                  <c:v>191.07</c:v>
                </c:pt>
                <c:pt idx="810">
                  <c:v>180.26</c:v>
                </c:pt>
                <c:pt idx="811">
                  <c:v>160.18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184.89</c:v>
                </c:pt>
                <c:pt idx="830">
                  <c:v>181.8</c:v>
                </c:pt>
                <c:pt idx="831">
                  <c:v>161.72</c:v>
                </c:pt>
                <c:pt idx="832">
                  <c:v>158.63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167.9</c:v>
                </c:pt>
                <c:pt idx="850">
                  <c:v>187.98</c:v>
                </c:pt>
                <c:pt idx="851">
                  <c:v>163.27000000000001</c:v>
                </c:pt>
                <c:pt idx="852">
                  <c:v>160.18</c:v>
                </c:pt>
                <c:pt idx="853">
                  <c:v>155.54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161.72</c:v>
                </c:pt>
                <c:pt idx="870">
                  <c:v>175.63</c:v>
                </c:pt>
                <c:pt idx="871">
                  <c:v>164.81</c:v>
                </c:pt>
                <c:pt idx="872">
                  <c:v>161.72</c:v>
                </c:pt>
                <c:pt idx="873">
                  <c:v>157.09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172.54</c:v>
                </c:pt>
                <c:pt idx="891">
                  <c:v>169.45</c:v>
                </c:pt>
                <c:pt idx="892">
                  <c:v>158.63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96-4695-B674-E21074CF5A9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Hoja1!$BT$2:$BT$997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xVal>
          <c:yVal>
            <c:numRef>
              <c:f>Hoja1!$BW$2:$BW$997</c:f>
              <c:numCache>
                <c:formatCode>General</c:formatCode>
                <c:ptCount val="996"/>
                <c:pt idx="0">
                  <c:v>-6.18</c:v>
                </c:pt>
                <c:pt idx="1">
                  <c:v>-12.36</c:v>
                </c:pt>
                <c:pt idx="2">
                  <c:v>-7.72</c:v>
                </c:pt>
                <c:pt idx="3">
                  <c:v>-10.81</c:v>
                </c:pt>
                <c:pt idx="4">
                  <c:v>-10.81</c:v>
                </c:pt>
                <c:pt idx="5">
                  <c:v>-9.27</c:v>
                </c:pt>
                <c:pt idx="6">
                  <c:v>-10.81</c:v>
                </c:pt>
                <c:pt idx="7">
                  <c:v>-10.81</c:v>
                </c:pt>
                <c:pt idx="8">
                  <c:v>-6.18</c:v>
                </c:pt>
                <c:pt idx="9">
                  <c:v>-10.81</c:v>
                </c:pt>
                <c:pt idx="10">
                  <c:v>-9.27</c:v>
                </c:pt>
                <c:pt idx="11">
                  <c:v>-6.18</c:v>
                </c:pt>
                <c:pt idx="12">
                  <c:v>-4.63</c:v>
                </c:pt>
                <c:pt idx="13">
                  <c:v>12.36</c:v>
                </c:pt>
                <c:pt idx="14">
                  <c:v>-1.54</c:v>
                </c:pt>
                <c:pt idx="15">
                  <c:v>-15.45</c:v>
                </c:pt>
                <c:pt idx="16">
                  <c:v>-13.9</c:v>
                </c:pt>
                <c:pt idx="17">
                  <c:v>-15.45</c:v>
                </c:pt>
                <c:pt idx="18">
                  <c:v>-9.27</c:v>
                </c:pt>
                <c:pt idx="19">
                  <c:v>-18.54</c:v>
                </c:pt>
                <c:pt idx="20">
                  <c:v>-6.18</c:v>
                </c:pt>
                <c:pt idx="21">
                  <c:v>-7.72</c:v>
                </c:pt>
                <c:pt idx="22">
                  <c:v>-9.27</c:v>
                </c:pt>
                <c:pt idx="23">
                  <c:v>-9.27</c:v>
                </c:pt>
                <c:pt idx="24">
                  <c:v>-10.81</c:v>
                </c:pt>
                <c:pt idx="25">
                  <c:v>-13.9</c:v>
                </c:pt>
                <c:pt idx="26">
                  <c:v>-6.18</c:v>
                </c:pt>
                <c:pt idx="27">
                  <c:v>-10.81</c:v>
                </c:pt>
                <c:pt idx="28">
                  <c:v>-7.72</c:v>
                </c:pt>
                <c:pt idx="29">
                  <c:v>-9.27</c:v>
                </c:pt>
                <c:pt idx="30">
                  <c:v>-9.27</c:v>
                </c:pt>
                <c:pt idx="31">
                  <c:v>-9.27</c:v>
                </c:pt>
                <c:pt idx="32">
                  <c:v>-7.72</c:v>
                </c:pt>
                <c:pt idx="33">
                  <c:v>6.18</c:v>
                </c:pt>
                <c:pt idx="34">
                  <c:v>3.09</c:v>
                </c:pt>
                <c:pt idx="35">
                  <c:v>-1.54</c:v>
                </c:pt>
                <c:pt idx="36">
                  <c:v>-18.54</c:v>
                </c:pt>
                <c:pt idx="37">
                  <c:v>-15.45</c:v>
                </c:pt>
                <c:pt idx="38">
                  <c:v>-12.36</c:v>
                </c:pt>
                <c:pt idx="39">
                  <c:v>-12.36</c:v>
                </c:pt>
                <c:pt idx="40">
                  <c:v>-9.27</c:v>
                </c:pt>
                <c:pt idx="41">
                  <c:v>-4.63</c:v>
                </c:pt>
                <c:pt idx="42">
                  <c:v>-6.18</c:v>
                </c:pt>
                <c:pt idx="43">
                  <c:v>-10.81</c:v>
                </c:pt>
                <c:pt idx="44">
                  <c:v>-7.72</c:v>
                </c:pt>
                <c:pt idx="45">
                  <c:v>-9.27</c:v>
                </c:pt>
                <c:pt idx="46">
                  <c:v>-9.27</c:v>
                </c:pt>
                <c:pt idx="47">
                  <c:v>-12.36</c:v>
                </c:pt>
                <c:pt idx="48">
                  <c:v>-7.72</c:v>
                </c:pt>
                <c:pt idx="49">
                  <c:v>-10.81</c:v>
                </c:pt>
                <c:pt idx="50">
                  <c:v>-6.18</c:v>
                </c:pt>
                <c:pt idx="51">
                  <c:v>-7.72</c:v>
                </c:pt>
                <c:pt idx="52">
                  <c:v>-7.72</c:v>
                </c:pt>
                <c:pt idx="53">
                  <c:v>3.09</c:v>
                </c:pt>
                <c:pt idx="54">
                  <c:v>7.72</c:v>
                </c:pt>
                <c:pt idx="55">
                  <c:v>-3.09</c:v>
                </c:pt>
                <c:pt idx="56">
                  <c:v>-13.9</c:v>
                </c:pt>
                <c:pt idx="57">
                  <c:v>-15.45</c:v>
                </c:pt>
                <c:pt idx="58">
                  <c:v>-13.9</c:v>
                </c:pt>
                <c:pt idx="59">
                  <c:v>-10.81</c:v>
                </c:pt>
                <c:pt idx="60">
                  <c:v>-13.9</c:v>
                </c:pt>
                <c:pt idx="61">
                  <c:v>-3.09</c:v>
                </c:pt>
                <c:pt idx="62">
                  <c:v>-10.81</c:v>
                </c:pt>
                <c:pt idx="63">
                  <c:v>-9.27</c:v>
                </c:pt>
                <c:pt idx="64">
                  <c:v>-6.18</c:v>
                </c:pt>
                <c:pt idx="65">
                  <c:v>-9.27</c:v>
                </c:pt>
                <c:pt idx="66">
                  <c:v>-10.81</c:v>
                </c:pt>
                <c:pt idx="67">
                  <c:v>-7.72</c:v>
                </c:pt>
                <c:pt idx="68">
                  <c:v>-7.72</c:v>
                </c:pt>
                <c:pt idx="69">
                  <c:v>-7.72</c:v>
                </c:pt>
                <c:pt idx="70">
                  <c:v>-10.81</c:v>
                </c:pt>
                <c:pt idx="71">
                  <c:v>-7.72</c:v>
                </c:pt>
                <c:pt idx="72">
                  <c:v>-9.27</c:v>
                </c:pt>
                <c:pt idx="73">
                  <c:v>4.63</c:v>
                </c:pt>
                <c:pt idx="74">
                  <c:v>13.9</c:v>
                </c:pt>
                <c:pt idx="75">
                  <c:v>-1.55</c:v>
                </c:pt>
                <c:pt idx="76">
                  <c:v>-13.9</c:v>
                </c:pt>
                <c:pt idx="77">
                  <c:v>-15.45</c:v>
                </c:pt>
                <c:pt idx="78">
                  <c:v>-12.36</c:v>
                </c:pt>
                <c:pt idx="79">
                  <c:v>-13.9</c:v>
                </c:pt>
                <c:pt idx="80">
                  <c:v>-15.45</c:v>
                </c:pt>
                <c:pt idx="81">
                  <c:v>-4.63</c:v>
                </c:pt>
                <c:pt idx="82">
                  <c:v>-7.72</c:v>
                </c:pt>
                <c:pt idx="83">
                  <c:v>-6.18</c:v>
                </c:pt>
                <c:pt idx="84">
                  <c:v>-10.81</c:v>
                </c:pt>
                <c:pt idx="85">
                  <c:v>-9.27</c:v>
                </c:pt>
                <c:pt idx="86">
                  <c:v>-10.81</c:v>
                </c:pt>
                <c:pt idx="87">
                  <c:v>-6.18</c:v>
                </c:pt>
                <c:pt idx="88">
                  <c:v>-9.27</c:v>
                </c:pt>
                <c:pt idx="89">
                  <c:v>-9.27</c:v>
                </c:pt>
                <c:pt idx="90">
                  <c:v>-9.27</c:v>
                </c:pt>
                <c:pt idx="91">
                  <c:v>-6.18</c:v>
                </c:pt>
                <c:pt idx="92">
                  <c:v>-7.72</c:v>
                </c:pt>
                <c:pt idx="93">
                  <c:v>3.09</c:v>
                </c:pt>
                <c:pt idx="94">
                  <c:v>12.36</c:v>
                </c:pt>
                <c:pt idx="95">
                  <c:v>0</c:v>
                </c:pt>
                <c:pt idx="96">
                  <c:v>-10.81</c:v>
                </c:pt>
                <c:pt idx="97">
                  <c:v>-15.45</c:v>
                </c:pt>
                <c:pt idx="98">
                  <c:v>-16.989999999999998</c:v>
                </c:pt>
                <c:pt idx="99">
                  <c:v>-9.27</c:v>
                </c:pt>
                <c:pt idx="100">
                  <c:v>-16.989999999999998</c:v>
                </c:pt>
                <c:pt idx="101">
                  <c:v>-7.72</c:v>
                </c:pt>
                <c:pt idx="102">
                  <c:v>-3.09</c:v>
                </c:pt>
                <c:pt idx="103">
                  <c:v>-9.27</c:v>
                </c:pt>
                <c:pt idx="104">
                  <c:v>-9.27</c:v>
                </c:pt>
                <c:pt idx="105">
                  <c:v>-10.81</c:v>
                </c:pt>
                <c:pt idx="106">
                  <c:v>-9.27</c:v>
                </c:pt>
                <c:pt idx="107">
                  <c:v>-9.27</c:v>
                </c:pt>
                <c:pt idx="108">
                  <c:v>-4.63</c:v>
                </c:pt>
                <c:pt idx="109">
                  <c:v>-10.81</c:v>
                </c:pt>
                <c:pt idx="110">
                  <c:v>-6.18</c:v>
                </c:pt>
                <c:pt idx="111">
                  <c:v>-7.72</c:v>
                </c:pt>
                <c:pt idx="112">
                  <c:v>-9.27</c:v>
                </c:pt>
                <c:pt idx="113">
                  <c:v>1.54</c:v>
                </c:pt>
                <c:pt idx="114">
                  <c:v>16.989999999999998</c:v>
                </c:pt>
                <c:pt idx="115">
                  <c:v>9.27</c:v>
                </c:pt>
                <c:pt idx="116">
                  <c:v>-10.81</c:v>
                </c:pt>
                <c:pt idx="117">
                  <c:v>-16.989999999999998</c:v>
                </c:pt>
                <c:pt idx="118">
                  <c:v>-13.9</c:v>
                </c:pt>
                <c:pt idx="119">
                  <c:v>-13.9</c:v>
                </c:pt>
                <c:pt idx="120">
                  <c:v>-15.45</c:v>
                </c:pt>
                <c:pt idx="121">
                  <c:v>-10.81</c:v>
                </c:pt>
                <c:pt idx="122">
                  <c:v>-4.63</c:v>
                </c:pt>
                <c:pt idx="123">
                  <c:v>-9.27</c:v>
                </c:pt>
                <c:pt idx="124">
                  <c:v>-3.09</c:v>
                </c:pt>
                <c:pt idx="125">
                  <c:v>-10.81</c:v>
                </c:pt>
                <c:pt idx="126">
                  <c:v>-9.27</c:v>
                </c:pt>
                <c:pt idx="127">
                  <c:v>-10.81</c:v>
                </c:pt>
                <c:pt idx="128">
                  <c:v>-9.27</c:v>
                </c:pt>
                <c:pt idx="129">
                  <c:v>-9.27</c:v>
                </c:pt>
                <c:pt idx="130">
                  <c:v>-7.72</c:v>
                </c:pt>
                <c:pt idx="131">
                  <c:v>-7.72</c:v>
                </c:pt>
                <c:pt idx="132">
                  <c:v>-7.72</c:v>
                </c:pt>
                <c:pt idx="133">
                  <c:v>-1.54</c:v>
                </c:pt>
                <c:pt idx="134">
                  <c:v>16.989999999999998</c:v>
                </c:pt>
                <c:pt idx="135">
                  <c:v>12.36</c:v>
                </c:pt>
                <c:pt idx="136">
                  <c:v>-4.63</c:v>
                </c:pt>
                <c:pt idx="137">
                  <c:v>-13.9</c:v>
                </c:pt>
                <c:pt idx="138">
                  <c:v>-16.989999999999998</c:v>
                </c:pt>
                <c:pt idx="139">
                  <c:v>-13.9</c:v>
                </c:pt>
                <c:pt idx="140">
                  <c:v>-16.989999999999998</c:v>
                </c:pt>
                <c:pt idx="141">
                  <c:v>-12.36</c:v>
                </c:pt>
                <c:pt idx="142">
                  <c:v>-4.63</c:v>
                </c:pt>
                <c:pt idx="143">
                  <c:v>-6.18</c:v>
                </c:pt>
                <c:pt idx="144">
                  <c:v>-9.27</c:v>
                </c:pt>
                <c:pt idx="145">
                  <c:v>-9.27</c:v>
                </c:pt>
                <c:pt idx="146">
                  <c:v>-6.18</c:v>
                </c:pt>
                <c:pt idx="147">
                  <c:v>-12.36</c:v>
                </c:pt>
                <c:pt idx="148">
                  <c:v>-10.81</c:v>
                </c:pt>
                <c:pt idx="149">
                  <c:v>-6.18</c:v>
                </c:pt>
                <c:pt idx="150">
                  <c:v>-9.27</c:v>
                </c:pt>
                <c:pt idx="151">
                  <c:v>-6.18</c:v>
                </c:pt>
                <c:pt idx="152">
                  <c:v>-7.72</c:v>
                </c:pt>
                <c:pt idx="153">
                  <c:v>-6.18</c:v>
                </c:pt>
                <c:pt idx="154">
                  <c:v>13.9</c:v>
                </c:pt>
                <c:pt idx="155">
                  <c:v>20.079999999999998</c:v>
                </c:pt>
                <c:pt idx="156">
                  <c:v>0</c:v>
                </c:pt>
                <c:pt idx="157">
                  <c:v>-12.36</c:v>
                </c:pt>
                <c:pt idx="158">
                  <c:v>-16.989999999999998</c:v>
                </c:pt>
                <c:pt idx="159">
                  <c:v>-18.54</c:v>
                </c:pt>
                <c:pt idx="160">
                  <c:v>-15.45</c:v>
                </c:pt>
                <c:pt idx="161">
                  <c:v>-13.9</c:v>
                </c:pt>
                <c:pt idx="162">
                  <c:v>-6.18</c:v>
                </c:pt>
                <c:pt idx="163">
                  <c:v>-7.72</c:v>
                </c:pt>
                <c:pt idx="164">
                  <c:v>-7.72</c:v>
                </c:pt>
                <c:pt idx="165">
                  <c:v>-9.27</c:v>
                </c:pt>
                <c:pt idx="166">
                  <c:v>-12.36</c:v>
                </c:pt>
                <c:pt idx="167">
                  <c:v>-6.18</c:v>
                </c:pt>
                <c:pt idx="168">
                  <c:v>-9.27</c:v>
                </c:pt>
                <c:pt idx="169">
                  <c:v>-9.27</c:v>
                </c:pt>
                <c:pt idx="170">
                  <c:v>-7.72</c:v>
                </c:pt>
                <c:pt idx="171">
                  <c:v>-7.72</c:v>
                </c:pt>
                <c:pt idx="172">
                  <c:v>-9.27</c:v>
                </c:pt>
                <c:pt idx="173">
                  <c:v>-6.18</c:v>
                </c:pt>
                <c:pt idx="174">
                  <c:v>-7.72</c:v>
                </c:pt>
                <c:pt idx="175">
                  <c:v>12.36</c:v>
                </c:pt>
                <c:pt idx="176">
                  <c:v>20.079999999999998</c:v>
                </c:pt>
                <c:pt idx="177">
                  <c:v>6.18</c:v>
                </c:pt>
                <c:pt idx="178">
                  <c:v>-10.81</c:v>
                </c:pt>
                <c:pt idx="179">
                  <c:v>-21.63</c:v>
                </c:pt>
                <c:pt idx="180">
                  <c:v>-20.079999999999998</c:v>
                </c:pt>
                <c:pt idx="181">
                  <c:v>-16.989999999999998</c:v>
                </c:pt>
                <c:pt idx="182">
                  <c:v>-13.9</c:v>
                </c:pt>
                <c:pt idx="183">
                  <c:v>-3.09</c:v>
                </c:pt>
                <c:pt idx="184">
                  <c:v>-6.18</c:v>
                </c:pt>
                <c:pt idx="185">
                  <c:v>-6.18</c:v>
                </c:pt>
                <c:pt idx="186">
                  <c:v>-12.36</c:v>
                </c:pt>
                <c:pt idx="187">
                  <c:v>-7.72</c:v>
                </c:pt>
                <c:pt idx="188">
                  <c:v>-9.27</c:v>
                </c:pt>
                <c:pt idx="189">
                  <c:v>-9.27</c:v>
                </c:pt>
                <c:pt idx="190">
                  <c:v>-7.72</c:v>
                </c:pt>
                <c:pt idx="191">
                  <c:v>-7.72</c:v>
                </c:pt>
                <c:pt idx="192">
                  <c:v>-7.72</c:v>
                </c:pt>
                <c:pt idx="193">
                  <c:v>-6.18</c:v>
                </c:pt>
                <c:pt idx="194">
                  <c:v>-9.27</c:v>
                </c:pt>
                <c:pt idx="195">
                  <c:v>-1.54</c:v>
                </c:pt>
                <c:pt idx="196">
                  <c:v>15.45</c:v>
                </c:pt>
                <c:pt idx="197">
                  <c:v>18.54</c:v>
                </c:pt>
                <c:pt idx="198">
                  <c:v>0</c:v>
                </c:pt>
                <c:pt idx="199">
                  <c:v>-16.989999999999998</c:v>
                </c:pt>
                <c:pt idx="200">
                  <c:v>-20.079999999999998</c:v>
                </c:pt>
                <c:pt idx="201">
                  <c:v>-12.36</c:v>
                </c:pt>
                <c:pt idx="202">
                  <c:v>-23.17</c:v>
                </c:pt>
                <c:pt idx="203">
                  <c:v>-7.72</c:v>
                </c:pt>
                <c:pt idx="204">
                  <c:v>-1.54</c:v>
                </c:pt>
                <c:pt idx="205">
                  <c:v>-6.18</c:v>
                </c:pt>
                <c:pt idx="206">
                  <c:v>-7.72</c:v>
                </c:pt>
                <c:pt idx="207">
                  <c:v>-4.63</c:v>
                </c:pt>
                <c:pt idx="208">
                  <c:v>-10.81</c:v>
                </c:pt>
                <c:pt idx="209">
                  <c:v>-12.36</c:v>
                </c:pt>
                <c:pt idx="210">
                  <c:v>-4.63</c:v>
                </c:pt>
                <c:pt idx="211">
                  <c:v>-7.72</c:v>
                </c:pt>
                <c:pt idx="212">
                  <c:v>-9.27</c:v>
                </c:pt>
                <c:pt idx="213">
                  <c:v>-6.18</c:v>
                </c:pt>
                <c:pt idx="214">
                  <c:v>-4.63</c:v>
                </c:pt>
                <c:pt idx="215">
                  <c:v>-7.72</c:v>
                </c:pt>
                <c:pt idx="216">
                  <c:v>7.72</c:v>
                </c:pt>
                <c:pt idx="217">
                  <c:v>20.079999999999998</c:v>
                </c:pt>
                <c:pt idx="218">
                  <c:v>10.81</c:v>
                </c:pt>
                <c:pt idx="219">
                  <c:v>-7.72</c:v>
                </c:pt>
                <c:pt idx="220">
                  <c:v>-18.54</c:v>
                </c:pt>
                <c:pt idx="221">
                  <c:v>-23.17</c:v>
                </c:pt>
                <c:pt idx="222">
                  <c:v>-16.989999999999998</c:v>
                </c:pt>
                <c:pt idx="223">
                  <c:v>-13.9</c:v>
                </c:pt>
                <c:pt idx="224">
                  <c:v>-7.72</c:v>
                </c:pt>
                <c:pt idx="225">
                  <c:v>-4.63</c:v>
                </c:pt>
                <c:pt idx="226">
                  <c:v>-10.81</c:v>
                </c:pt>
                <c:pt idx="227">
                  <c:v>-6.18</c:v>
                </c:pt>
                <c:pt idx="228">
                  <c:v>-9.27</c:v>
                </c:pt>
                <c:pt idx="229">
                  <c:v>-10.81</c:v>
                </c:pt>
                <c:pt idx="230">
                  <c:v>-7.72</c:v>
                </c:pt>
                <c:pt idx="231">
                  <c:v>-6.18</c:v>
                </c:pt>
                <c:pt idx="232">
                  <c:v>-10.81</c:v>
                </c:pt>
                <c:pt idx="233">
                  <c:v>-4.63</c:v>
                </c:pt>
                <c:pt idx="234">
                  <c:v>-10.81</c:v>
                </c:pt>
                <c:pt idx="235">
                  <c:v>-3.09</c:v>
                </c:pt>
                <c:pt idx="236">
                  <c:v>3.09</c:v>
                </c:pt>
                <c:pt idx="237">
                  <c:v>21.63</c:v>
                </c:pt>
                <c:pt idx="238">
                  <c:v>15.45</c:v>
                </c:pt>
                <c:pt idx="239">
                  <c:v>0</c:v>
                </c:pt>
                <c:pt idx="240">
                  <c:v>-15.45</c:v>
                </c:pt>
                <c:pt idx="241">
                  <c:v>-20.079999999999998</c:v>
                </c:pt>
                <c:pt idx="242">
                  <c:v>-18.54</c:v>
                </c:pt>
                <c:pt idx="243">
                  <c:v>-23.17</c:v>
                </c:pt>
                <c:pt idx="244">
                  <c:v>-6.18</c:v>
                </c:pt>
                <c:pt idx="245">
                  <c:v>-6.18</c:v>
                </c:pt>
                <c:pt idx="246">
                  <c:v>-7.72</c:v>
                </c:pt>
                <c:pt idx="247">
                  <c:v>-4.63</c:v>
                </c:pt>
                <c:pt idx="248">
                  <c:v>-7.72</c:v>
                </c:pt>
                <c:pt idx="249">
                  <c:v>-12.36</c:v>
                </c:pt>
                <c:pt idx="250">
                  <c:v>-10.81</c:v>
                </c:pt>
                <c:pt idx="251">
                  <c:v>-7.72</c:v>
                </c:pt>
                <c:pt idx="252">
                  <c:v>-3.09</c:v>
                </c:pt>
                <c:pt idx="253">
                  <c:v>-7.72</c:v>
                </c:pt>
                <c:pt idx="254">
                  <c:v>-3.09</c:v>
                </c:pt>
                <c:pt idx="255">
                  <c:v>-6.18</c:v>
                </c:pt>
                <c:pt idx="256">
                  <c:v>-6.18</c:v>
                </c:pt>
                <c:pt idx="257">
                  <c:v>10.81</c:v>
                </c:pt>
                <c:pt idx="258">
                  <c:v>23.17</c:v>
                </c:pt>
                <c:pt idx="259">
                  <c:v>6.18</c:v>
                </c:pt>
                <c:pt idx="260">
                  <c:v>-3.09</c:v>
                </c:pt>
                <c:pt idx="261">
                  <c:v>-16.989999999999998</c:v>
                </c:pt>
                <c:pt idx="262">
                  <c:v>-20.079999999999998</c:v>
                </c:pt>
                <c:pt idx="263">
                  <c:v>-21.63</c:v>
                </c:pt>
                <c:pt idx="264">
                  <c:v>-13.9</c:v>
                </c:pt>
                <c:pt idx="265">
                  <c:v>-4.63</c:v>
                </c:pt>
                <c:pt idx="266">
                  <c:v>-1.54</c:v>
                </c:pt>
                <c:pt idx="267">
                  <c:v>-7.72</c:v>
                </c:pt>
                <c:pt idx="268">
                  <c:v>-9.27</c:v>
                </c:pt>
                <c:pt idx="269">
                  <c:v>-7.72</c:v>
                </c:pt>
                <c:pt idx="270">
                  <c:v>-10.81</c:v>
                </c:pt>
                <c:pt idx="271">
                  <c:v>-10.81</c:v>
                </c:pt>
                <c:pt idx="272">
                  <c:v>-6.18</c:v>
                </c:pt>
                <c:pt idx="273">
                  <c:v>-4.63</c:v>
                </c:pt>
                <c:pt idx="274">
                  <c:v>-6.18</c:v>
                </c:pt>
                <c:pt idx="275">
                  <c:v>-9.27</c:v>
                </c:pt>
                <c:pt idx="276">
                  <c:v>-4.63</c:v>
                </c:pt>
                <c:pt idx="277">
                  <c:v>6.18</c:v>
                </c:pt>
                <c:pt idx="278">
                  <c:v>23.17</c:v>
                </c:pt>
                <c:pt idx="279">
                  <c:v>18.54</c:v>
                </c:pt>
                <c:pt idx="280">
                  <c:v>0</c:v>
                </c:pt>
                <c:pt idx="281">
                  <c:v>-9.27</c:v>
                </c:pt>
                <c:pt idx="282">
                  <c:v>-20.079999999999998</c:v>
                </c:pt>
                <c:pt idx="283">
                  <c:v>-24.71</c:v>
                </c:pt>
                <c:pt idx="284">
                  <c:v>-23.17</c:v>
                </c:pt>
                <c:pt idx="285">
                  <c:v>-10.81</c:v>
                </c:pt>
                <c:pt idx="286">
                  <c:v>-4.63</c:v>
                </c:pt>
                <c:pt idx="287">
                  <c:v>-7.72</c:v>
                </c:pt>
                <c:pt idx="288">
                  <c:v>-3.09</c:v>
                </c:pt>
                <c:pt idx="289">
                  <c:v>-9.27</c:v>
                </c:pt>
                <c:pt idx="290">
                  <c:v>-9.27</c:v>
                </c:pt>
                <c:pt idx="291">
                  <c:v>-7.72</c:v>
                </c:pt>
                <c:pt idx="292">
                  <c:v>-10.81</c:v>
                </c:pt>
                <c:pt idx="293">
                  <c:v>-10.81</c:v>
                </c:pt>
                <c:pt idx="294">
                  <c:v>-6.18</c:v>
                </c:pt>
                <c:pt idx="295">
                  <c:v>-4.63</c:v>
                </c:pt>
                <c:pt idx="296">
                  <c:v>-7.72</c:v>
                </c:pt>
                <c:pt idx="297">
                  <c:v>6.18</c:v>
                </c:pt>
                <c:pt idx="298">
                  <c:v>23.17</c:v>
                </c:pt>
                <c:pt idx="299">
                  <c:v>18.54</c:v>
                </c:pt>
                <c:pt idx="300">
                  <c:v>4.63</c:v>
                </c:pt>
                <c:pt idx="301">
                  <c:v>-9.27</c:v>
                </c:pt>
                <c:pt idx="302">
                  <c:v>-23.17</c:v>
                </c:pt>
                <c:pt idx="303">
                  <c:v>-23.17</c:v>
                </c:pt>
                <c:pt idx="304">
                  <c:v>-26.26</c:v>
                </c:pt>
                <c:pt idx="305">
                  <c:v>-12.36</c:v>
                </c:pt>
                <c:pt idx="306">
                  <c:v>-6.18</c:v>
                </c:pt>
                <c:pt idx="307">
                  <c:v>-6.18</c:v>
                </c:pt>
                <c:pt idx="308">
                  <c:v>-4.63</c:v>
                </c:pt>
                <c:pt idx="309">
                  <c:v>-7.72</c:v>
                </c:pt>
                <c:pt idx="310">
                  <c:v>-12.36</c:v>
                </c:pt>
                <c:pt idx="311">
                  <c:v>-10.81</c:v>
                </c:pt>
                <c:pt idx="312">
                  <c:v>-7.72</c:v>
                </c:pt>
                <c:pt idx="313">
                  <c:v>-7.72</c:v>
                </c:pt>
                <c:pt idx="314">
                  <c:v>-6.18</c:v>
                </c:pt>
                <c:pt idx="315">
                  <c:v>-4.63</c:v>
                </c:pt>
                <c:pt idx="316">
                  <c:v>-4.63</c:v>
                </c:pt>
                <c:pt idx="317">
                  <c:v>-6.18</c:v>
                </c:pt>
                <c:pt idx="318">
                  <c:v>15.45</c:v>
                </c:pt>
                <c:pt idx="319">
                  <c:v>26.26</c:v>
                </c:pt>
                <c:pt idx="320">
                  <c:v>16.989999999999998</c:v>
                </c:pt>
                <c:pt idx="321">
                  <c:v>-3.09</c:v>
                </c:pt>
                <c:pt idx="322">
                  <c:v>-18.54</c:v>
                </c:pt>
                <c:pt idx="323">
                  <c:v>-21.63</c:v>
                </c:pt>
                <c:pt idx="324">
                  <c:v>-30.89</c:v>
                </c:pt>
                <c:pt idx="325">
                  <c:v>-18.54</c:v>
                </c:pt>
                <c:pt idx="326">
                  <c:v>-6.18</c:v>
                </c:pt>
                <c:pt idx="327">
                  <c:v>0</c:v>
                </c:pt>
                <c:pt idx="328">
                  <c:v>-4.63</c:v>
                </c:pt>
                <c:pt idx="329">
                  <c:v>-12.36</c:v>
                </c:pt>
                <c:pt idx="330">
                  <c:v>-6.18</c:v>
                </c:pt>
                <c:pt idx="331">
                  <c:v>-6.18</c:v>
                </c:pt>
                <c:pt idx="332">
                  <c:v>-10.81</c:v>
                </c:pt>
                <c:pt idx="333">
                  <c:v>-7.72</c:v>
                </c:pt>
                <c:pt idx="334">
                  <c:v>-6.18</c:v>
                </c:pt>
                <c:pt idx="335">
                  <c:v>-9.27</c:v>
                </c:pt>
                <c:pt idx="336">
                  <c:v>-7.72</c:v>
                </c:pt>
                <c:pt idx="337">
                  <c:v>-4.63</c:v>
                </c:pt>
                <c:pt idx="338">
                  <c:v>16.989999999999998</c:v>
                </c:pt>
                <c:pt idx="339">
                  <c:v>29.35</c:v>
                </c:pt>
                <c:pt idx="340">
                  <c:v>12.36</c:v>
                </c:pt>
                <c:pt idx="341">
                  <c:v>7.72</c:v>
                </c:pt>
                <c:pt idx="342">
                  <c:v>-13.9</c:v>
                </c:pt>
                <c:pt idx="343">
                  <c:v>-15.45</c:v>
                </c:pt>
                <c:pt idx="344">
                  <c:v>-32.44</c:v>
                </c:pt>
                <c:pt idx="345">
                  <c:v>-21.63</c:v>
                </c:pt>
                <c:pt idx="346">
                  <c:v>-10.81</c:v>
                </c:pt>
                <c:pt idx="347">
                  <c:v>-3.09</c:v>
                </c:pt>
                <c:pt idx="348">
                  <c:v>-6.18</c:v>
                </c:pt>
                <c:pt idx="349">
                  <c:v>-7.72</c:v>
                </c:pt>
                <c:pt idx="350">
                  <c:v>-6.18</c:v>
                </c:pt>
                <c:pt idx="351">
                  <c:v>-7.72</c:v>
                </c:pt>
                <c:pt idx="352">
                  <c:v>-10.81</c:v>
                </c:pt>
                <c:pt idx="353">
                  <c:v>-7.72</c:v>
                </c:pt>
                <c:pt idx="354">
                  <c:v>-7.72</c:v>
                </c:pt>
                <c:pt idx="355">
                  <c:v>-6.18</c:v>
                </c:pt>
                <c:pt idx="356">
                  <c:v>-6.18</c:v>
                </c:pt>
                <c:pt idx="357">
                  <c:v>-6.18</c:v>
                </c:pt>
                <c:pt idx="358">
                  <c:v>13.9</c:v>
                </c:pt>
                <c:pt idx="359">
                  <c:v>32.44</c:v>
                </c:pt>
                <c:pt idx="360">
                  <c:v>23.17</c:v>
                </c:pt>
                <c:pt idx="361">
                  <c:v>1.54</c:v>
                </c:pt>
                <c:pt idx="362">
                  <c:v>-12.36</c:v>
                </c:pt>
                <c:pt idx="363">
                  <c:v>-13.9</c:v>
                </c:pt>
                <c:pt idx="364">
                  <c:v>-26.26</c:v>
                </c:pt>
                <c:pt idx="365">
                  <c:v>-30.89</c:v>
                </c:pt>
                <c:pt idx="366">
                  <c:v>-16.989999999999998</c:v>
                </c:pt>
                <c:pt idx="367">
                  <c:v>-4.63</c:v>
                </c:pt>
                <c:pt idx="368">
                  <c:v>-9.27</c:v>
                </c:pt>
                <c:pt idx="369">
                  <c:v>-6.18</c:v>
                </c:pt>
                <c:pt idx="370">
                  <c:v>-10.81</c:v>
                </c:pt>
                <c:pt idx="371">
                  <c:v>-9.27</c:v>
                </c:pt>
                <c:pt idx="372">
                  <c:v>-7.72</c:v>
                </c:pt>
                <c:pt idx="373">
                  <c:v>-9.27</c:v>
                </c:pt>
                <c:pt idx="374">
                  <c:v>-6.18</c:v>
                </c:pt>
                <c:pt idx="375">
                  <c:v>-4.63</c:v>
                </c:pt>
                <c:pt idx="376">
                  <c:v>-7.72</c:v>
                </c:pt>
                <c:pt idx="377">
                  <c:v>-4.63</c:v>
                </c:pt>
                <c:pt idx="378">
                  <c:v>18.54</c:v>
                </c:pt>
                <c:pt idx="379">
                  <c:v>29.35</c:v>
                </c:pt>
                <c:pt idx="380">
                  <c:v>18.54</c:v>
                </c:pt>
                <c:pt idx="381">
                  <c:v>0</c:v>
                </c:pt>
                <c:pt idx="382">
                  <c:v>-10.81</c:v>
                </c:pt>
                <c:pt idx="383">
                  <c:v>-16.989999999999998</c:v>
                </c:pt>
                <c:pt idx="384">
                  <c:v>-24.71</c:v>
                </c:pt>
                <c:pt idx="385">
                  <c:v>-30.89</c:v>
                </c:pt>
                <c:pt idx="386">
                  <c:v>-13.9</c:v>
                </c:pt>
                <c:pt idx="387">
                  <c:v>-6.18</c:v>
                </c:pt>
                <c:pt idx="388">
                  <c:v>-9.27</c:v>
                </c:pt>
                <c:pt idx="389">
                  <c:v>-4.63</c:v>
                </c:pt>
                <c:pt idx="390">
                  <c:v>-4.63</c:v>
                </c:pt>
                <c:pt idx="391">
                  <c:v>-12.36</c:v>
                </c:pt>
                <c:pt idx="392">
                  <c:v>-10.81</c:v>
                </c:pt>
                <c:pt idx="393">
                  <c:v>-7.72</c:v>
                </c:pt>
                <c:pt idx="394">
                  <c:v>-7.72</c:v>
                </c:pt>
                <c:pt idx="395">
                  <c:v>-6.18</c:v>
                </c:pt>
                <c:pt idx="396">
                  <c:v>-4.63</c:v>
                </c:pt>
                <c:pt idx="397">
                  <c:v>4.63</c:v>
                </c:pt>
                <c:pt idx="398">
                  <c:v>27.8</c:v>
                </c:pt>
                <c:pt idx="399">
                  <c:v>26.26</c:v>
                </c:pt>
                <c:pt idx="400">
                  <c:v>13.9</c:v>
                </c:pt>
                <c:pt idx="401">
                  <c:v>-12.36</c:v>
                </c:pt>
                <c:pt idx="402">
                  <c:v>-10.81</c:v>
                </c:pt>
                <c:pt idx="403">
                  <c:v>-24.71</c:v>
                </c:pt>
                <c:pt idx="404">
                  <c:v>-27.8</c:v>
                </c:pt>
                <c:pt idx="405">
                  <c:v>-21.63</c:v>
                </c:pt>
                <c:pt idx="406">
                  <c:v>-10.81</c:v>
                </c:pt>
                <c:pt idx="407">
                  <c:v>-7.72</c:v>
                </c:pt>
                <c:pt idx="408">
                  <c:v>-6.18</c:v>
                </c:pt>
                <c:pt idx="409">
                  <c:v>-9.27</c:v>
                </c:pt>
                <c:pt idx="410">
                  <c:v>-6.18</c:v>
                </c:pt>
                <c:pt idx="411">
                  <c:v>-6.18</c:v>
                </c:pt>
                <c:pt idx="412">
                  <c:v>-9.27</c:v>
                </c:pt>
                <c:pt idx="413">
                  <c:v>-6.18</c:v>
                </c:pt>
                <c:pt idx="414">
                  <c:v>-7.72</c:v>
                </c:pt>
                <c:pt idx="415">
                  <c:v>-6.18</c:v>
                </c:pt>
                <c:pt idx="416">
                  <c:v>-4.63</c:v>
                </c:pt>
                <c:pt idx="417">
                  <c:v>20.079999999999998</c:v>
                </c:pt>
                <c:pt idx="418">
                  <c:v>30.89</c:v>
                </c:pt>
                <c:pt idx="419">
                  <c:v>23.17</c:v>
                </c:pt>
                <c:pt idx="420">
                  <c:v>0</c:v>
                </c:pt>
                <c:pt idx="421">
                  <c:v>-12.36</c:v>
                </c:pt>
                <c:pt idx="422">
                  <c:v>-16.989999999999998</c:v>
                </c:pt>
                <c:pt idx="423">
                  <c:v>-24.71</c:v>
                </c:pt>
                <c:pt idx="424">
                  <c:v>-26.26</c:v>
                </c:pt>
                <c:pt idx="425">
                  <c:v>-18.54</c:v>
                </c:pt>
                <c:pt idx="426">
                  <c:v>-7.72</c:v>
                </c:pt>
                <c:pt idx="427">
                  <c:v>-6.18</c:v>
                </c:pt>
                <c:pt idx="428">
                  <c:v>-6.18</c:v>
                </c:pt>
                <c:pt idx="429">
                  <c:v>-9.27</c:v>
                </c:pt>
                <c:pt idx="430">
                  <c:v>-6.18</c:v>
                </c:pt>
                <c:pt idx="431">
                  <c:v>-10.81</c:v>
                </c:pt>
                <c:pt idx="432">
                  <c:v>-7.72</c:v>
                </c:pt>
                <c:pt idx="433">
                  <c:v>-6.18</c:v>
                </c:pt>
                <c:pt idx="434">
                  <c:v>-6.18</c:v>
                </c:pt>
                <c:pt idx="435">
                  <c:v>-7.72</c:v>
                </c:pt>
                <c:pt idx="436">
                  <c:v>4.63</c:v>
                </c:pt>
                <c:pt idx="437">
                  <c:v>26.26</c:v>
                </c:pt>
                <c:pt idx="438">
                  <c:v>32.44</c:v>
                </c:pt>
                <c:pt idx="439">
                  <c:v>12.36</c:v>
                </c:pt>
                <c:pt idx="440">
                  <c:v>-4.63</c:v>
                </c:pt>
                <c:pt idx="441">
                  <c:v>-7.72</c:v>
                </c:pt>
                <c:pt idx="442">
                  <c:v>-18.54</c:v>
                </c:pt>
                <c:pt idx="443">
                  <c:v>-24.71</c:v>
                </c:pt>
                <c:pt idx="444">
                  <c:v>-21.63</c:v>
                </c:pt>
                <c:pt idx="445">
                  <c:v>-20.079999999999998</c:v>
                </c:pt>
                <c:pt idx="446">
                  <c:v>-12.36</c:v>
                </c:pt>
                <c:pt idx="447">
                  <c:v>-7.72</c:v>
                </c:pt>
                <c:pt idx="448">
                  <c:v>-12.36</c:v>
                </c:pt>
                <c:pt idx="449">
                  <c:v>-6.18</c:v>
                </c:pt>
                <c:pt idx="450">
                  <c:v>-9.27</c:v>
                </c:pt>
                <c:pt idx="451">
                  <c:v>-7.72</c:v>
                </c:pt>
                <c:pt idx="452">
                  <c:v>-7.72</c:v>
                </c:pt>
                <c:pt idx="453">
                  <c:v>-6.18</c:v>
                </c:pt>
                <c:pt idx="454">
                  <c:v>-4.63</c:v>
                </c:pt>
                <c:pt idx="455">
                  <c:v>-6.18</c:v>
                </c:pt>
                <c:pt idx="456">
                  <c:v>6.18</c:v>
                </c:pt>
                <c:pt idx="457">
                  <c:v>29.35</c:v>
                </c:pt>
                <c:pt idx="458">
                  <c:v>30.89</c:v>
                </c:pt>
                <c:pt idx="459">
                  <c:v>9.27</c:v>
                </c:pt>
                <c:pt idx="460">
                  <c:v>-6.18</c:v>
                </c:pt>
                <c:pt idx="461">
                  <c:v>-9.27</c:v>
                </c:pt>
                <c:pt idx="462">
                  <c:v>-16.989999999999998</c:v>
                </c:pt>
                <c:pt idx="463">
                  <c:v>-23.17</c:v>
                </c:pt>
                <c:pt idx="464">
                  <c:v>-23.17</c:v>
                </c:pt>
                <c:pt idx="465">
                  <c:v>-16.989999999999998</c:v>
                </c:pt>
                <c:pt idx="466">
                  <c:v>-12.36</c:v>
                </c:pt>
                <c:pt idx="467">
                  <c:v>-12.36</c:v>
                </c:pt>
                <c:pt idx="468">
                  <c:v>-7.72</c:v>
                </c:pt>
                <c:pt idx="469">
                  <c:v>-9.27</c:v>
                </c:pt>
                <c:pt idx="470">
                  <c:v>-9.27</c:v>
                </c:pt>
                <c:pt idx="471">
                  <c:v>-7.72</c:v>
                </c:pt>
                <c:pt idx="472">
                  <c:v>-4.63</c:v>
                </c:pt>
                <c:pt idx="473">
                  <c:v>-9.27</c:v>
                </c:pt>
                <c:pt idx="474">
                  <c:v>-4.63</c:v>
                </c:pt>
                <c:pt idx="475">
                  <c:v>-4.63</c:v>
                </c:pt>
                <c:pt idx="476">
                  <c:v>3.09</c:v>
                </c:pt>
                <c:pt idx="477">
                  <c:v>29.35</c:v>
                </c:pt>
                <c:pt idx="478">
                  <c:v>32.44</c:v>
                </c:pt>
                <c:pt idx="479">
                  <c:v>13.9</c:v>
                </c:pt>
                <c:pt idx="480">
                  <c:v>-6.18</c:v>
                </c:pt>
                <c:pt idx="481">
                  <c:v>-7.72</c:v>
                </c:pt>
                <c:pt idx="482">
                  <c:v>-16.989999999999998</c:v>
                </c:pt>
                <c:pt idx="483">
                  <c:v>-20.079999999999998</c:v>
                </c:pt>
                <c:pt idx="484">
                  <c:v>-23.17</c:v>
                </c:pt>
                <c:pt idx="485">
                  <c:v>-15.45</c:v>
                </c:pt>
                <c:pt idx="486">
                  <c:v>-15.45</c:v>
                </c:pt>
                <c:pt idx="487">
                  <c:v>-9.27</c:v>
                </c:pt>
                <c:pt idx="488">
                  <c:v>-10.81</c:v>
                </c:pt>
                <c:pt idx="489">
                  <c:v>-6.18</c:v>
                </c:pt>
                <c:pt idx="490">
                  <c:v>-7.72</c:v>
                </c:pt>
                <c:pt idx="491">
                  <c:v>-9.27</c:v>
                </c:pt>
                <c:pt idx="492">
                  <c:v>-7.72</c:v>
                </c:pt>
                <c:pt idx="493">
                  <c:v>-6.18</c:v>
                </c:pt>
                <c:pt idx="494">
                  <c:v>-7.72</c:v>
                </c:pt>
                <c:pt idx="495">
                  <c:v>-4.63</c:v>
                </c:pt>
                <c:pt idx="496">
                  <c:v>6.18</c:v>
                </c:pt>
                <c:pt idx="497">
                  <c:v>30.89</c:v>
                </c:pt>
                <c:pt idx="498">
                  <c:v>35.53</c:v>
                </c:pt>
                <c:pt idx="499">
                  <c:v>9.27</c:v>
                </c:pt>
                <c:pt idx="500">
                  <c:v>-6.18</c:v>
                </c:pt>
                <c:pt idx="501">
                  <c:v>-6.18</c:v>
                </c:pt>
                <c:pt idx="502">
                  <c:v>-13.9</c:v>
                </c:pt>
                <c:pt idx="503">
                  <c:v>-20.079999999999998</c:v>
                </c:pt>
                <c:pt idx="504">
                  <c:v>-16.989999999999998</c:v>
                </c:pt>
                <c:pt idx="505">
                  <c:v>-13.9</c:v>
                </c:pt>
                <c:pt idx="506">
                  <c:v>-12.36</c:v>
                </c:pt>
                <c:pt idx="507">
                  <c:v>-16.989999999999998</c:v>
                </c:pt>
                <c:pt idx="508">
                  <c:v>-15.45</c:v>
                </c:pt>
                <c:pt idx="509">
                  <c:v>-12.36</c:v>
                </c:pt>
                <c:pt idx="510">
                  <c:v>-7.72</c:v>
                </c:pt>
                <c:pt idx="511">
                  <c:v>-7.72</c:v>
                </c:pt>
                <c:pt idx="512">
                  <c:v>-6.18</c:v>
                </c:pt>
                <c:pt idx="513">
                  <c:v>-10.81</c:v>
                </c:pt>
                <c:pt idx="514">
                  <c:v>-4.63</c:v>
                </c:pt>
                <c:pt idx="515">
                  <c:v>-3.09</c:v>
                </c:pt>
                <c:pt idx="516">
                  <c:v>6.18</c:v>
                </c:pt>
                <c:pt idx="517">
                  <c:v>30.89</c:v>
                </c:pt>
                <c:pt idx="518">
                  <c:v>40.159999999999997</c:v>
                </c:pt>
                <c:pt idx="519">
                  <c:v>9.27</c:v>
                </c:pt>
                <c:pt idx="520">
                  <c:v>-1.54</c:v>
                </c:pt>
                <c:pt idx="521">
                  <c:v>-10.81</c:v>
                </c:pt>
                <c:pt idx="522">
                  <c:v>-15.45</c:v>
                </c:pt>
                <c:pt idx="523">
                  <c:v>-16.989999999999998</c:v>
                </c:pt>
                <c:pt idx="524">
                  <c:v>-15.45</c:v>
                </c:pt>
                <c:pt idx="525">
                  <c:v>-18.54</c:v>
                </c:pt>
                <c:pt idx="526">
                  <c:v>-9.27</c:v>
                </c:pt>
                <c:pt idx="527">
                  <c:v>-18.54</c:v>
                </c:pt>
                <c:pt idx="528">
                  <c:v>-10.81</c:v>
                </c:pt>
                <c:pt idx="529">
                  <c:v>-16.989999999999998</c:v>
                </c:pt>
                <c:pt idx="530">
                  <c:v>-9.27</c:v>
                </c:pt>
                <c:pt idx="531">
                  <c:v>-10.81</c:v>
                </c:pt>
                <c:pt idx="532">
                  <c:v>-6.18</c:v>
                </c:pt>
                <c:pt idx="533">
                  <c:v>-7.72</c:v>
                </c:pt>
                <c:pt idx="534">
                  <c:v>-4.63</c:v>
                </c:pt>
                <c:pt idx="535">
                  <c:v>-9.27</c:v>
                </c:pt>
                <c:pt idx="536">
                  <c:v>-1.54</c:v>
                </c:pt>
                <c:pt idx="537">
                  <c:v>29.35</c:v>
                </c:pt>
                <c:pt idx="538">
                  <c:v>40.159999999999997</c:v>
                </c:pt>
                <c:pt idx="539">
                  <c:v>20.079999999999998</c:v>
                </c:pt>
                <c:pt idx="540">
                  <c:v>0</c:v>
                </c:pt>
                <c:pt idx="541">
                  <c:v>-10.81</c:v>
                </c:pt>
                <c:pt idx="542">
                  <c:v>-6.18</c:v>
                </c:pt>
                <c:pt idx="543">
                  <c:v>-12.36</c:v>
                </c:pt>
                <c:pt idx="544">
                  <c:v>-16.989999999999998</c:v>
                </c:pt>
                <c:pt idx="545">
                  <c:v>-12.36</c:v>
                </c:pt>
                <c:pt idx="546">
                  <c:v>-12.36</c:v>
                </c:pt>
                <c:pt idx="547">
                  <c:v>-16.989999999999998</c:v>
                </c:pt>
                <c:pt idx="548">
                  <c:v>-12.36</c:v>
                </c:pt>
                <c:pt idx="549">
                  <c:v>-15.45</c:v>
                </c:pt>
                <c:pt idx="550">
                  <c:v>-12.36</c:v>
                </c:pt>
                <c:pt idx="551">
                  <c:v>-15.45</c:v>
                </c:pt>
                <c:pt idx="552">
                  <c:v>-7.72</c:v>
                </c:pt>
                <c:pt idx="553">
                  <c:v>-7.72</c:v>
                </c:pt>
                <c:pt idx="554">
                  <c:v>-6.18</c:v>
                </c:pt>
                <c:pt idx="555">
                  <c:v>-4.63</c:v>
                </c:pt>
                <c:pt idx="556">
                  <c:v>-4.63</c:v>
                </c:pt>
                <c:pt idx="557">
                  <c:v>10.81</c:v>
                </c:pt>
                <c:pt idx="558">
                  <c:v>38.619999999999997</c:v>
                </c:pt>
                <c:pt idx="559">
                  <c:v>33.979999999999997</c:v>
                </c:pt>
                <c:pt idx="560">
                  <c:v>3.09</c:v>
                </c:pt>
                <c:pt idx="561">
                  <c:v>-1.54</c:v>
                </c:pt>
                <c:pt idx="562">
                  <c:v>6.18</c:v>
                </c:pt>
                <c:pt idx="563">
                  <c:v>-6.18</c:v>
                </c:pt>
                <c:pt idx="564">
                  <c:v>-12.36</c:v>
                </c:pt>
                <c:pt idx="565">
                  <c:v>-10.81</c:v>
                </c:pt>
                <c:pt idx="566">
                  <c:v>-9.27</c:v>
                </c:pt>
                <c:pt idx="567">
                  <c:v>-18.54</c:v>
                </c:pt>
                <c:pt idx="568">
                  <c:v>-16.989999999999998</c:v>
                </c:pt>
                <c:pt idx="569">
                  <c:v>-15.45</c:v>
                </c:pt>
                <c:pt idx="570">
                  <c:v>-24.71</c:v>
                </c:pt>
                <c:pt idx="571">
                  <c:v>-15.45</c:v>
                </c:pt>
                <c:pt idx="572">
                  <c:v>-13.9</c:v>
                </c:pt>
                <c:pt idx="573">
                  <c:v>-10.81</c:v>
                </c:pt>
                <c:pt idx="574">
                  <c:v>-10.81</c:v>
                </c:pt>
                <c:pt idx="575">
                  <c:v>-3.09</c:v>
                </c:pt>
                <c:pt idx="576">
                  <c:v>-9.27</c:v>
                </c:pt>
                <c:pt idx="577">
                  <c:v>-3.09</c:v>
                </c:pt>
                <c:pt idx="578">
                  <c:v>24.71</c:v>
                </c:pt>
                <c:pt idx="579">
                  <c:v>38.619999999999997</c:v>
                </c:pt>
                <c:pt idx="580">
                  <c:v>26.26</c:v>
                </c:pt>
                <c:pt idx="581">
                  <c:v>6.18</c:v>
                </c:pt>
                <c:pt idx="582">
                  <c:v>9.27</c:v>
                </c:pt>
                <c:pt idx="583">
                  <c:v>0</c:v>
                </c:pt>
                <c:pt idx="584">
                  <c:v>-10.81</c:v>
                </c:pt>
                <c:pt idx="585">
                  <c:v>-12.36</c:v>
                </c:pt>
                <c:pt idx="586">
                  <c:v>-16.989999999999998</c:v>
                </c:pt>
                <c:pt idx="587">
                  <c:v>-13.9</c:v>
                </c:pt>
                <c:pt idx="588">
                  <c:v>-12.36</c:v>
                </c:pt>
                <c:pt idx="589">
                  <c:v>-18.54</c:v>
                </c:pt>
                <c:pt idx="590">
                  <c:v>-16.989999999999998</c:v>
                </c:pt>
                <c:pt idx="591">
                  <c:v>-16.989999999999998</c:v>
                </c:pt>
                <c:pt idx="592">
                  <c:v>-15.45</c:v>
                </c:pt>
                <c:pt idx="593">
                  <c:v>-15.45</c:v>
                </c:pt>
                <c:pt idx="594">
                  <c:v>-7.72</c:v>
                </c:pt>
                <c:pt idx="595">
                  <c:v>-10.81</c:v>
                </c:pt>
                <c:pt idx="596">
                  <c:v>-6.18</c:v>
                </c:pt>
                <c:pt idx="597">
                  <c:v>-1.54</c:v>
                </c:pt>
                <c:pt idx="598">
                  <c:v>-1.54</c:v>
                </c:pt>
                <c:pt idx="599">
                  <c:v>21.63</c:v>
                </c:pt>
                <c:pt idx="600">
                  <c:v>41.71</c:v>
                </c:pt>
                <c:pt idx="601">
                  <c:v>24.71</c:v>
                </c:pt>
                <c:pt idx="602">
                  <c:v>18.54</c:v>
                </c:pt>
                <c:pt idx="603">
                  <c:v>4.63</c:v>
                </c:pt>
                <c:pt idx="604">
                  <c:v>-1.55</c:v>
                </c:pt>
                <c:pt idx="605">
                  <c:v>-9.27</c:v>
                </c:pt>
                <c:pt idx="606">
                  <c:v>-13.9</c:v>
                </c:pt>
                <c:pt idx="607">
                  <c:v>-10.81</c:v>
                </c:pt>
                <c:pt idx="608">
                  <c:v>-9.27</c:v>
                </c:pt>
                <c:pt idx="609">
                  <c:v>-12.36</c:v>
                </c:pt>
                <c:pt idx="610">
                  <c:v>-15.45</c:v>
                </c:pt>
                <c:pt idx="611">
                  <c:v>-10.81</c:v>
                </c:pt>
                <c:pt idx="612">
                  <c:v>-13.9</c:v>
                </c:pt>
                <c:pt idx="613">
                  <c:v>-15.45</c:v>
                </c:pt>
                <c:pt idx="614">
                  <c:v>-20.079999999999998</c:v>
                </c:pt>
                <c:pt idx="615">
                  <c:v>-15.45</c:v>
                </c:pt>
                <c:pt idx="616">
                  <c:v>-12.36</c:v>
                </c:pt>
                <c:pt idx="617">
                  <c:v>-10.81</c:v>
                </c:pt>
                <c:pt idx="618">
                  <c:v>-10.81</c:v>
                </c:pt>
                <c:pt idx="619">
                  <c:v>0</c:v>
                </c:pt>
                <c:pt idx="620">
                  <c:v>30.89</c:v>
                </c:pt>
                <c:pt idx="621">
                  <c:v>44.8</c:v>
                </c:pt>
                <c:pt idx="622">
                  <c:v>26.26</c:v>
                </c:pt>
                <c:pt idx="623">
                  <c:v>7.72</c:v>
                </c:pt>
                <c:pt idx="624">
                  <c:v>0</c:v>
                </c:pt>
                <c:pt idx="625">
                  <c:v>-3.09</c:v>
                </c:pt>
                <c:pt idx="626">
                  <c:v>-10.81</c:v>
                </c:pt>
                <c:pt idx="627">
                  <c:v>-15.45</c:v>
                </c:pt>
                <c:pt idx="628">
                  <c:v>-12.36</c:v>
                </c:pt>
                <c:pt idx="629">
                  <c:v>-13.9</c:v>
                </c:pt>
                <c:pt idx="630">
                  <c:v>-7.72</c:v>
                </c:pt>
                <c:pt idx="631">
                  <c:v>-15.45</c:v>
                </c:pt>
                <c:pt idx="632">
                  <c:v>-13.9</c:v>
                </c:pt>
                <c:pt idx="633">
                  <c:v>-15.45</c:v>
                </c:pt>
                <c:pt idx="634">
                  <c:v>-13.9</c:v>
                </c:pt>
                <c:pt idx="635">
                  <c:v>-18.54</c:v>
                </c:pt>
                <c:pt idx="636">
                  <c:v>-15.45</c:v>
                </c:pt>
                <c:pt idx="637">
                  <c:v>-9.27</c:v>
                </c:pt>
                <c:pt idx="638">
                  <c:v>-12.36</c:v>
                </c:pt>
                <c:pt idx="639">
                  <c:v>-9.27</c:v>
                </c:pt>
                <c:pt idx="640">
                  <c:v>-4.63</c:v>
                </c:pt>
                <c:pt idx="641">
                  <c:v>13.9</c:v>
                </c:pt>
                <c:pt idx="642">
                  <c:v>44.8</c:v>
                </c:pt>
                <c:pt idx="643">
                  <c:v>37.07</c:v>
                </c:pt>
                <c:pt idx="644">
                  <c:v>18.54</c:v>
                </c:pt>
                <c:pt idx="645">
                  <c:v>0</c:v>
                </c:pt>
                <c:pt idx="646">
                  <c:v>0</c:v>
                </c:pt>
                <c:pt idx="647">
                  <c:v>-10.81</c:v>
                </c:pt>
                <c:pt idx="648">
                  <c:v>-13.9</c:v>
                </c:pt>
                <c:pt idx="649">
                  <c:v>-13.9</c:v>
                </c:pt>
                <c:pt idx="650">
                  <c:v>-16.989999999999998</c:v>
                </c:pt>
                <c:pt idx="651">
                  <c:v>-10.81</c:v>
                </c:pt>
                <c:pt idx="652">
                  <c:v>-13.9</c:v>
                </c:pt>
                <c:pt idx="653">
                  <c:v>-13.9</c:v>
                </c:pt>
                <c:pt idx="654">
                  <c:v>-12.36</c:v>
                </c:pt>
                <c:pt idx="655">
                  <c:v>-15.45</c:v>
                </c:pt>
                <c:pt idx="656">
                  <c:v>-16.989999999999998</c:v>
                </c:pt>
                <c:pt idx="657">
                  <c:v>-15.45</c:v>
                </c:pt>
                <c:pt idx="658">
                  <c:v>-13.9</c:v>
                </c:pt>
                <c:pt idx="659">
                  <c:v>-7.72</c:v>
                </c:pt>
                <c:pt idx="660">
                  <c:v>-6.18</c:v>
                </c:pt>
                <c:pt idx="661">
                  <c:v>-6.18</c:v>
                </c:pt>
                <c:pt idx="662">
                  <c:v>3.09</c:v>
                </c:pt>
                <c:pt idx="663">
                  <c:v>29.35</c:v>
                </c:pt>
                <c:pt idx="664">
                  <c:v>44.8</c:v>
                </c:pt>
                <c:pt idx="665">
                  <c:v>23.17</c:v>
                </c:pt>
                <c:pt idx="666">
                  <c:v>4.63</c:v>
                </c:pt>
                <c:pt idx="667">
                  <c:v>-1.54</c:v>
                </c:pt>
                <c:pt idx="668">
                  <c:v>-4.63</c:v>
                </c:pt>
                <c:pt idx="669">
                  <c:v>-15.45</c:v>
                </c:pt>
                <c:pt idx="670">
                  <c:v>-12.36</c:v>
                </c:pt>
                <c:pt idx="671">
                  <c:v>-12.36</c:v>
                </c:pt>
                <c:pt idx="672">
                  <c:v>-13.9</c:v>
                </c:pt>
                <c:pt idx="673">
                  <c:v>-10.81</c:v>
                </c:pt>
                <c:pt idx="674">
                  <c:v>-10.81</c:v>
                </c:pt>
                <c:pt idx="675">
                  <c:v>-7.72</c:v>
                </c:pt>
                <c:pt idx="676">
                  <c:v>-12.36</c:v>
                </c:pt>
                <c:pt idx="677">
                  <c:v>-15.45</c:v>
                </c:pt>
                <c:pt idx="678">
                  <c:v>-10.81</c:v>
                </c:pt>
                <c:pt idx="679">
                  <c:v>-13.9</c:v>
                </c:pt>
                <c:pt idx="680">
                  <c:v>-10.81</c:v>
                </c:pt>
                <c:pt idx="681">
                  <c:v>-9.27</c:v>
                </c:pt>
                <c:pt idx="682">
                  <c:v>-7.72</c:v>
                </c:pt>
                <c:pt idx="683">
                  <c:v>3.09</c:v>
                </c:pt>
                <c:pt idx="684">
                  <c:v>33.979999999999997</c:v>
                </c:pt>
                <c:pt idx="685">
                  <c:v>40.159999999999997</c:v>
                </c:pt>
                <c:pt idx="686">
                  <c:v>18.54</c:v>
                </c:pt>
                <c:pt idx="687">
                  <c:v>3.09</c:v>
                </c:pt>
                <c:pt idx="688">
                  <c:v>-1.55</c:v>
                </c:pt>
                <c:pt idx="689">
                  <c:v>-7.72</c:v>
                </c:pt>
                <c:pt idx="690">
                  <c:v>-12.36</c:v>
                </c:pt>
                <c:pt idx="691">
                  <c:v>-13.9</c:v>
                </c:pt>
                <c:pt idx="692">
                  <c:v>-20.079999999999998</c:v>
                </c:pt>
                <c:pt idx="693">
                  <c:v>-9.27</c:v>
                </c:pt>
                <c:pt idx="694">
                  <c:v>-10.81</c:v>
                </c:pt>
                <c:pt idx="695">
                  <c:v>-9.27</c:v>
                </c:pt>
                <c:pt idx="696">
                  <c:v>-6.18</c:v>
                </c:pt>
                <c:pt idx="697">
                  <c:v>-12.36</c:v>
                </c:pt>
                <c:pt idx="698">
                  <c:v>-15.45</c:v>
                </c:pt>
                <c:pt idx="699">
                  <c:v>-13.9</c:v>
                </c:pt>
                <c:pt idx="700">
                  <c:v>-13.9</c:v>
                </c:pt>
                <c:pt idx="701">
                  <c:v>-15.45</c:v>
                </c:pt>
                <c:pt idx="702">
                  <c:v>-12.36</c:v>
                </c:pt>
                <c:pt idx="703">
                  <c:v>-7.72</c:v>
                </c:pt>
                <c:pt idx="704">
                  <c:v>4.63</c:v>
                </c:pt>
                <c:pt idx="705">
                  <c:v>40.159999999999997</c:v>
                </c:pt>
                <c:pt idx="706">
                  <c:v>38.619999999999997</c:v>
                </c:pt>
                <c:pt idx="707">
                  <c:v>13.9</c:v>
                </c:pt>
                <c:pt idx="708">
                  <c:v>1.54</c:v>
                </c:pt>
                <c:pt idx="709">
                  <c:v>-1.54</c:v>
                </c:pt>
                <c:pt idx="710">
                  <c:v>-9.27</c:v>
                </c:pt>
                <c:pt idx="711">
                  <c:v>-15.45</c:v>
                </c:pt>
                <c:pt idx="712">
                  <c:v>-15.45</c:v>
                </c:pt>
                <c:pt idx="713">
                  <c:v>-10.81</c:v>
                </c:pt>
                <c:pt idx="714">
                  <c:v>-9.27</c:v>
                </c:pt>
                <c:pt idx="715">
                  <c:v>-10.81</c:v>
                </c:pt>
                <c:pt idx="716">
                  <c:v>-10.81</c:v>
                </c:pt>
                <c:pt idx="717">
                  <c:v>-9.27</c:v>
                </c:pt>
                <c:pt idx="718">
                  <c:v>-10.81</c:v>
                </c:pt>
                <c:pt idx="719">
                  <c:v>-15.45</c:v>
                </c:pt>
                <c:pt idx="720">
                  <c:v>-13.9</c:v>
                </c:pt>
                <c:pt idx="721">
                  <c:v>-15.45</c:v>
                </c:pt>
                <c:pt idx="722">
                  <c:v>-15.45</c:v>
                </c:pt>
                <c:pt idx="723">
                  <c:v>-12.36</c:v>
                </c:pt>
                <c:pt idx="724">
                  <c:v>-10.81</c:v>
                </c:pt>
                <c:pt idx="725">
                  <c:v>3.09</c:v>
                </c:pt>
                <c:pt idx="726">
                  <c:v>35.53</c:v>
                </c:pt>
                <c:pt idx="727">
                  <c:v>44.8</c:v>
                </c:pt>
                <c:pt idx="728">
                  <c:v>13.9</c:v>
                </c:pt>
                <c:pt idx="729">
                  <c:v>1.54</c:v>
                </c:pt>
                <c:pt idx="730">
                  <c:v>-1.54</c:v>
                </c:pt>
                <c:pt idx="731">
                  <c:v>-7.72</c:v>
                </c:pt>
                <c:pt idx="732">
                  <c:v>-15.45</c:v>
                </c:pt>
                <c:pt idx="733">
                  <c:v>-13.9</c:v>
                </c:pt>
                <c:pt idx="734">
                  <c:v>-16.989999999999998</c:v>
                </c:pt>
                <c:pt idx="735">
                  <c:v>-7.72</c:v>
                </c:pt>
                <c:pt idx="736">
                  <c:v>-10.81</c:v>
                </c:pt>
                <c:pt idx="737">
                  <c:v>-6.18</c:v>
                </c:pt>
                <c:pt idx="738">
                  <c:v>-7.72</c:v>
                </c:pt>
                <c:pt idx="739">
                  <c:v>-12.36</c:v>
                </c:pt>
                <c:pt idx="740">
                  <c:v>-13.9</c:v>
                </c:pt>
                <c:pt idx="741">
                  <c:v>-9.27</c:v>
                </c:pt>
                <c:pt idx="742">
                  <c:v>-16.989999999999998</c:v>
                </c:pt>
                <c:pt idx="743">
                  <c:v>-12.36</c:v>
                </c:pt>
                <c:pt idx="744">
                  <c:v>-12.36</c:v>
                </c:pt>
                <c:pt idx="745">
                  <c:v>-10.81</c:v>
                </c:pt>
                <c:pt idx="746">
                  <c:v>3.09</c:v>
                </c:pt>
                <c:pt idx="747">
                  <c:v>30.89</c:v>
                </c:pt>
                <c:pt idx="748">
                  <c:v>41.71</c:v>
                </c:pt>
                <c:pt idx="749">
                  <c:v>15.45</c:v>
                </c:pt>
                <c:pt idx="750">
                  <c:v>1.54</c:v>
                </c:pt>
                <c:pt idx="751">
                  <c:v>-4.63</c:v>
                </c:pt>
                <c:pt idx="752">
                  <c:v>-7.72</c:v>
                </c:pt>
                <c:pt idx="753">
                  <c:v>-13.9</c:v>
                </c:pt>
                <c:pt idx="754">
                  <c:v>-12.36</c:v>
                </c:pt>
                <c:pt idx="755">
                  <c:v>-13.9</c:v>
                </c:pt>
                <c:pt idx="756">
                  <c:v>-10.81</c:v>
                </c:pt>
                <c:pt idx="757">
                  <c:v>-10.81</c:v>
                </c:pt>
                <c:pt idx="758">
                  <c:v>-7.72</c:v>
                </c:pt>
                <c:pt idx="759">
                  <c:v>-7.72</c:v>
                </c:pt>
                <c:pt idx="760">
                  <c:v>-9.27</c:v>
                </c:pt>
                <c:pt idx="761">
                  <c:v>-13.9</c:v>
                </c:pt>
                <c:pt idx="762">
                  <c:v>-10.81</c:v>
                </c:pt>
                <c:pt idx="763">
                  <c:v>-13.9</c:v>
                </c:pt>
                <c:pt idx="764">
                  <c:v>-10.81</c:v>
                </c:pt>
                <c:pt idx="765">
                  <c:v>-15.45</c:v>
                </c:pt>
                <c:pt idx="766">
                  <c:v>-7.72</c:v>
                </c:pt>
                <c:pt idx="767">
                  <c:v>1.54</c:v>
                </c:pt>
                <c:pt idx="768">
                  <c:v>32.44</c:v>
                </c:pt>
                <c:pt idx="769">
                  <c:v>44.8</c:v>
                </c:pt>
                <c:pt idx="770">
                  <c:v>15.45</c:v>
                </c:pt>
                <c:pt idx="771">
                  <c:v>0</c:v>
                </c:pt>
                <c:pt idx="772">
                  <c:v>-1.54</c:v>
                </c:pt>
                <c:pt idx="773">
                  <c:v>-7.72</c:v>
                </c:pt>
                <c:pt idx="774">
                  <c:v>-15.45</c:v>
                </c:pt>
                <c:pt idx="775">
                  <c:v>-13.9</c:v>
                </c:pt>
                <c:pt idx="776">
                  <c:v>-13.9</c:v>
                </c:pt>
                <c:pt idx="777">
                  <c:v>-9.27</c:v>
                </c:pt>
                <c:pt idx="778">
                  <c:v>-7.72</c:v>
                </c:pt>
                <c:pt idx="779">
                  <c:v>-7.72</c:v>
                </c:pt>
                <c:pt idx="780">
                  <c:v>-10.81</c:v>
                </c:pt>
                <c:pt idx="781">
                  <c:v>-9.27</c:v>
                </c:pt>
                <c:pt idx="782">
                  <c:v>-10.81</c:v>
                </c:pt>
                <c:pt idx="783">
                  <c:v>-9.27</c:v>
                </c:pt>
                <c:pt idx="784">
                  <c:v>-12.36</c:v>
                </c:pt>
                <c:pt idx="785">
                  <c:v>-12.36</c:v>
                </c:pt>
                <c:pt idx="786">
                  <c:v>-12.36</c:v>
                </c:pt>
                <c:pt idx="787">
                  <c:v>-7.72</c:v>
                </c:pt>
                <c:pt idx="788">
                  <c:v>12.36</c:v>
                </c:pt>
                <c:pt idx="789">
                  <c:v>38.619999999999997</c:v>
                </c:pt>
                <c:pt idx="790">
                  <c:v>30.89</c:v>
                </c:pt>
                <c:pt idx="791">
                  <c:v>9.27</c:v>
                </c:pt>
                <c:pt idx="792">
                  <c:v>0</c:v>
                </c:pt>
                <c:pt idx="793">
                  <c:v>-4.63</c:v>
                </c:pt>
                <c:pt idx="794">
                  <c:v>-12.36</c:v>
                </c:pt>
                <c:pt idx="795">
                  <c:v>-12.36</c:v>
                </c:pt>
                <c:pt idx="796">
                  <c:v>-15.45</c:v>
                </c:pt>
                <c:pt idx="797">
                  <c:v>-6.18</c:v>
                </c:pt>
                <c:pt idx="798">
                  <c:v>-7.72</c:v>
                </c:pt>
                <c:pt idx="799">
                  <c:v>-6.18</c:v>
                </c:pt>
                <c:pt idx="800">
                  <c:v>-7.72</c:v>
                </c:pt>
                <c:pt idx="801">
                  <c:v>-4.63</c:v>
                </c:pt>
                <c:pt idx="802">
                  <c:v>-10.81</c:v>
                </c:pt>
                <c:pt idx="803">
                  <c:v>-10.81</c:v>
                </c:pt>
                <c:pt idx="804">
                  <c:v>-12.36</c:v>
                </c:pt>
                <c:pt idx="805">
                  <c:v>-13.9</c:v>
                </c:pt>
                <c:pt idx="806">
                  <c:v>-10.81</c:v>
                </c:pt>
                <c:pt idx="807">
                  <c:v>-12.36</c:v>
                </c:pt>
                <c:pt idx="808">
                  <c:v>7.72</c:v>
                </c:pt>
                <c:pt idx="809">
                  <c:v>37.07</c:v>
                </c:pt>
                <c:pt idx="810">
                  <c:v>26.26</c:v>
                </c:pt>
                <c:pt idx="811">
                  <c:v>6.18</c:v>
                </c:pt>
                <c:pt idx="812">
                  <c:v>0</c:v>
                </c:pt>
                <c:pt idx="813">
                  <c:v>0</c:v>
                </c:pt>
                <c:pt idx="814">
                  <c:v>-6.18</c:v>
                </c:pt>
                <c:pt idx="815">
                  <c:v>-13.9</c:v>
                </c:pt>
                <c:pt idx="816">
                  <c:v>-10.81</c:v>
                </c:pt>
                <c:pt idx="817">
                  <c:v>-9.27</c:v>
                </c:pt>
                <c:pt idx="818">
                  <c:v>-10.81</c:v>
                </c:pt>
                <c:pt idx="819">
                  <c:v>-3.09</c:v>
                </c:pt>
                <c:pt idx="820">
                  <c:v>-6.18</c:v>
                </c:pt>
                <c:pt idx="821">
                  <c:v>-9.27</c:v>
                </c:pt>
                <c:pt idx="822">
                  <c:v>-9.27</c:v>
                </c:pt>
                <c:pt idx="823">
                  <c:v>-9.27</c:v>
                </c:pt>
                <c:pt idx="824">
                  <c:v>-9.27</c:v>
                </c:pt>
                <c:pt idx="825">
                  <c:v>-13.9</c:v>
                </c:pt>
                <c:pt idx="826">
                  <c:v>-10.81</c:v>
                </c:pt>
                <c:pt idx="827">
                  <c:v>-12.36</c:v>
                </c:pt>
                <c:pt idx="828">
                  <c:v>-1.54</c:v>
                </c:pt>
                <c:pt idx="829">
                  <c:v>30.89</c:v>
                </c:pt>
                <c:pt idx="830">
                  <c:v>27.8</c:v>
                </c:pt>
                <c:pt idx="831">
                  <c:v>7.72</c:v>
                </c:pt>
                <c:pt idx="832">
                  <c:v>4.63</c:v>
                </c:pt>
                <c:pt idx="833">
                  <c:v>0</c:v>
                </c:pt>
                <c:pt idx="834">
                  <c:v>-7.72</c:v>
                </c:pt>
                <c:pt idx="835">
                  <c:v>-9.27</c:v>
                </c:pt>
                <c:pt idx="836">
                  <c:v>-10.81</c:v>
                </c:pt>
                <c:pt idx="837">
                  <c:v>-9.27</c:v>
                </c:pt>
                <c:pt idx="838">
                  <c:v>-7.72</c:v>
                </c:pt>
                <c:pt idx="839">
                  <c:v>-1.54</c:v>
                </c:pt>
                <c:pt idx="840">
                  <c:v>-7.72</c:v>
                </c:pt>
                <c:pt idx="841">
                  <c:v>-6.18</c:v>
                </c:pt>
                <c:pt idx="842">
                  <c:v>-9.27</c:v>
                </c:pt>
                <c:pt idx="843">
                  <c:v>-3.09</c:v>
                </c:pt>
                <c:pt idx="844">
                  <c:v>-9.27</c:v>
                </c:pt>
                <c:pt idx="845">
                  <c:v>-9.27</c:v>
                </c:pt>
                <c:pt idx="846">
                  <c:v>-9.27</c:v>
                </c:pt>
                <c:pt idx="847">
                  <c:v>-10.81</c:v>
                </c:pt>
                <c:pt idx="848">
                  <c:v>-6.18</c:v>
                </c:pt>
                <c:pt idx="849">
                  <c:v>13.9</c:v>
                </c:pt>
                <c:pt idx="850">
                  <c:v>33.979999999999997</c:v>
                </c:pt>
                <c:pt idx="851">
                  <c:v>9.27</c:v>
                </c:pt>
                <c:pt idx="852">
                  <c:v>6.18</c:v>
                </c:pt>
                <c:pt idx="853">
                  <c:v>1.54</c:v>
                </c:pt>
                <c:pt idx="854">
                  <c:v>-1.54</c:v>
                </c:pt>
                <c:pt idx="855">
                  <c:v>-6.18</c:v>
                </c:pt>
                <c:pt idx="856">
                  <c:v>-10.81</c:v>
                </c:pt>
                <c:pt idx="857">
                  <c:v>-6.18</c:v>
                </c:pt>
                <c:pt idx="858">
                  <c:v>-6.18</c:v>
                </c:pt>
                <c:pt idx="859">
                  <c:v>-6.18</c:v>
                </c:pt>
                <c:pt idx="860">
                  <c:v>-3.09</c:v>
                </c:pt>
                <c:pt idx="861">
                  <c:v>-6.18</c:v>
                </c:pt>
                <c:pt idx="862">
                  <c:v>-7.72</c:v>
                </c:pt>
                <c:pt idx="863">
                  <c:v>-6.18</c:v>
                </c:pt>
                <c:pt idx="864">
                  <c:v>-9.27</c:v>
                </c:pt>
                <c:pt idx="865">
                  <c:v>-6.18</c:v>
                </c:pt>
                <c:pt idx="866">
                  <c:v>-6.18</c:v>
                </c:pt>
                <c:pt idx="867">
                  <c:v>-9.27</c:v>
                </c:pt>
                <c:pt idx="868">
                  <c:v>-7.72</c:v>
                </c:pt>
                <c:pt idx="869">
                  <c:v>7.72</c:v>
                </c:pt>
                <c:pt idx="870">
                  <c:v>21.63</c:v>
                </c:pt>
                <c:pt idx="871">
                  <c:v>10.81</c:v>
                </c:pt>
                <c:pt idx="872">
                  <c:v>7.72</c:v>
                </c:pt>
                <c:pt idx="873">
                  <c:v>3.09</c:v>
                </c:pt>
                <c:pt idx="874">
                  <c:v>0</c:v>
                </c:pt>
                <c:pt idx="875">
                  <c:v>-7.72</c:v>
                </c:pt>
                <c:pt idx="876">
                  <c:v>-10.81</c:v>
                </c:pt>
                <c:pt idx="877">
                  <c:v>-6.18</c:v>
                </c:pt>
                <c:pt idx="878">
                  <c:v>-7.72</c:v>
                </c:pt>
                <c:pt idx="879">
                  <c:v>-1.54</c:v>
                </c:pt>
                <c:pt idx="880">
                  <c:v>-6.18</c:v>
                </c:pt>
                <c:pt idx="881">
                  <c:v>-7.72</c:v>
                </c:pt>
                <c:pt idx="882">
                  <c:v>-4.63</c:v>
                </c:pt>
                <c:pt idx="883">
                  <c:v>-7.72</c:v>
                </c:pt>
                <c:pt idx="884">
                  <c:v>-7.72</c:v>
                </c:pt>
                <c:pt idx="885">
                  <c:v>-9.27</c:v>
                </c:pt>
                <c:pt idx="886">
                  <c:v>-6.18</c:v>
                </c:pt>
                <c:pt idx="887">
                  <c:v>-10.81</c:v>
                </c:pt>
                <c:pt idx="888">
                  <c:v>-6.18</c:v>
                </c:pt>
                <c:pt idx="889">
                  <c:v>-1.54</c:v>
                </c:pt>
                <c:pt idx="890">
                  <c:v>18.54</c:v>
                </c:pt>
                <c:pt idx="891">
                  <c:v>15.45</c:v>
                </c:pt>
                <c:pt idx="892">
                  <c:v>4.63</c:v>
                </c:pt>
                <c:pt idx="893">
                  <c:v>-163.74</c:v>
                </c:pt>
                <c:pt idx="894">
                  <c:v>-176.09</c:v>
                </c:pt>
                <c:pt idx="895">
                  <c:v>-146.74</c:v>
                </c:pt>
                <c:pt idx="896">
                  <c:v>-125.12</c:v>
                </c:pt>
                <c:pt idx="897">
                  <c:v>-115.85</c:v>
                </c:pt>
                <c:pt idx="898">
                  <c:v>-103.49</c:v>
                </c:pt>
                <c:pt idx="899">
                  <c:v>-103.49</c:v>
                </c:pt>
                <c:pt idx="900">
                  <c:v>-94.23</c:v>
                </c:pt>
                <c:pt idx="901">
                  <c:v>-88.05</c:v>
                </c:pt>
                <c:pt idx="902">
                  <c:v>-88.05</c:v>
                </c:pt>
                <c:pt idx="903">
                  <c:v>-88.05</c:v>
                </c:pt>
                <c:pt idx="904">
                  <c:v>-80.319999999999993</c:v>
                </c:pt>
                <c:pt idx="905">
                  <c:v>-80.319999999999993</c:v>
                </c:pt>
                <c:pt idx="906">
                  <c:v>-72.599999999999994</c:v>
                </c:pt>
                <c:pt idx="907">
                  <c:v>-72.599999999999994</c:v>
                </c:pt>
                <c:pt idx="908">
                  <c:v>-71.05</c:v>
                </c:pt>
                <c:pt idx="909">
                  <c:v>-67.97</c:v>
                </c:pt>
                <c:pt idx="910">
                  <c:v>-57.15</c:v>
                </c:pt>
                <c:pt idx="911">
                  <c:v>-52.52</c:v>
                </c:pt>
                <c:pt idx="912">
                  <c:v>-57.15</c:v>
                </c:pt>
                <c:pt idx="913">
                  <c:v>-54.06</c:v>
                </c:pt>
                <c:pt idx="914">
                  <c:v>-54.06</c:v>
                </c:pt>
                <c:pt idx="915">
                  <c:v>-54.06</c:v>
                </c:pt>
                <c:pt idx="916">
                  <c:v>-54.06</c:v>
                </c:pt>
                <c:pt idx="917">
                  <c:v>-52.52</c:v>
                </c:pt>
                <c:pt idx="918">
                  <c:v>-49.43</c:v>
                </c:pt>
                <c:pt idx="919">
                  <c:v>-44.8</c:v>
                </c:pt>
                <c:pt idx="920">
                  <c:v>-46.34</c:v>
                </c:pt>
                <c:pt idx="921">
                  <c:v>-44.8</c:v>
                </c:pt>
                <c:pt idx="922">
                  <c:v>-40.159999999999997</c:v>
                </c:pt>
                <c:pt idx="923">
                  <c:v>-44.8</c:v>
                </c:pt>
                <c:pt idx="924">
                  <c:v>-38.619999999999997</c:v>
                </c:pt>
                <c:pt idx="925">
                  <c:v>-40.159999999999997</c:v>
                </c:pt>
                <c:pt idx="926">
                  <c:v>-37.07</c:v>
                </c:pt>
                <c:pt idx="927">
                  <c:v>-33.979999999999997</c:v>
                </c:pt>
                <c:pt idx="928">
                  <c:v>-33.979999999999997</c:v>
                </c:pt>
                <c:pt idx="929">
                  <c:v>-32.44</c:v>
                </c:pt>
                <c:pt idx="930">
                  <c:v>-30.89</c:v>
                </c:pt>
                <c:pt idx="931">
                  <c:v>-21.63</c:v>
                </c:pt>
                <c:pt idx="932">
                  <c:v>-24.71</c:v>
                </c:pt>
                <c:pt idx="933">
                  <c:v>-23.17</c:v>
                </c:pt>
                <c:pt idx="934">
                  <c:v>-23.17</c:v>
                </c:pt>
                <c:pt idx="935">
                  <c:v>-29.35</c:v>
                </c:pt>
                <c:pt idx="936">
                  <c:v>-23.17</c:v>
                </c:pt>
                <c:pt idx="937">
                  <c:v>-24.71</c:v>
                </c:pt>
                <c:pt idx="938">
                  <c:v>-23.17</c:v>
                </c:pt>
                <c:pt idx="939">
                  <c:v>-21.63</c:v>
                </c:pt>
                <c:pt idx="940">
                  <c:v>-20.079999999999998</c:v>
                </c:pt>
                <c:pt idx="941">
                  <c:v>-23.17</c:v>
                </c:pt>
                <c:pt idx="942">
                  <c:v>-18.54</c:v>
                </c:pt>
                <c:pt idx="943">
                  <c:v>-16.989999999999998</c:v>
                </c:pt>
                <c:pt idx="944">
                  <c:v>-23.17</c:v>
                </c:pt>
                <c:pt idx="945">
                  <c:v>-16.989999999999998</c:v>
                </c:pt>
                <c:pt idx="946">
                  <c:v>-15.45</c:v>
                </c:pt>
                <c:pt idx="947">
                  <c:v>-20.079999999999998</c:v>
                </c:pt>
                <c:pt idx="948">
                  <c:v>-15.45</c:v>
                </c:pt>
                <c:pt idx="949">
                  <c:v>-15.45</c:v>
                </c:pt>
                <c:pt idx="950">
                  <c:v>-13.9</c:v>
                </c:pt>
                <c:pt idx="951">
                  <c:v>-15.45</c:v>
                </c:pt>
                <c:pt idx="952">
                  <c:v>-9.27</c:v>
                </c:pt>
                <c:pt idx="953">
                  <c:v>-9.27</c:v>
                </c:pt>
                <c:pt idx="954">
                  <c:v>-9.27</c:v>
                </c:pt>
                <c:pt idx="955">
                  <c:v>-10.81</c:v>
                </c:pt>
                <c:pt idx="956">
                  <c:v>-12.36</c:v>
                </c:pt>
                <c:pt idx="957">
                  <c:v>-13.9</c:v>
                </c:pt>
                <c:pt idx="958">
                  <c:v>-12.36</c:v>
                </c:pt>
                <c:pt idx="959">
                  <c:v>-10.81</c:v>
                </c:pt>
                <c:pt idx="960">
                  <c:v>-10.81</c:v>
                </c:pt>
                <c:pt idx="961">
                  <c:v>-12.36</c:v>
                </c:pt>
                <c:pt idx="962">
                  <c:v>-7.72</c:v>
                </c:pt>
                <c:pt idx="963">
                  <c:v>-9.27</c:v>
                </c:pt>
                <c:pt idx="964">
                  <c:v>-9.27</c:v>
                </c:pt>
                <c:pt idx="965">
                  <c:v>-9.27</c:v>
                </c:pt>
                <c:pt idx="966">
                  <c:v>-10.81</c:v>
                </c:pt>
                <c:pt idx="967">
                  <c:v>-7.72</c:v>
                </c:pt>
                <c:pt idx="968">
                  <c:v>-7.72</c:v>
                </c:pt>
                <c:pt idx="969">
                  <c:v>-7.72</c:v>
                </c:pt>
                <c:pt idx="970">
                  <c:v>-9.27</c:v>
                </c:pt>
                <c:pt idx="971">
                  <c:v>-7.72</c:v>
                </c:pt>
                <c:pt idx="972">
                  <c:v>0</c:v>
                </c:pt>
                <c:pt idx="973">
                  <c:v>-4.63</c:v>
                </c:pt>
                <c:pt idx="974">
                  <c:v>-6.18</c:v>
                </c:pt>
                <c:pt idx="975">
                  <c:v>-4.63</c:v>
                </c:pt>
                <c:pt idx="976">
                  <c:v>-9.27</c:v>
                </c:pt>
                <c:pt idx="977">
                  <c:v>-6.18</c:v>
                </c:pt>
                <c:pt idx="978">
                  <c:v>-6.18</c:v>
                </c:pt>
                <c:pt idx="979">
                  <c:v>-7.72</c:v>
                </c:pt>
                <c:pt idx="980">
                  <c:v>-4.63</c:v>
                </c:pt>
                <c:pt idx="981">
                  <c:v>-3.09</c:v>
                </c:pt>
                <c:pt idx="982">
                  <c:v>-6.18</c:v>
                </c:pt>
                <c:pt idx="983">
                  <c:v>-4.63</c:v>
                </c:pt>
                <c:pt idx="984">
                  <c:v>-7.72</c:v>
                </c:pt>
                <c:pt idx="985">
                  <c:v>-3.09</c:v>
                </c:pt>
                <c:pt idx="986">
                  <c:v>-6.18</c:v>
                </c:pt>
                <c:pt idx="987">
                  <c:v>-7.72</c:v>
                </c:pt>
                <c:pt idx="988">
                  <c:v>-4.63</c:v>
                </c:pt>
                <c:pt idx="989">
                  <c:v>-4.63</c:v>
                </c:pt>
                <c:pt idx="990">
                  <c:v>-4.63</c:v>
                </c:pt>
                <c:pt idx="991">
                  <c:v>-6.18</c:v>
                </c:pt>
                <c:pt idx="992">
                  <c:v>0</c:v>
                </c:pt>
                <c:pt idx="993">
                  <c:v>-3.09</c:v>
                </c:pt>
                <c:pt idx="994">
                  <c:v>-4.63</c:v>
                </c:pt>
                <c:pt idx="995">
                  <c:v>-4.63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96-4695-B674-E21074CF5A96}"/>
            </c:ext>
          </c:extLst>
        </c:ser>
        <c:ser>
          <c:idx val="3"/>
          <c:order val="3"/>
          <c:spPr>
            <a:ln w="19050" cap="rnd">
              <a:solidFill>
                <a:srgbClr val="705500"/>
              </a:solidFill>
              <a:round/>
            </a:ln>
            <a:effectLst/>
          </c:spPr>
          <c:marker>
            <c:symbol val="none"/>
          </c:marker>
          <c:xVal>
            <c:numRef>
              <c:f>Hoja1!$BT$2:$BT$997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xVal>
          <c:yVal>
            <c:numRef>
              <c:f>Hoja1!$BX$2:$BX$997</c:f>
              <c:numCache>
                <c:formatCode>General</c:formatCode>
                <c:ptCount val="996"/>
                <c:pt idx="1">
                  <c:v>151.52799999999999</c:v>
                </c:pt>
                <c:pt idx="2">
                  <c:v>155.85599999999999</c:v>
                </c:pt>
                <c:pt idx="3">
                  <c:v>152.76400000000001</c:v>
                </c:pt>
                <c:pt idx="4">
                  <c:v>154</c:v>
                </c:pt>
                <c:pt idx="5">
                  <c:v>154.61600000000001</c:v>
                </c:pt>
                <c:pt idx="6">
                  <c:v>153.38399999999999</c:v>
                </c:pt>
                <c:pt idx="7">
                  <c:v>154</c:v>
                </c:pt>
                <c:pt idx="8">
                  <c:v>155.852</c:v>
                </c:pt>
                <c:pt idx="9">
                  <c:v>152.148</c:v>
                </c:pt>
                <c:pt idx="10">
                  <c:v>154.61600000000001</c:v>
                </c:pt>
                <c:pt idx="11">
                  <c:v>155.23599999999999</c:v>
                </c:pt>
                <c:pt idx="12">
                  <c:v>154.62</c:v>
                </c:pt>
                <c:pt idx="13">
                  <c:v>160.79599999999999</c:v>
                </c:pt>
                <c:pt idx="14">
                  <c:v>148.44</c:v>
                </c:pt>
                <c:pt idx="15">
                  <c:v>148.43600000000001</c:v>
                </c:pt>
                <c:pt idx="16">
                  <c:v>154.62</c:v>
                </c:pt>
                <c:pt idx="17">
                  <c:v>153.38</c:v>
                </c:pt>
                <c:pt idx="18">
                  <c:v>156.47200000000001</c:v>
                </c:pt>
                <c:pt idx="19">
                  <c:v>150.292</c:v>
                </c:pt>
                <c:pt idx="20">
                  <c:v>158.94399999999999</c:v>
                </c:pt>
                <c:pt idx="21">
                  <c:v>153.38399999999999</c:v>
                </c:pt>
                <c:pt idx="22">
                  <c:v>153.38</c:v>
                </c:pt>
                <c:pt idx="23">
                  <c:v>154</c:v>
                </c:pt>
                <c:pt idx="24">
                  <c:v>153.38399999999999</c:v>
                </c:pt>
                <c:pt idx="25">
                  <c:v>152.76400000000001</c:v>
                </c:pt>
                <c:pt idx="26">
                  <c:v>157.08799999999999</c:v>
                </c:pt>
                <c:pt idx="27">
                  <c:v>152.148</c:v>
                </c:pt>
                <c:pt idx="28">
                  <c:v>155.23599999999999</c:v>
                </c:pt>
                <c:pt idx="29">
                  <c:v>153.38</c:v>
                </c:pt>
                <c:pt idx="30">
                  <c:v>154</c:v>
                </c:pt>
                <c:pt idx="31">
                  <c:v>154</c:v>
                </c:pt>
                <c:pt idx="32">
                  <c:v>154.62</c:v>
                </c:pt>
                <c:pt idx="33">
                  <c:v>159.56</c:v>
                </c:pt>
                <c:pt idx="34">
                  <c:v>152.76400000000001</c:v>
                </c:pt>
                <c:pt idx="35">
                  <c:v>152.148</c:v>
                </c:pt>
                <c:pt idx="36">
                  <c:v>147.19999999999999</c:v>
                </c:pt>
                <c:pt idx="37">
                  <c:v>155.23599999999999</c:v>
                </c:pt>
                <c:pt idx="38">
                  <c:v>155.23599999999999</c:v>
                </c:pt>
                <c:pt idx="39">
                  <c:v>154</c:v>
                </c:pt>
                <c:pt idx="40">
                  <c:v>155.23599999999999</c:v>
                </c:pt>
                <c:pt idx="41">
                  <c:v>155.85599999999999</c:v>
                </c:pt>
                <c:pt idx="42">
                  <c:v>153.38</c:v>
                </c:pt>
                <c:pt idx="43">
                  <c:v>152.148</c:v>
                </c:pt>
                <c:pt idx="44">
                  <c:v>155.23599999999999</c:v>
                </c:pt>
                <c:pt idx="45">
                  <c:v>153.38</c:v>
                </c:pt>
                <c:pt idx="46">
                  <c:v>154</c:v>
                </c:pt>
                <c:pt idx="47">
                  <c:v>152.76400000000001</c:v>
                </c:pt>
                <c:pt idx="48">
                  <c:v>155.85599999999999</c:v>
                </c:pt>
                <c:pt idx="49">
                  <c:v>152.76400000000001</c:v>
                </c:pt>
                <c:pt idx="50">
                  <c:v>155.852</c:v>
                </c:pt>
                <c:pt idx="51">
                  <c:v>153.38399999999999</c:v>
                </c:pt>
                <c:pt idx="52">
                  <c:v>154</c:v>
                </c:pt>
                <c:pt idx="53">
                  <c:v>158.32400000000001</c:v>
                </c:pt>
                <c:pt idx="54">
                  <c:v>155.852</c:v>
                </c:pt>
                <c:pt idx="55">
                  <c:v>149.67599999999999</c:v>
                </c:pt>
                <c:pt idx="56">
                  <c:v>149.67599999999999</c:v>
                </c:pt>
                <c:pt idx="57">
                  <c:v>153.38</c:v>
                </c:pt>
                <c:pt idx="58">
                  <c:v>154.62</c:v>
                </c:pt>
                <c:pt idx="59">
                  <c:v>155.23599999999999</c:v>
                </c:pt>
                <c:pt idx="60">
                  <c:v>152.76400000000001</c:v>
                </c:pt>
                <c:pt idx="61">
                  <c:v>158.32400000000001</c:v>
                </c:pt>
                <c:pt idx="62">
                  <c:v>150.91200000000001</c:v>
                </c:pt>
                <c:pt idx="63">
                  <c:v>154.61600000000001</c:v>
                </c:pt>
                <c:pt idx="64">
                  <c:v>155.23599999999999</c:v>
                </c:pt>
                <c:pt idx="65">
                  <c:v>152.76400000000001</c:v>
                </c:pt>
                <c:pt idx="66">
                  <c:v>153.38399999999999</c:v>
                </c:pt>
                <c:pt idx="67">
                  <c:v>155.23599999999999</c:v>
                </c:pt>
                <c:pt idx="68">
                  <c:v>154</c:v>
                </c:pt>
                <c:pt idx="69">
                  <c:v>154</c:v>
                </c:pt>
                <c:pt idx="70">
                  <c:v>152.76400000000001</c:v>
                </c:pt>
                <c:pt idx="71">
                  <c:v>155.23599999999999</c:v>
                </c:pt>
                <c:pt idx="72">
                  <c:v>153.38</c:v>
                </c:pt>
                <c:pt idx="73">
                  <c:v>159.56</c:v>
                </c:pt>
                <c:pt idx="74">
                  <c:v>157.708</c:v>
                </c:pt>
                <c:pt idx="75">
                  <c:v>147.82</c:v>
                </c:pt>
                <c:pt idx="76">
                  <c:v>149.06</c:v>
                </c:pt>
                <c:pt idx="77">
                  <c:v>153.38</c:v>
                </c:pt>
                <c:pt idx="78">
                  <c:v>155.23599999999999</c:v>
                </c:pt>
                <c:pt idx="79">
                  <c:v>153.38399999999999</c:v>
                </c:pt>
                <c:pt idx="80">
                  <c:v>153.38</c:v>
                </c:pt>
                <c:pt idx="81">
                  <c:v>158.328</c:v>
                </c:pt>
                <c:pt idx="82">
                  <c:v>152.76400000000001</c:v>
                </c:pt>
                <c:pt idx="83">
                  <c:v>154.61600000000001</c:v>
                </c:pt>
                <c:pt idx="84">
                  <c:v>152.148</c:v>
                </c:pt>
                <c:pt idx="85">
                  <c:v>154.61600000000001</c:v>
                </c:pt>
                <c:pt idx="86">
                  <c:v>153.38399999999999</c:v>
                </c:pt>
                <c:pt idx="87">
                  <c:v>155.852</c:v>
                </c:pt>
                <c:pt idx="88">
                  <c:v>152.76400000000001</c:v>
                </c:pt>
                <c:pt idx="89">
                  <c:v>154</c:v>
                </c:pt>
                <c:pt idx="90">
                  <c:v>154</c:v>
                </c:pt>
                <c:pt idx="91">
                  <c:v>155.23599999999999</c:v>
                </c:pt>
                <c:pt idx="92">
                  <c:v>153.38399999999999</c:v>
                </c:pt>
                <c:pt idx="93">
                  <c:v>158.32400000000001</c:v>
                </c:pt>
                <c:pt idx="94">
                  <c:v>157.708</c:v>
                </c:pt>
                <c:pt idx="95">
                  <c:v>149.05600000000001</c:v>
                </c:pt>
                <c:pt idx="96">
                  <c:v>149.67599999999999</c:v>
                </c:pt>
                <c:pt idx="97">
                  <c:v>152.14400000000001</c:v>
                </c:pt>
                <c:pt idx="98">
                  <c:v>153.38400000000001</c:v>
                </c:pt>
                <c:pt idx="99">
                  <c:v>157.08799999999999</c:v>
                </c:pt>
                <c:pt idx="100">
                  <c:v>150.91200000000001</c:v>
                </c:pt>
                <c:pt idx="101">
                  <c:v>157.708</c:v>
                </c:pt>
                <c:pt idx="102">
                  <c:v>155.852</c:v>
                </c:pt>
                <c:pt idx="103">
                  <c:v>151.52799999999999</c:v>
                </c:pt>
                <c:pt idx="104">
                  <c:v>154</c:v>
                </c:pt>
                <c:pt idx="105">
                  <c:v>153.38399999999999</c:v>
                </c:pt>
                <c:pt idx="106">
                  <c:v>154.61600000000001</c:v>
                </c:pt>
                <c:pt idx="107">
                  <c:v>154</c:v>
                </c:pt>
                <c:pt idx="108">
                  <c:v>155.85599999999999</c:v>
                </c:pt>
                <c:pt idx="109">
                  <c:v>151.52799999999999</c:v>
                </c:pt>
                <c:pt idx="110">
                  <c:v>155.852</c:v>
                </c:pt>
                <c:pt idx="111">
                  <c:v>153.38399999999999</c:v>
                </c:pt>
                <c:pt idx="112">
                  <c:v>153.38</c:v>
                </c:pt>
                <c:pt idx="113">
                  <c:v>158.32400000000001</c:v>
                </c:pt>
                <c:pt idx="114">
                  <c:v>160.18</c:v>
                </c:pt>
                <c:pt idx="115">
                  <c:v>150.91200000000001</c:v>
                </c:pt>
                <c:pt idx="116">
                  <c:v>145.96799999999999</c:v>
                </c:pt>
                <c:pt idx="117">
                  <c:v>151.52799999999999</c:v>
                </c:pt>
                <c:pt idx="118">
                  <c:v>155.23599999999999</c:v>
                </c:pt>
                <c:pt idx="119">
                  <c:v>154</c:v>
                </c:pt>
                <c:pt idx="120">
                  <c:v>153.38</c:v>
                </c:pt>
                <c:pt idx="121">
                  <c:v>155.85599999999999</c:v>
                </c:pt>
                <c:pt idx="122">
                  <c:v>156.47200000000001</c:v>
                </c:pt>
                <c:pt idx="123">
                  <c:v>152.14400000000001</c:v>
                </c:pt>
                <c:pt idx="124">
                  <c:v>156.47200000000001</c:v>
                </c:pt>
                <c:pt idx="125">
                  <c:v>150.91200000000001</c:v>
                </c:pt>
                <c:pt idx="126">
                  <c:v>154.61600000000001</c:v>
                </c:pt>
                <c:pt idx="127">
                  <c:v>153.38399999999999</c:v>
                </c:pt>
                <c:pt idx="128">
                  <c:v>154.61600000000001</c:v>
                </c:pt>
                <c:pt idx="129">
                  <c:v>154</c:v>
                </c:pt>
                <c:pt idx="130">
                  <c:v>154.62</c:v>
                </c:pt>
                <c:pt idx="131">
                  <c:v>154</c:v>
                </c:pt>
                <c:pt idx="132">
                  <c:v>154</c:v>
                </c:pt>
                <c:pt idx="133">
                  <c:v>156.47200000000001</c:v>
                </c:pt>
                <c:pt idx="134">
                  <c:v>161.41200000000001</c:v>
                </c:pt>
                <c:pt idx="135">
                  <c:v>152.148</c:v>
                </c:pt>
                <c:pt idx="136">
                  <c:v>147.20400000000001</c:v>
                </c:pt>
                <c:pt idx="137">
                  <c:v>150.292</c:v>
                </c:pt>
                <c:pt idx="138">
                  <c:v>152.76400000000001</c:v>
                </c:pt>
                <c:pt idx="139">
                  <c:v>155.23599999999999</c:v>
                </c:pt>
                <c:pt idx="140">
                  <c:v>152.76400000000001</c:v>
                </c:pt>
                <c:pt idx="141">
                  <c:v>155.852</c:v>
                </c:pt>
                <c:pt idx="142">
                  <c:v>157.09200000000001</c:v>
                </c:pt>
                <c:pt idx="143">
                  <c:v>153.38</c:v>
                </c:pt>
                <c:pt idx="144">
                  <c:v>152.76400000000001</c:v>
                </c:pt>
                <c:pt idx="145">
                  <c:v>154</c:v>
                </c:pt>
                <c:pt idx="146">
                  <c:v>155.23599999999999</c:v>
                </c:pt>
                <c:pt idx="147">
                  <c:v>151.52799999999999</c:v>
                </c:pt>
                <c:pt idx="148">
                  <c:v>154.62</c:v>
                </c:pt>
                <c:pt idx="149">
                  <c:v>155.852</c:v>
                </c:pt>
                <c:pt idx="150">
                  <c:v>152.76400000000001</c:v>
                </c:pt>
                <c:pt idx="151">
                  <c:v>155.23599999999999</c:v>
                </c:pt>
                <c:pt idx="152">
                  <c:v>153.38399999999999</c:v>
                </c:pt>
                <c:pt idx="153">
                  <c:v>154.61600000000001</c:v>
                </c:pt>
                <c:pt idx="154">
                  <c:v>162.03200000000001</c:v>
                </c:pt>
                <c:pt idx="155">
                  <c:v>156.47200000000001</c:v>
                </c:pt>
                <c:pt idx="156">
                  <c:v>145.96799999999999</c:v>
                </c:pt>
                <c:pt idx="157">
                  <c:v>149.05600000000001</c:v>
                </c:pt>
                <c:pt idx="158">
                  <c:v>152.148</c:v>
                </c:pt>
                <c:pt idx="159">
                  <c:v>153.38</c:v>
                </c:pt>
                <c:pt idx="160">
                  <c:v>155.23599999999999</c:v>
                </c:pt>
                <c:pt idx="161">
                  <c:v>154.62</c:v>
                </c:pt>
                <c:pt idx="162">
                  <c:v>157.08799999999999</c:v>
                </c:pt>
                <c:pt idx="163">
                  <c:v>153.38399999999999</c:v>
                </c:pt>
                <c:pt idx="164">
                  <c:v>154</c:v>
                </c:pt>
                <c:pt idx="165">
                  <c:v>153.38</c:v>
                </c:pt>
                <c:pt idx="166">
                  <c:v>152.76400000000001</c:v>
                </c:pt>
                <c:pt idx="167">
                  <c:v>156.47200000000001</c:v>
                </c:pt>
                <c:pt idx="168">
                  <c:v>152.76400000000001</c:v>
                </c:pt>
                <c:pt idx="169">
                  <c:v>154</c:v>
                </c:pt>
                <c:pt idx="170">
                  <c:v>154.62</c:v>
                </c:pt>
                <c:pt idx="171">
                  <c:v>154</c:v>
                </c:pt>
                <c:pt idx="172">
                  <c:v>153.38</c:v>
                </c:pt>
                <c:pt idx="173">
                  <c:v>155.23599999999999</c:v>
                </c:pt>
                <c:pt idx="174">
                  <c:v>153.38399999999999</c:v>
                </c:pt>
                <c:pt idx="175">
                  <c:v>162.03200000000001</c:v>
                </c:pt>
                <c:pt idx="176">
                  <c:v>157.08799999999999</c:v>
                </c:pt>
                <c:pt idx="177">
                  <c:v>148.44</c:v>
                </c:pt>
                <c:pt idx="178">
                  <c:v>147.20400000000001</c:v>
                </c:pt>
                <c:pt idx="179">
                  <c:v>149.672</c:v>
                </c:pt>
                <c:pt idx="180">
                  <c:v>154.62</c:v>
                </c:pt>
                <c:pt idx="181">
                  <c:v>155.23599999999999</c:v>
                </c:pt>
                <c:pt idx="182">
                  <c:v>155.23599999999999</c:v>
                </c:pt>
                <c:pt idx="183">
                  <c:v>158.32400000000001</c:v>
                </c:pt>
                <c:pt idx="184">
                  <c:v>152.76400000000001</c:v>
                </c:pt>
                <c:pt idx="185">
                  <c:v>154</c:v>
                </c:pt>
                <c:pt idx="186">
                  <c:v>151.52799999999999</c:v>
                </c:pt>
                <c:pt idx="187">
                  <c:v>155.85599999999999</c:v>
                </c:pt>
                <c:pt idx="188">
                  <c:v>153.38</c:v>
                </c:pt>
                <c:pt idx="189">
                  <c:v>154</c:v>
                </c:pt>
                <c:pt idx="190">
                  <c:v>154.62</c:v>
                </c:pt>
                <c:pt idx="191">
                  <c:v>154</c:v>
                </c:pt>
                <c:pt idx="192">
                  <c:v>154</c:v>
                </c:pt>
                <c:pt idx="193">
                  <c:v>154.61600000000001</c:v>
                </c:pt>
                <c:pt idx="194">
                  <c:v>152.76400000000001</c:v>
                </c:pt>
                <c:pt idx="195">
                  <c:v>157.09200000000001</c:v>
                </c:pt>
                <c:pt idx="196">
                  <c:v>160.79599999999999</c:v>
                </c:pt>
                <c:pt idx="197">
                  <c:v>155.23599999999999</c:v>
                </c:pt>
                <c:pt idx="198">
                  <c:v>146.584</c:v>
                </c:pt>
                <c:pt idx="199">
                  <c:v>147.20400000000001</c:v>
                </c:pt>
                <c:pt idx="200">
                  <c:v>152.76400000000001</c:v>
                </c:pt>
                <c:pt idx="201">
                  <c:v>157.08799999999999</c:v>
                </c:pt>
                <c:pt idx="202">
                  <c:v>149.67599999999999</c:v>
                </c:pt>
                <c:pt idx="203">
                  <c:v>160.18</c:v>
                </c:pt>
                <c:pt idx="204">
                  <c:v>156.47200000000001</c:v>
                </c:pt>
                <c:pt idx="205">
                  <c:v>152.14400000000001</c:v>
                </c:pt>
                <c:pt idx="206">
                  <c:v>153.38399999999999</c:v>
                </c:pt>
                <c:pt idx="207">
                  <c:v>155.23599999999999</c:v>
                </c:pt>
                <c:pt idx="208">
                  <c:v>151.52799999999999</c:v>
                </c:pt>
                <c:pt idx="209">
                  <c:v>153.38</c:v>
                </c:pt>
                <c:pt idx="210">
                  <c:v>157.09200000000001</c:v>
                </c:pt>
                <c:pt idx="211">
                  <c:v>152.76400000000001</c:v>
                </c:pt>
                <c:pt idx="212">
                  <c:v>153.38</c:v>
                </c:pt>
                <c:pt idx="213">
                  <c:v>155.23599999999999</c:v>
                </c:pt>
                <c:pt idx="214">
                  <c:v>154.62</c:v>
                </c:pt>
                <c:pt idx="215">
                  <c:v>152.76400000000001</c:v>
                </c:pt>
                <c:pt idx="216">
                  <c:v>160.17599999999999</c:v>
                </c:pt>
                <c:pt idx="217">
                  <c:v>158.94399999999999</c:v>
                </c:pt>
                <c:pt idx="218">
                  <c:v>150.292</c:v>
                </c:pt>
                <c:pt idx="219">
                  <c:v>146.58799999999999</c:v>
                </c:pt>
                <c:pt idx="220">
                  <c:v>149.672</c:v>
                </c:pt>
                <c:pt idx="221">
                  <c:v>152.148</c:v>
                </c:pt>
                <c:pt idx="222">
                  <c:v>156.47200000000001</c:v>
                </c:pt>
                <c:pt idx="223">
                  <c:v>155.23599999999999</c:v>
                </c:pt>
                <c:pt idx="224">
                  <c:v>156.47200000000001</c:v>
                </c:pt>
                <c:pt idx="225">
                  <c:v>155.23599999999999</c:v>
                </c:pt>
                <c:pt idx="226">
                  <c:v>151.52799999999999</c:v>
                </c:pt>
                <c:pt idx="227">
                  <c:v>155.852</c:v>
                </c:pt>
                <c:pt idx="228">
                  <c:v>152.76400000000001</c:v>
                </c:pt>
                <c:pt idx="229">
                  <c:v>153.38399999999999</c:v>
                </c:pt>
                <c:pt idx="230">
                  <c:v>155.23599999999999</c:v>
                </c:pt>
                <c:pt idx="231">
                  <c:v>154.61600000000001</c:v>
                </c:pt>
                <c:pt idx="232">
                  <c:v>152.148</c:v>
                </c:pt>
                <c:pt idx="233">
                  <c:v>156.47200000000001</c:v>
                </c:pt>
                <c:pt idx="234">
                  <c:v>151.52799999999999</c:v>
                </c:pt>
                <c:pt idx="235">
                  <c:v>157.08799999999999</c:v>
                </c:pt>
                <c:pt idx="236">
                  <c:v>156.47200000000001</c:v>
                </c:pt>
                <c:pt idx="237">
                  <c:v>161.416</c:v>
                </c:pt>
                <c:pt idx="238">
                  <c:v>151.52799999999999</c:v>
                </c:pt>
                <c:pt idx="239">
                  <c:v>147.82</c:v>
                </c:pt>
                <c:pt idx="240">
                  <c:v>147.82</c:v>
                </c:pt>
                <c:pt idx="241">
                  <c:v>152.148</c:v>
                </c:pt>
                <c:pt idx="242">
                  <c:v>154.61599999999999</c:v>
                </c:pt>
                <c:pt idx="243">
                  <c:v>152.148</c:v>
                </c:pt>
                <c:pt idx="244">
                  <c:v>160.79599999999999</c:v>
                </c:pt>
                <c:pt idx="245">
                  <c:v>154</c:v>
                </c:pt>
                <c:pt idx="246">
                  <c:v>153.38399999999999</c:v>
                </c:pt>
                <c:pt idx="247">
                  <c:v>155.23599999999999</c:v>
                </c:pt>
                <c:pt idx="248">
                  <c:v>152.76400000000001</c:v>
                </c:pt>
                <c:pt idx="249">
                  <c:v>152.14400000000001</c:v>
                </c:pt>
                <c:pt idx="250">
                  <c:v>154.62</c:v>
                </c:pt>
                <c:pt idx="251">
                  <c:v>155.23599999999999</c:v>
                </c:pt>
                <c:pt idx="252">
                  <c:v>155.852</c:v>
                </c:pt>
                <c:pt idx="253">
                  <c:v>152.148</c:v>
                </c:pt>
                <c:pt idx="254">
                  <c:v>155.852</c:v>
                </c:pt>
                <c:pt idx="255">
                  <c:v>152.76400000000001</c:v>
                </c:pt>
                <c:pt idx="256">
                  <c:v>154</c:v>
                </c:pt>
                <c:pt idx="257">
                  <c:v>160.79599999999999</c:v>
                </c:pt>
                <c:pt idx="258">
                  <c:v>158.94399999999999</c:v>
                </c:pt>
                <c:pt idx="259">
                  <c:v>147.20400000000001</c:v>
                </c:pt>
                <c:pt idx="260">
                  <c:v>150.292</c:v>
                </c:pt>
                <c:pt idx="261">
                  <c:v>148.44</c:v>
                </c:pt>
                <c:pt idx="262">
                  <c:v>152.76400000000001</c:v>
                </c:pt>
                <c:pt idx="263">
                  <c:v>153.38</c:v>
                </c:pt>
                <c:pt idx="264">
                  <c:v>157.09200000000001</c:v>
                </c:pt>
                <c:pt idx="265">
                  <c:v>157.708</c:v>
                </c:pt>
                <c:pt idx="266">
                  <c:v>155.23599999999999</c:v>
                </c:pt>
                <c:pt idx="267">
                  <c:v>151.52799999999999</c:v>
                </c:pt>
                <c:pt idx="268">
                  <c:v>153.38</c:v>
                </c:pt>
                <c:pt idx="269">
                  <c:v>154.62</c:v>
                </c:pt>
                <c:pt idx="270">
                  <c:v>152.76400000000001</c:v>
                </c:pt>
                <c:pt idx="271">
                  <c:v>154</c:v>
                </c:pt>
                <c:pt idx="272">
                  <c:v>155.852</c:v>
                </c:pt>
                <c:pt idx="273">
                  <c:v>154.62</c:v>
                </c:pt>
                <c:pt idx="274">
                  <c:v>153.38</c:v>
                </c:pt>
                <c:pt idx="275">
                  <c:v>152.76400000000001</c:v>
                </c:pt>
                <c:pt idx="276">
                  <c:v>155.85599999999999</c:v>
                </c:pt>
                <c:pt idx="277">
                  <c:v>158.32400000000001</c:v>
                </c:pt>
                <c:pt idx="278">
                  <c:v>160.79599999999999</c:v>
                </c:pt>
                <c:pt idx="279">
                  <c:v>152.148</c:v>
                </c:pt>
                <c:pt idx="280">
                  <c:v>146.584</c:v>
                </c:pt>
                <c:pt idx="281">
                  <c:v>150.292</c:v>
                </c:pt>
                <c:pt idx="282">
                  <c:v>149.67599999999999</c:v>
                </c:pt>
                <c:pt idx="283">
                  <c:v>152.148</c:v>
                </c:pt>
                <c:pt idx="284">
                  <c:v>154.61599999999999</c:v>
                </c:pt>
                <c:pt idx="285">
                  <c:v>158.94399999999999</c:v>
                </c:pt>
                <c:pt idx="286">
                  <c:v>156.47200000000001</c:v>
                </c:pt>
                <c:pt idx="287">
                  <c:v>152.76400000000001</c:v>
                </c:pt>
                <c:pt idx="288">
                  <c:v>155.852</c:v>
                </c:pt>
                <c:pt idx="289">
                  <c:v>151.52799999999999</c:v>
                </c:pt>
                <c:pt idx="290">
                  <c:v>154</c:v>
                </c:pt>
                <c:pt idx="291">
                  <c:v>154.62</c:v>
                </c:pt>
                <c:pt idx="292">
                  <c:v>152.76400000000001</c:v>
                </c:pt>
                <c:pt idx="293">
                  <c:v>154</c:v>
                </c:pt>
                <c:pt idx="294">
                  <c:v>155.852</c:v>
                </c:pt>
                <c:pt idx="295">
                  <c:v>154.62</c:v>
                </c:pt>
                <c:pt idx="296">
                  <c:v>152.76400000000001</c:v>
                </c:pt>
                <c:pt idx="297">
                  <c:v>159.56</c:v>
                </c:pt>
                <c:pt idx="298">
                  <c:v>160.79599999999999</c:v>
                </c:pt>
                <c:pt idx="299">
                  <c:v>152.148</c:v>
                </c:pt>
                <c:pt idx="300">
                  <c:v>148.43600000000001</c:v>
                </c:pt>
                <c:pt idx="301">
                  <c:v>148.44</c:v>
                </c:pt>
                <c:pt idx="302">
                  <c:v>148.44</c:v>
                </c:pt>
                <c:pt idx="303">
                  <c:v>154</c:v>
                </c:pt>
                <c:pt idx="304">
                  <c:v>152.76400000000001</c:v>
                </c:pt>
                <c:pt idx="305">
                  <c:v>159.56</c:v>
                </c:pt>
                <c:pt idx="306">
                  <c:v>156.47200000000001</c:v>
                </c:pt>
                <c:pt idx="307">
                  <c:v>154</c:v>
                </c:pt>
                <c:pt idx="308">
                  <c:v>154.62</c:v>
                </c:pt>
                <c:pt idx="309">
                  <c:v>152.76400000000001</c:v>
                </c:pt>
                <c:pt idx="310">
                  <c:v>152.14400000000001</c:v>
                </c:pt>
                <c:pt idx="311">
                  <c:v>154.62</c:v>
                </c:pt>
                <c:pt idx="312">
                  <c:v>155.23599999999999</c:v>
                </c:pt>
                <c:pt idx="313">
                  <c:v>154</c:v>
                </c:pt>
                <c:pt idx="314">
                  <c:v>154.61600000000001</c:v>
                </c:pt>
                <c:pt idx="315">
                  <c:v>154.62</c:v>
                </c:pt>
                <c:pt idx="316">
                  <c:v>154</c:v>
                </c:pt>
                <c:pt idx="317">
                  <c:v>153.38</c:v>
                </c:pt>
                <c:pt idx="318">
                  <c:v>162.65199999999999</c:v>
                </c:pt>
                <c:pt idx="319">
                  <c:v>158.32400000000001</c:v>
                </c:pt>
                <c:pt idx="320">
                  <c:v>150.292</c:v>
                </c:pt>
                <c:pt idx="321">
                  <c:v>145.96799999999999</c:v>
                </c:pt>
                <c:pt idx="322">
                  <c:v>147.82</c:v>
                </c:pt>
                <c:pt idx="323">
                  <c:v>152.76400000000001</c:v>
                </c:pt>
                <c:pt idx="324">
                  <c:v>150.29599999999999</c:v>
                </c:pt>
                <c:pt idx="325">
                  <c:v>158.94</c:v>
                </c:pt>
                <c:pt idx="326">
                  <c:v>158.94399999999999</c:v>
                </c:pt>
                <c:pt idx="327">
                  <c:v>156.47200000000001</c:v>
                </c:pt>
                <c:pt idx="328">
                  <c:v>152.148</c:v>
                </c:pt>
                <c:pt idx="329">
                  <c:v>150.90799999999999</c:v>
                </c:pt>
                <c:pt idx="330">
                  <c:v>156.47200000000001</c:v>
                </c:pt>
                <c:pt idx="331">
                  <c:v>154</c:v>
                </c:pt>
                <c:pt idx="332">
                  <c:v>152.148</c:v>
                </c:pt>
                <c:pt idx="333">
                  <c:v>155.23599999999999</c:v>
                </c:pt>
                <c:pt idx="334">
                  <c:v>154.61600000000001</c:v>
                </c:pt>
                <c:pt idx="335">
                  <c:v>152.76400000000001</c:v>
                </c:pt>
                <c:pt idx="336">
                  <c:v>154.62</c:v>
                </c:pt>
                <c:pt idx="337">
                  <c:v>155.23599999999999</c:v>
                </c:pt>
                <c:pt idx="338">
                  <c:v>162.648</c:v>
                </c:pt>
                <c:pt idx="339">
                  <c:v>158.94399999999999</c:v>
                </c:pt>
                <c:pt idx="340">
                  <c:v>147.20400000000001</c:v>
                </c:pt>
                <c:pt idx="341">
                  <c:v>152.14400000000001</c:v>
                </c:pt>
                <c:pt idx="342">
                  <c:v>145.352</c:v>
                </c:pt>
                <c:pt idx="343">
                  <c:v>153.38</c:v>
                </c:pt>
                <c:pt idx="344">
                  <c:v>147.20400000000001</c:v>
                </c:pt>
                <c:pt idx="345">
                  <c:v>158.32400000000001</c:v>
                </c:pt>
                <c:pt idx="346">
                  <c:v>158.328</c:v>
                </c:pt>
                <c:pt idx="347">
                  <c:v>157.08799999999999</c:v>
                </c:pt>
                <c:pt idx="348">
                  <c:v>152.76400000000001</c:v>
                </c:pt>
                <c:pt idx="349">
                  <c:v>153.38399999999999</c:v>
                </c:pt>
                <c:pt idx="350">
                  <c:v>154.61600000000001</c:v>
                </c:pt>
                <c:pt idx="351">
                  <c:v>153.38399999999999</c:v>
                </c:pt>
                <c:pt idx="352">
                  <c:v>152.76400000000001</c:v>
                </c:pt>
                <c:pt idx="353">
                  <c:v>155.23599999999999</c:v>
                </c:pt>
                <c:pt idx="354">
                  <c:v>154</c:v>
                </c:pt>
                <c:pt idx="355">
                  <c:v>154.61600000000001</c:v>
                </c:pt>
                <c:pt idx="356">
                  <c:v>154</c:v>
                </c:pt>
                <c:pt idx="357">
                  <c:v>154</c:v>
                </c:pt>
                <c:pt idx="358">
                  <c:v>162.03200000000001</c:v>
                </c:pt>
                <c:pt idx="359">
                  <c:v>161.416</c:v>
                </c:pt>
                <c:pt idx="360">
                  <c:v>150.292</c:v>
                </c:pt>
                <c:pt idx="361">
                  <c:v>145.34800000000001</c:v>
                </c:pt>
                <c:pt idx="362">
                  <c:v>148.44</c:v>
                </c:pt>
                <c:pt idx="363">
                  <c:v>153.38399999999999</c:v>
                </c:pt>
                <c:pt idx="364">
                  <c:v>149.05600000000001</c:v>
                </c:pt>
                <c:pt idx="365">
                  <c:v>152.148</c:v>
                </c:pt>
                <c:pt idx="366">
                  <c:v>159.56</c:v>
                </c:pt>
                <c:pt idx="367">
                  <c:v>158.94399999999999</c:v>
                </c:pt>
                <c:pt idx="368">
                  <c:v>152.14400000000001</c:v>
                </c:pt>
                <c:pt idx="369">
                  <c:v>155.23599999999999</c:v>
                </c:pt>
                <c:pt idx="370">
                  <c:v>152.148</c:v>
                </c:pt>
                <c:pt idx="371">
                  <c:v>154.61600000000001</c:v>
                </c:pt>
                <c:pt idx="372">
                  <c:v>154.62</c:v>
                </c:pt>
                <c:pt idx="373">
                  <c:v>153.38</c:v>
                </c:pt>
                <c:pt idx="374">
                  <c:v>155.23599999999999</c:v>
                </c:pt>
                <c:pt idx="375">
                  <c:v>154.62</c:v>
                </c:pt>
                <c:pt idx="376">
                  <c:v>152.76400000000001</c:v>
                </c:pt>
                <c:pt idx="377">
                  <c:v>155.23599999999999</c:v>
                </c:pt>
                <c:pt idx="378">
                  <c:v>163.268</c:v>
                </c:pt>
                <c:pt idx="379">
                  <c:v>158.32400000000001</c:v>
                </c:pt>
                <c:pt idx="380">
                  <c:v>149.67599999999999</c:v>
                </c:pt>
                <c:pt idx="381">
                  <c:v>146.584</c:v>
                </c:pt>
                <c:pt idx="382">
                  <c:v>149.67599999999999</c:v>
                </c:pt>
                <c:pt idx="383">
                  <c:v>151.52799999999999</c:v>
                </c:pt>
                <c:pt idx="384">
                  <c:v>150.91200000000001</c:v>
                </c:pt>
                <c:pt idx="385">
                  <c:v>151.52799999999999</c:v>
                </c:pt>
                <c:pt idx="386">
                  <c:v>160.79599999999999</c:v>
                </c:pt>
                <c:pt idx="387">
                  <c:v>157.08799999999999</c:v>
                </c:pt>
                <c:pt idx="388">
                  <c:v>152.76400000000001</c:v>
                </c:pt>
                <c:pt idx="389">
                  <c:v>155.85599999999999</c:v>
                </c:pt>
                <c:pt idx="390">
                  <c:v>154</c:v>
                </c:pt>
                <c:pt idx="391">
                  <c:v>150.90799999999999</c:v>
                </c:pt>
                <c:pt idx="392">
                  <c:v>154.62</c:v>
                </c:pt>
                <c:pt idx="393">
                  <c:v>155.23599999999999</c:v>
                </c:pt>
                <c:pt idx="394">
                  <c:v>154</c:v>
                </c:pt>
                <c:pt idx="395">
                  <c:v>154.61600000000001</c:v>
                </c:pt>
                <c:pt idx="396">
                  <c:v>154.62</c:v>
                </c:pt>
                <c:pt idx="397">
                  <c:v>157.70400000000001</c:v>
                </c:pt>
                <c:pt idx="398">
                  <c:v>163.268</c:v>
                </c:pt>
                <c:pt idx="399">
                  <c:v>153.38400000000001</c:v>
                </c:pt>
                <c:pt idx="400">
                  <c:v>149.05600000000001</c:v>
                </c:pt>
                <c:pt idx="401">
                  <c:v>143.49600000000001</c:v>
                </c:pt>
                <c:pt idx="402">
                  <c:v>154.62</c:v>
                </c:pt>
                <c:pt idx="403">
                  <c:v>148.44</c:v>
                </c:pt>
                <c:pt idx="404">
                  <c:v>152.76400000000001</c:v>
                </c:pt>
                <c:pt idx="405">
                  <c:v>156.46799999999999</c:v>
                </c:pt>
                <c:pt idx="406">
                  <c:v>158.328</c:v>
                </c:pt>
                <c:pt idx="407">
                  <c:v>155.23599999999999</c:v>
                </c:pt>
                <c:pt idx="408">
                  <c:v>154.61600000000001</c:v>
                </c:pt>
                <c:pt idx="409">
                  <c:v>152.76400000000001</c:v>
                </c:pt>
                <c:pt idx="410">
                  <c:v>155.23599999999999</c:v>
                </c:pt>
                <c:pt idx="411">
                  <c:v>154</c:v>
                </c:pt>
                <c:pt idx="412">
                  <c:v>152.76400000000001</c:v>
                </c:pt>
                <c:pt idx="413">
                  <c:v>155.23599999999999</c:v>
                </c:pt>
                <c:pt idx="414">
                  <c:v>153.38399999999999</c:v>
                </c:pt>
                <c:pt idx="415">
                  <c:v>154.61600000000001</c:v>
                </c:pt>
                <c:pt idx="416">
                  <c:v>154.62</c:v>
                </c:pt>
                <c:pt idx="417">
                  <c:v>163.88399999999999</c:v>
                </c:pt>
                <c:pt idx="418">
                  <c:v>158.32400000000001</c:v>
                </c:pt>
                <c:pt idx="419">
                  <c:v>150.91200000000001</c:v>
                </c:pt>
                <c:pt idx="420">
                  <c:v>144.732</c:v>
                </c:pt>
                <c:pt idx="421">
                  <c:v>149.05600000000001</c:v>
                </c:pt>
                <c:pt idx="422">
                  <c:v>152.148</c:v>
                </c:pt>
                <c:pt idx="423">
                  <c:v>150.91200000000001</c:v>
                </c:pt>
                <c:pt idx="424">
                  <c:v>153.38</c:v>
                </c:pt>
                <c:pt idx="425">
                  <c:v>157.08799999999999</c:v>
                </c:pt>
                <c:pt idx="426">
                  <c:v>158.328</c:v>
                </c:pt>
                <c:pt idx="427">
                  <c:v>154.61600000000001</c:v>
                </c:pt>
                <c:pt idx="428">
                  <c:v>154</c:v>
                </c:pt>
                <c:pt idx="429">
                  <c:v>152.76400000000001</c:v>
                </c:pt>
                <c:pt idx="430">
                  <c:v>155.23599999999999</c:v>
                </c:pt>
                <c:pt idx="431">
                  <c:v>152.148</c:v>
                </c:pt>
                <c:pt idx="432">
                  <c:v>155.23599999999999</c:v>
                </c:pt>
                <c:pt idx="433">
                  <c:v>154.61600000000001</c:v>
                </c:pt>
                <c:pt idx="434">
                  <c:v>154</c:v>
                </c:pt>
                <c:pt idx="435">
                  <c:v>153.38399999999999</c:v>
                </c:pt>
                <c:pt idx="436">
                  <c:v>158.94</c:v>
                </c:pt>
                <c:pt idx="437">
                  <c:v>162.65199999999999</c:v>
                </c:pt>
                <c:pt idx="438">
                  <c:v>156.47200000000001</c:v>
                </c:pt>
                <c:pt idx="439">
                  <c:v>145.96799999999999</c:v>
                </c:pt>
                <c:pt idx="440">
                  <c:v>147.20400000000001</c:v>
                </c:pt>
                <c:pt idx="441">
                  <c:v>152.76400000000001</c:v>
                </c:pt>
                <c:pt idx="442">
                  <c:v>149.672</c:v>
                </c:pt>
                <c:pt idx="443">
                  <c:v>151.53200000000001</c:v>
                </c:pt>
                <c:pt idx="444">
                  <c:v>155.232</c:v>
                </c:pt>
                <c:pt idx="445">
                  <c:v>154.62</c:v>
                </c:pt>
                <c:pt idx="446">
                  <c:v>157.08799999999999</c:v>
                </c:pt>
                <c:pt idx="447">
                  <c:v>155.85599999999999</c:v>
                </c:pt>
                <c:pt idx="448">
                  <c:v>152.14400000000001</c:v>
                </c:pt>
                <c:pt idx="449">
                  <c:v>156.47200000000001</c:v>
                </c:pt>
                <c:pt idx="450">
                  <c:v>152.76400000000001</c:v>
                </c:pt>
                <c:pt idx="451">
                  <c:v>154.62</c:v>
                </c:pt>
                <c:pt idx="452">
                  <c:v>154</c:v>
                </c:pt>
                <c:pt idx="453">
                  <c:v>154.61600000000001</c:v>
                </c:pt>
                <c:pt idx="454">
                  <c:v>154.62</c:v>
                </c:pt>
                <c:pt idx="455">
                  <c:v>153.38</c:v>
                </c:pt>
                <c:pt idx="456">
                  <c:v>158.94399999999999</c:v>
                </c:pt>
                <c:pt idx="457">
                  <c:v>163.268</c:v>
                </c:pt>
                <c:pt idx="458">
                  <c:v>154.61599999999999</c:v>
                </c:pt>
                <c:pt idx="459">
                  <c:v>145.352</c:v>
                </c:pt>
                <c:pt idx="460">
                  <c:v>147.82</c:v>
                </c:pt>
                <c:pt idx="461">
                  <c:v>152.76400000000001</c:v>
                </c:pt>
                <c:pt idx="462">
                  <c:v>150.91200000000001</c:v>
                </c:pt>
                <c:pt idx="463">
                  <c:v>151.52799999999999</c:v>
                </c:pt>
                <c:pt idx="464">
                  <c:v>154</c:v>
                </c:pt>
                <c:pt idx="465">
                  <c:v>156.47200000000001</c:v>
                </c:pt>
                <c:pt idx="466">
                  <c:v>155.852</c:v>
                </c:pt>
                <c:pt idx="467">
                  <c:v>154</c:v>
                </c:pt>
                <c:pt idx="468">
                  <c:v>155.85599999999999</c:v>
                </c:pt>
                <c:pt idx="469">
                  <c:v>153.38</c:v>
                </c:pt>
                <c:pt idx="470">
                  <c:v>154</c:v>
                </c:pt>
                <c:pt idx="471">
                  <c:v>154.62</c:v>
                </c:pt>
                <c:pt idx="472">
                  <c:v>155.23599999999999</c:v>
                </c:pt>
                <c:pt idx="473">
                  <c:v>152.14400000000001</c:v>
                </c:pt>
                <c:pt idx="474">
                  <c:v>155.85599999999999</c:v>
                </c:pt>
                <c:pt idx="475">
                  <c:v>154</c:v>
                </c:pt>
                <c:pt idx="476">
                  <c:v>157.08799999999999</c:v>
                </c:pt>
                <c:pt idx="477">
                  <c:v>164.50399999999999</c:v>
                </c:pt>
                <c:pt idx="478">
                  <c:v>155.23599999999999</c:v>
                </c:pt>
                <c:pt idx="479">
                  <c:v>146.584</c:v>
                </c:pt>
                <c:pt idx="480">
                  <c:v>145.96799999999999</c:v>
                </c:pt>
                <c:pt idx="481">
                  <c:v>153.38399999999999</c:v>
                </c:pt>
                <c:pt idx="482">
                  <c:v>150.292</c:v>
                </c:pt>
                <c:pt idx="483">
                  <c:v>152.76400000000001</c:v>
                </c:pt>
                <c:pt idx="484">
                  <c:v>152.76400000000001</c:v>
                </c:pt>
                <c:pt idx="485">
                  <c:v>157.08799999999999</c:v>
                </c:pt>
                <c:pt idx="486">
                  <c:v>154</c:v>
                </c:pt>
                <c:pt idx="487">
                  <c:v>156.47200000000001</c:v>
                </c:pt>
                <c:pt idx="488">
                  <c:v>153.38399999999999</c:v>
                </c:pt>
                <c:pt idx="489">
                  <c:v>155.852</c:v>
                </c:pt>
                <c:pt idx="490">
                  <c:v>153.38399999999999</c:v>
                </c:pt>
                <c:pt idx="491">
                  <c:v>153.38</c:v>
                </c:pt>
                <c:pt idx="492">
                  <c:v>154.62</c:v>
                </c:pt>
                <c:pt idx="493">
                  <c:v>154.61600000000001</c:v>
                </c:pt>
                <c:pt idx="494">
                  <c:v>153.38399999999999</c:v>
                </c:pt>
                <c:pt idx="495">
                  <c:v>155.23599999999999</c:v>
                </c:pt>
                <c:pt idx="496">
                  <c:v>158.32400000000001</c:v>
                </c:pt>
                <c:pt idx="497">
                  <c:v>163.88400000000001</c:v>
                </c:pt>
                <c:pt idx="498">
                  <c:v>155.85599999999999</c:v>
                </c:pt>
                <c:pt idx="499">
                  <c:v>143.49600000000001</c:v>
                </c:pt>
                <c:pt idx="500">
                  <c:v>147.82</c:v>
                </c:pt>
                <c:pt idx="501">
                  <c:v>154</c:v>
                </c:pt>
                <c:pt idx="502">
                  <c:v>150.91200000000001</c:v>
                </c:pt>
                <c:pt idx="503">
                  <c:v>151.52799999999999</c:v>
                </c:pt>
                <c:pt idx="504">
                  <c:v>155.23599999999999</c:v>
                </c:pt>
                <c:pt idx="505">
                  <c:v>155.23599999999999</c:v>
                </c:pt>
                <c:pt idx="506">
                  <c:v>154.61600000000001</c:v>
                </c:pt>
                <c:pt idx="507">
                  <c:v>152.148</c:v>
                </c:pt>
                <c:pt idx="508">
                  <c:v>154.61599999999999</c:v>
                </c:pt>
                <c:pt idx="509">
                  <c:v>155.23599999999999</c:v>
                </c:pt>
                <c:pt idx="510">
                  <c:v>155.85599999999999</c:v>
                </c:pt>
                <c:pt idx="511">
                  <c:v>154</c:v>
                </c:pt>
                <c:pt idx="512">
                  <c:v>154.61600000000001</c:v>
                </c:pt>
                <c:pt idx="513">
                  <c:v>152.148</c:v>
                </c:pt>
                <c:pt idx="514">
                  <c:v>156.47200000000001</c:v>
                </c:pt>
                <c:pt idx="515">
                  <c:v>154.61600000000001</c:v>
                </c:pt>
                <c:pt idx="516">
                  <c:v>157.708</c:v>
                </c:pt>
                <c:pt idx="517">
                  <c:v>163.88400000000001</c:v>
                </c:pt>
                <c:pt idx="518">
                  <c:v>157.708</c:v>
                </c:pt>
                <c:pt idx="519">
                  <c:v>141.64400000000001</c:v>
                </c:pt>
                <c:pt idx="520">
                  <c:v>149.67599999999999</c:v>
                </c:pt>
                <c:pt idx="521">
                  <c:v>150.292</c:v>
                </c:pt>
                <c:pt idx="522">
                  <c:v>152.14400000000001</c:v>
                </c:pt>
                <c:pt idx="523">
                  <c:v>153.38400000000001</c:v>
                </c:pt>
                <c:pt idx="524">
                  <c:v>154.61599999999999</c:v>
                </c:pt>
                <c:pt idx="525">
                  <c:v>152.76400000000001</c:v>
                </c:pt>
                <c:pt idx="526">
                  <c:v>157.708</c:v>
                </c:pt>
                <c:pt idx="527">
                  <c:v>150.292</c:v>
                </c:pt>
                <c:pt idx="528">
                  <c:v>157.09200000000001</c:v>
                </c:pt>
                <c:pt idx="529">
                  <c:v>151.52799999999999</c:v>
                </c:pt>
                <c:pt idx="530">
                  <c:v>157.08799999999999</c:v>
                </c:pt>
                <c:pt idx="531">
                  <c:v>153.38399999999999</c:v>
                </c:pt>
                <c:pt idx="532">
                  <c:v>155.852</c:v>
                </c:pt>
                <c:pt idx="533">
                  <c:v>153.38399999999999</c:v>
                </c:pt>
                <c:pt idx="534">
                  <c:v>155.23599999999999</c:v>
                </c:pt>
                <c:pt idx="535">
                  <c:v>152.14400000000001</c:v>
                </c:pt>
                <c:pt idx="536">
                  <c:v>157.09200000000001</c:v>
                </c:pt>
                <c:pt idx="537">
                  <c:v>166.35599999999999</c:v>
                </c:pt>
                <c:pt idx="538">
                  <c:v>158.32400000000001</c:v>
                </c:pt>
                <c:pt idx="539">
                  <c:v>145.96799999999999</c:v>
                </c:pt>
                <c:pt idx="540">
                  <c:v>145.96799999999999</c:v>
                </c:pt>
                <c:pt idx="541">
                  <c:v>149.67599999999999</c:v>
                </c:pt>
                <c:pt idx="542">
                  <c:v>155.852</c:v>
                </c:pt>
                <c:pt idx="543">
                  <c:v>151.52799999999999</c:v>
                </c:pt>
                <c:pt idx="544">
                  <c:v>152.148</c:v>
                </c:pt>
                <c:pt idx="545">
                  <c:v>155.852</c:v>
                </c:pt>
                <c:pt idx="546">
                  <c:v>154</c:v>
                </c:pt>
                <c:pt idx="547">
                  <c:v>152.148</c:v>
                </c:pt>
                <c:pt idx="548">
                  <c:v>155.852</c:v>
                </c:pt>
                <c:pt idx="549">
                  <c:v>152.76400000000001</c:v>
                </c:pt>
                <c:pt idx="550">
                  <c:v>155.23599999999999</c:v>
                </c:pt>
                <c:pt idx="551">
                  <c:v>152.76400000000001</c:v>
                </c:pt>
                <c:pt idx="552">
                  <c:v>157.09200000000001</c:v>
                </c:pt>
                <c:pt idx="553">
                  <c:v>154</c:v>
                </c:pt>
                <c:pt idx="554">
                  <c:v>154.61600000000001</c:v>
                </c:pt>
                <c:pt idx="555">
                  <c:v>154.62</c:v>
                </c:pt>
                <c:pt idx="556">
                  <c:v>154</c:v>
                </c:pt>
                <c:pt idx="557">
                  <c:v>160.17599999999999</c:v>
                </c:pt>
                <c:pt idx="558">
                  <c:v>165.124</c:v>
                </c:pt>
                <c:pt idx="559">
                  <c:v>152.14400000000001</c:v>
                </c:pt>
                <c:pt idx="560">
                  <c:v>141.64400000000001</c:v>
                </c:pt>
                <c:pt idx="561">
                  <c:v>152.148</c:v>
                </c:pt>
                <c:pt idx="562">
                  <c:v>157.08799999999999</c:v>
                </c:pt>
                <c:pt idx="563">
                  <c:v>149.05600000000001</c:v>
                </c:pt>
                <c:pt idx="564">
                  <c:v>151.52799999999999</c:v>
                </c:pt>
                <c:pt idx="565">
                  <c:v>154.62</c:v>
                </c:pt>
                <c:pt idx="566">
                  <c:v>154.61600000000001</c:v>
                </c:pt>
                <c:pt idx="567">
                  <c:v>150.292</c:v>
                </c:pt>
                <c:pt idx="568">
                  <c:v>154.62</c:v>
                </c:pt>
                <c:pt idx="569">
                  <c:v>154.61599999999999</c:v>
                </c:pt>
                <c:pt idx="570">
                  <c:v>150.29599999999999</c:v>
                </c:pt>
                <c:pt idx="571">
                  <c:v>157.70400000000001</c:v>
                </c:pt>
                <c:pt idx="572">
                  <c:v>154.62</c:v>
                </c:pt>
                <c:pt idx="573">
                  <c:v>155.23599999999999</c:v>
                </c:pt>
                <c:pt idx="574">
                  <c:v>154</c:v>
                </c:pt>
                <c:pt idx="575">
                  <c:v>157.08799999999999</c:v>
                </c:pt>
                <c:pt idx="576">
                  <c:v>151.52799999999999</c:v>
                </c:pt>
                <c:pt idx="577">
                  <c:v>156.47200000000001</c:v>
                </c:pt>
                <c:pt idx="578">
                  <c:v>165.12</c:v>
                </c:pt>
                <c:pt idx="579">
                  <c:v>159.56399999999999</c:v>
                </c:pt>
                <c:pt idx="580">
                  <c:v>149.05600000000001</c:v>
                </c:pt>
                <c:pt idx="581">
                  <c:v>145.96799999999999</c:v>
                </c:pt>
                <c:pt idx="582">
                  <c:v>155.23599999999999</c:v>
                </c:pt>
                <c:pt idx="583">
                  <c:v>150.292</c:v>
                </c:pt>
                <c:pt idx="584">
                  <c:v>149.67599999999999</c:v>
                </c:pt>
                <c:pt idx="585">
                  <c:v>153.38</c:v>
                </c:pt>
                <c:pt idx="586">
                  <c:v>152.148</c:v>
                </c:pt>
                <c:pt idx="587">
                  <c:v>155.23599999999999</c:v>
                </c:pt>
                <c:pt idx="588">
                  <c:v>154.61600000000001</c:v>
                </c:pt>
                <c:pt idx="589">
                  <c:v>151.52799999999999</c:v>
                </c:pt>
                <c:pt idx="590">
                  <c:v>154.62</c:v>
                </c:pt>
                <c:pt idx="591">
                  <c:v>154</c:v>
                </c:pt>
                <c:pt idx="592">
                  <c:v>154.61599999999999</c:v>
                </c:pt>
                <c:pt idx="593">
                  <c:v>154</c:v>
                </c:pt>
                <c:pt idx="594">
                  <c:v>157.09200000000001</c:v>
                </c:pt>
                <c:pt idx="595">
                  <c:v>152.76400000000001</c:v>
                </c:pt>
                <c:pt idx="596">
                  <c:v>155.852</c:v>
                </c:pt>
                <c:pt idx="597">
                  <c:v>155.85599999999999</c:v>
                </c:pt>
                <c:pt idx="598">
                  <c:v>154</c:v>
                </c:pt>
                <c:pt idx="599">
                  <c:v>163.268</c:v>
                </c:pt>
                <c:pt idx="600">
                  <c:v>162.03200000000001</c:v>
                </c:pt>
                <c:pt idx="601">
                  <c:v>147.19999999999999</c:v>
                </c:pt>
                <c:pt idx="602">
                  <c:v>151.53200000000001</c:v>
                </c:pt>
                <c:pt idx="603">
                  <c:v>148.43600000000001</c:v>
                </c:pt>
                <c:pt idx="604">
                  <c:v>151.52799999999999</c:v>
                </c:pt>
                <c:pt idx="605">
                  <c:v>150.91200000000001</c:v>
                </c:pt>
                <c:pt idx="606">
                  <c:v>152.148</c:v>
                </c:pt>
                <c:pt idx="607">
                  <c:v>155.23599999999999</c:v>
                </c:pt>
                <c:pt idx="608">
                  <c:v>154.61600000000001</c:v>
                </c:pt>
                <c:pt idx="609">
                  <c:v>152.76400000000001</c:v>
                </c:pt>
                <c:pt idx="610">
                  <c:v>152.76400000000001</c:v>
                </c:pt>
                <c:pt idx="611">
                  <c:v>155.85599999999999</c:v>
                </c:pt>
                <c:pt idx="612">
                  <c:v>152.76400000000001</c:v>
                </c:pt>
                <c:pt idx="613">
                  <c:v>153.38</c:v>
                </c:pt>
                <c:pt idx="614">
                  <c:v>152.148</c:v>
                </c:pt>
                <c:pt idx="615">
                  <c:v>155.852</c:v>
                </c:pt>
                <c:pt idx="616">
                  <c:v>155.23599999999999</c:v>
                </c:pt>
                <c:pt idx="617">
                  <c:v>154.62</c:v>
                </c:pt>
                <c:pt idx="618">
                  <c:v>154</c:v>
                </c:pt>
                <c:pt idx="619">
                  <c:v>158.32400000000001</c:v>
                </c:pt>
                <c:pt idx="620">
                  <c:v>166.35599999999999</c:v>
                </c:pt>
                <c:pt idx="621">
                  <c:v>159.56399999999999</c:v>
                </c:pt>
                <c:pt idx="622">
                  <c:v>146.584</c:v>
                </c:pt>
                <c:pt idx="623">
                  <c:v>146.584</c:v>
                </c:pt>
                <c:pt idx="624">
                  <c:v>150.91200000000001</c:v>
                </c:pt>
                <c:pt idx="625">
                  <c:v>152.76400000000001</c:v>
                </c:pt>
                <c:pt idx="626">
                  <c:v>150.91200000000001</c:v>
                </c:pt>
                <c:pt idx="627">
                  <c:v>152.14400000000001</c:v>
                </c:pt>
                <c:pt idx="628">
                  <c:v>155.23599999999999</c:v>
                </c:pt>
                <c:pt idx="629">
                  <c:v>153.38399999999999</c:v>
                </c:pt>
                <c:pt idx="630">
                  <c:v>156.47200000000001</c:v>
                </c:pt>
                <c:pt idx="631">
                  <c:v>150.90799999999999</c:v>
                </c:pt>
                <c:pt idx="632">
                  <c:v>154.62</c:v>
                </c:pt>
                <c:pt idx="633">
                  <c:v>153.38</c:v>
                </c:pt>
                <c:pt idx="634">
                  <c:v>154.62</c:v>
                </c:pt>
                <c:pt idx="635">
                  <c:v>152.14400000000001</c:v>
                </c:pt>
                <c:pt idx="636">
                  <c:v>155.23599999999999</c:v>
                </c:pt>
                <c:pt idx="637">
                  <c:v>156.47200000000001</c:v>
                </c:pt>
                <c:pt idx="638">
                  <c:v>152.76400000000001</c:v>
                </c:pt>
                <c:pt idx="639">
                  <c:v>155.23599999999999</c:v>
                </c:pt>
                <c:pt idx="640">
                  <c:v>155.85599999999999</c:v>
                </c:pt>
                <c:pt idx="641">
                  <c:v>161.41200000000001</c:v>
                </c:pt>
                <c:pt idx="642">
                  <c:v>166.36</c:v>
                </c:pt>
                <c:pt idx="643">
                  <c:v>150.90800000000002</c:v>
                </c:pt>
                <c:pt idx="644">
                  <c:v>146.58799999999999</c:v>
                </c:pt>
                <c:pt idx="645">
                  <c:v>146.584</c:v>
                </c:pt>
                <c:pt idx="646">
                  <c:v>154</c:v>
                </c:pt>
                <c:pt idx="647">
                  <c:v>149.67599999999999</c:v>
                </c:pt>
                <c:pt idx="648">
                  <c:v>152.76400000000001</c:v>
                </c:pt>
                <c:pt idx="649">
                  <c:v>154</c:v>
                </c:pt>
                <c:pt idx="650">
                  <c:v>152.76400000000001</c:v>
                </c:pt>
                <c:pt idx="651">
                  <c:v>156.47200000000001</c:v>
                </c:pt>
                <c:pt idx="652">
                  <c:v>152.76400000000001</c:v>
                </c:pt>
                <c:pt idx="653">
                  <c:v>154</c:v>
                </c:pt>
                <c:pt idx="654">
                  <c:v>154.61600000000001</c:v>
                </c:pt>
                <c:pt idx="655">
                  <c:v>152.76400000000001</c:v>
                </c:pt>
                <c:pt idx="656">
                  <c:v>153.38400000000001</c:v>
                </c:pt>
                <c:pt idx="657">
                  <c:v>154.61599999999999</c:v>
                </c:pt>
                <c:pt idx="658">
                  <c:v>154.62</c:v>
                </c:pt>
                <c:pt idx="659">
                  <c:v>156.47200000000001</c:v>
                </c:pt>
                <c:pt idx="660">
                  <c:v>154.61600000000001</c:v>
                </c:pt>
                <c:pt idx="661">
                  <c:v>154</c:v>
                </c:pt>
                <c:pt idx="662">
                  <c:v>157.708</c:v>
                </c:pt>
                <c:pt idx="663">
                  <c:v>164.50399999999999</c:v>
                </c:pt>
                <c:pt idx="664">
                  <c:v>160.18</c:v>
                </c:pt>
                <c:pt idx="665">
                  <c:v>145.34800000000001</c:v>
                </c:pt>
                <c:pt idx="666">
                  <c:v>146.584</c:v>
                </c:pt>
                <c:pt idx="667">
                  <c:v>151.53200000000001</c:v>
                </c:pt>
                <c:pt idx="668">
                  <c:v>152.76400000000001</c:v>
                </c:pt>
                <c:pt idx="669">
                  <c:v>149.672</c:v>
                </c:pt>
                <c:pt idx="670">
                  <c:v>155.23599999999999</c:v>
                </c:pt>
                <c:pt idx="671">
                  <c:v>154</c:v>
                </c:pt>
                <c:pt idx="672">
                  <c:v>153.38399999999999</c:v>
                </c:pt>
                <c:pt idx="673">
                  <c:v>155.23599999999999</c:v>
                </c:pt>
                <c:pt idx="674">
                  <c:v>154</c:v>
                </c:pt>
                <c:pt idx="675">
                  <c:v>155.23599999999999</c:v>
                </c:pt>
                <c:pt idx="676">
                  <c:v>152.14400000000001</c:v>
                </c:pt>
                <c:pt idx="677">
                  <c:v>152.76400000000001</c:v>
                </c:pt>
                <c:pt idx="678">
                  <c:v>155.85599999999999</c:v>
                </c:pt>
                <c:pt idx="679">
                  <c:v>152.76400000000001</c:v>
                </c:pt>
                <c:pt idx="680">
                  <c:v>155.23599999999999</c:v>
                </c:pt>
                <c:pt idx="681">
                  <c:v>154.61600000000001</c:v>
                </c:pt>
                <c:pt idx="682">
                  <c:v>154.62</c:v>
                </c:pt>
                <c:pt idx="683">
                  <c:v>158.32400000000001</c:v>
                </c:pt>
                <c:pt idx="684">
                  <c:v>166.35599999999999</c:v>
                </c:pt>
                <c:pt idx="685">
                  <c:v>156.47200000000001</c:v>
                </c:pt>
                <c:pt idx="686">
                  <c:v>145.352</c:v>
                </c:pt>
                <c:pt idx="687">
                  <c:v>147.82</c:v>
                </c:pt>
                <c:pt idx="688">
                  <c:v>152.14400000000001</c:v>
                </c:pt>
                <c:pt idx="689">
                  <c:v>151.53200000000001</c:v>
                </c:pt>
                <c:pt idx="690">
                  <c:v>152.14400000000001</c:v>
                </c:pt>
                <c:pt idx="691">
                  <c:v>153.38399999999999</c:v>
                </c:pt>
                <c:pt idx="692">
                  <c:v>151.52799999999999</c:v>
                </c:pt>
                <c:pt idx="693">
                  <c:v>158.32400000000001</c:v>
                </c:pt>
                <c:pt idx="694">
                  <c:v>153.38399999999999</c:v>
                </c:pt>
                <c:pt idx="695">
                  <c:v>154.61600000000001</c:v>
                </c:pt>
                <c:pt idx="696">
                  <c:v>155.23599999999999</c:v>
                </c:pt>
                <c:pt idx="697">
                  <c:v>151.52799999999999</c:v>
                </c:pt>
                <c:pt idx="698">
                  <c:v>152.76400000000001</c:v>
                </c:pt>
                <c:pt idx="699">
                  <c:v>154.62</c:v>
                </c:pt>
                <c:pt idx="700">
                  <c:v>154</c:v>
                </c:pt>
                <c:pt idx="701">
                  <c:v>153.38</c:v>
                </c:pt>
                <c:pt idx="702">
                  <c:v>155.23599999999999</c:v>
                </c:pt>
                <c:pt idx="703">
                  <c:v>155.85599999999999</c:v>
                </c:pt>
                <c:pt idx="704">
                  <c:v>158.94</c:v>
                </c:pt>
                <c:pt idx="705">
                  <c:v>168.21199999999999</c:v>
                </c:pt>
                <c:pt idx="706">
                  <c:v>153.38400000000001</c:v>
                </c:pt>
                <c:pt idx="707">
                  <c:v>144.11199999999999</c:v>
                </c:pt>
                <c:pt idx="708">
                  <c:v>149.05600000000001</c:v>
                </c:pt>
                <c:pt idx="709">
                  <c:v>152.768</c:v>
                </c:pt>
                <c:pt idx="710">
                  <c:v>150.90799999999999</c:v>
                </c:pt>
                <c:pt idx="711">
                  <c:v>151.52799999999999</c:v>
                </c:pt>
                <c:pt idx="712">
                  <c:v>154</c:v>
                </c:pt>
                <c:pt idx="713">
                  <c:v>155.85599999999999</c:v>
                </c:pt>
                <c:pt idx="714">
                  <c:v>154.61600000000001</c:v>
                </c:pt>
                <c:pt idx="715">
                  <c:v>153.38399999999999</c:v>
                </c:pt>
                <c:pt idx="716">
                  <c:v>154</c:v>
                </c:pt>
                <c:pt idx="717">
                  <c:v>154.61600000000001</c:v>
                </c:pt>
                <c:pt idx="718">
                  <c:v>153.38399999999999</c:v>
                </c:pt>
                <c:pt idx="719">
                  <c:v>152.14400000000001</c:v>
                </c:pt>
                <c:pt idx="720">
                  <c:v>154.62</c:v>
                </c:pt>
                <c:pt idx="721">
                  <c:v>153.38</c:v>
                </c:pt>
                <c:pt idx="722">
                  <c:v>154</c:v>
                </c:pt>
                <c:pt idx="723">
                  <c:v>155.23599999999999</c:v>
                </c:pt>
                <c:pt idx="724">
                  <c:v>154.62</c:v>
                </c:pt>
                <c:pt idx="725">
                  <c:v>159.56</c:v>
                </c:pt>
                <c:pt idx="726">
                  <c:v>166.976</c:v>
                </c:pt>
                <c:pt idx="727">
                  <c:v>157.708</c:v>
                </c:pt>
                <c:pt idx="728">
                  <c:v>141.63999999999999</c:v>
                </c:pt>
                <c:pt idx="729">
                  <c:v>149.05600000000001</c:v>
                </c:pt>
                <c:pt idx="730">
                  <c:v>152.768</c:v>
                </c:pt>
                <c:pt idx="731">
                  <c:v>151.52799999999999</c:v>
                </c:pt>
                <c:pt idx="732">
                  <c:v>150.90799999999999</c:v>
                </c:pt>
                <c:pt idx="733">
                  <c:v>154.62</c:v>
                </c:pt>
                <c:pt idx="734">
                  <c:v>152.76400000000001</c:v>
                </c:pt>
                <c:pt idx="735">
                  <c:v>157.708</c:v>
                </c:pt>
                <c:pt idx="736">
                  <c:v>152.76400000000001</c:v>
                </c:pt>
                <c:pt idx="737">
                  <c:v>155.852</c:v>
                </c:pt>
                <c:pt idx="738">
                  <c:v>153.38399999999999</c:v>
                </c:pt>
                <c:pt idx="739">
                  <c:v>152.14400000000001</c:v>
                </c:pt>
                <c:pt idx="740">
                  <c:v>153.38399999999999</c:v>
                </c:pt>
                <c:pt idx="741">
                  <c:v>155.852</c:v>
                </c:pt>
                <c:pt idx="742">
                  <c:v>150.91200000000001</c:v>
                </c:pt>
                <c:pt idx="743">
                  <c:v>155.852</c:v>
                </c:pt>
                <c:pt idx="744">
                  <c:v>154</c:v>
                </c:pt>
                <c:pt idx="745">
                  <c:v>154.62</c:v>
                </c:pt>
                <c:pt idx="746">
                  <c:v>159.56</c:v>
                </c:pt>
                <c:pt idx="747">
                  <c:v>165.12</c:v>
                </c:pt>
                <c:pt idx="748">
                  <c:v>158.328</c:v>
                </c:pt>
                <c:pt idx="749">
                  <c:v>143.49600000000001</c:v>
                </c:pt>
                <c:pt idx="750">
                  <c:v>148.43600000000001</c:v>
                </c:pt>
                <c:pt idx="751">
                  <c:v>151.53200000000001</c:v>
                </c:pt>
                <c:pt idx="752">
                  <c:v>152.76400000000001</c:v>
                </c:pt>
                <c:pt idx="753">
                  <c:v>151.52799999999999</c:v>
                </c:pt>
                <c:pt idx="754">
                  <c:v>154.61600000000001</c:v>
                </c:pt>
                <c:pt idx="755">
                  <c:v>153.38399999999999</c:v>
                </c:pt>
                <c:pt idx="756">
                  <c:v>155.23599999999999</c:v>
                </c:pt>
                <c:pt idx="757">
                  <c:v>154</c:v>
                </c:pt>
                <c:pt idx="758">
                  <c:v>155.23599999999999</c:v>
                </c:pt>
                <c:pt idx="759">
                  <c:v>154</c:v>
                </c:pt>
                <c:pt idx="760">
                  <c:v>153.38</c:v>
                </c:pt>
                <c:pt idx="761">
                  <c:v>152.148</c:v>
                </c:pt>
                <c:pt idx="762">
                  <c:v>155.23599999999999</c:v>
                </c:pt>
                <c:pt idx="763">
                  <c:v>152.76400000000001</c:v>
                </c:pt>
                <c:pt idx="764">
                  <c:v>155.23599999999999</c:v>
                </c:pt>
                <c:pt idx="765">
                  <c:v>152.14400000000001</c:v>
                </c:pt>
                <c:pt idx="766">
                  <c:v>157.09200000000001</c:v>
                </c:pt>
                <c:pt idx="767">
                  <c:v>157.70400000000001</c:v>
                </c:pt>
                <c:pt idx="768">
                  <c:v>166.36</c:v>
                </c:pt>
                <c:pt idx="769">
                  <c:v>158.94399999999999</c:v>
                </c:pt>
                <c:pt idx="770">
                  <c:v>142.26</c:v>
                </c:pt>
                <c:pt idx="771">
                  <c:v>147.82</c:v>
                </c:pt>
                <c:pt idx="772">
                  <c:v>153.38399999999999</c:v>
                </c:pt>
                <c:pt idx="773">
                  <c:v>151.52799999999999</c:v>
                </c:pt>
                <c:pt idx="774">
                  <c:v>150.90799999999999</c:v>
                </c:pt>
                <c:pt idx="775">
                  <c:v>154.62</c:v>
                </c:pt>
                <c:pt idx="776">
                  <c:v>154</c:v>
                </c:pt>
                <c:pt idx="777">
                  <c:v>155.852</c:v>
                </c:pt>
                <c:pt idx="778">
                  <c:v>154.62</c:v>
                </c:pt>
                <c:pt idx="779">
                  <c:v>154</c:v>
                </c:pt>
                <c:pt idx="780">
                  <c:v>152.76400000000001</c:v>
                </c:pt>
                <c:pt idx="781">
                  <c:v>154.61600000000001</c:v>
                </c:pt>
                <c:pt idx="782">
                  <c:v>153.38399999999999</c:v>
                </c:pt>
                <c:pt idx="783">
                  <c:v>154.61600000000001</c:v>
                </c:pt>
                <c:pt idx="784">
                  <c:v>152.76400000000001</c:v>
                </c:pt>
                <c:pt idx="785">
                  <c:v>154</c:v>
                </c:pt>
                <c:pt idx="786">
                  <c:v>154</c:v>
                </c:pt>
                <c:pt idx="787">
                  <c:v>155.85599999999999</c:v>
                </c:pt>
                <c:pt idx="788">
                  <c:v>162.03200000000001</c:v>
                </c:pt>
                <c:pt idx="789">
                  <c:v>164.50399999999999</c:v>
                </c:pt>
                <c:pt idx="790">
                  <c:v>150.90800000000002</c:v>
                </c:pt>
                <c:pt idx="791">
                  <c:v>145.352</c:v>
                </c:pt>
                <c:pt idx="792">
                  <c:v>150.292</c:v>
                </c:pt>
                <c:pt idx="793">
                  <c:v>152.148</c:v>
                </c:pt>
                <c:pt idx="794">
                  <c:v>150.90799999999999</c:v>
                </c:pt>
                <c:pt idx="795">
                  <c:v>154</c:v>
                </c:pt>
                <c:pt idx="796">
                  <c:v>152.76400000000001</c:v>
                </c:pt>
                <c:pt idx="797">
                  <c:v>157.708</c:v>
                </c:pt>
                <c:pt idx="798">
                  <c:v>153.38399999999999</c:v>
                </c:pt>
                <c:pt idx="799">
                  <c:v>154.61600000000001</c:v>
                </c:pt>
                <c:pt idx="800">
                  <c:v>153.38399999999999</c:v>
                </c:pt>
                <c:pt idx="801">
                  <c:v>155.23599999999999</c:v>
                </c:pt>
                <c:pt idx="802">
                  <c:v>151.52799999999999</c:v>
                </c:pt>
                <c:pt idx="803">
                  <c:v>154</c:v>
                </c:pt>
                <c:pt idx="804">
                  <c:v>153.38</c:v>
                </c:pt>
                <c:pt idx="805">
                  <c:v>153.38399999999999</c:v>
                </c:pt>
                <c:pt idx="806">
                  <c:v>155.23599999999999</c:v>
                </c:pt>
                <c:pt idx="807">
                  <c:v>153.38</c:v>
                </c:pt>
                <c:pt idx="808">
                  <c:v>162.03200000000001</c:v>
                </c:pt>
                <c:pt idx="809">
                  <c:v>165.74</c:v>
                </c:pt>
                <c:pt idx="810">
                  <c:v>149.67599999999999</c:v>
                </c:pt>
                <c:pt idx="811">
                  <c:v>145.96799999999999</c:v>
                </c:pt>
                <c:pt idx="812">
                  <c:v>151.52799999999999</c:v>
                </c:pt>
                <c:pt idx="813">
                  <c:v>154</c:v>
                </c:pt>
                <c:pt idx="814">
                  <c:v>151.52799999999999</c:v>
                </c:pt>
                <c:pt idx="815">
                  <c:v>150.91200000000001</c:v>
                </c:pt>
                <c:pt idx="816">
                  <c:v>155.23599999999999</c:v>
                </c:pt>
                <c:pt idx="817">
                  <c:v>154.61600000000001</c:v>
                </c:pt>
                <c:pt idx="818">
                  <c:v>153.38399999999999</c:v>
                </c:pt>
                <c:pt idx="819">
                  <c:v>157.08799999999999</c:v>
                </c:pt>
                <c:pt idx="820">
                  <c:v>152.76400000000001</c:v>
                </c:pt>
                <c:pt idx="821">
                  <c:v>152.76400000000001</c:v>
                </c:pt>
                <c:pt idx="822">
                  <c:v>154</c:v>
                </c:pt>
                <c:pt idx="823">
                  <c:v>154</c:v>
                </c:pt>
                <c:pt idx="824">
                  <c:v>154</c:v>
                </c:pt>
                <c:pt idx="825">
                  <c:v>152.148</c:v>
                </c:pt>
                <c:pt idx="826">
                  <c:v>155.23599999999999</c:v>
                </c:pt>
                <c:pt idx="827">
                  <c:v>153.38</c:v>
                </c:pt>
                <c:pt idx="828">
                  <c:v>158.328</c:v>
                </c:pt>
                <c:pt idx="829">
                  <c:v>166.97200000000001</c:v>
                </c:pt>
                <c:pt idx="830">
                  <c:v>152.76400000000001</c:v>
                </c:pt>
                <c:pt idx="831">
                  <c:v>145.96799999999999</c:v>
                </c:pt>
                <c:pt idx="832">
                  <c:v>152.76400000000001</c:v>
                </c:pt>
                <c:pt idx="833">
                  <c:v>152.148</c:v>
                </c:pt>
                <c:pt idx="834">
                  <c:v>150.91200000000001</c:v>
                </c:pt>
                <c:pt idx="835">
                  <c:v>153.38</c:v>
                </c:pt>
                <c:pt idx="836">
                  <c:v>153.38399999999999</c:v>
                </c:pt>
                <c:pt idx="837">
                  <c:v>154.61600000000001</c:v>
                </c:pt>
                <c:pt idx="838">
                  <c:v>154.62</c:v>
                </c:pt>
                <c:pt idx="839">
                  <c:v>156.47200000000001</c:v>
                </c:pt>
                <c:pt idx="840">
                  <c:v>151.52799999999999</c:v>
                </c:pt>
                <c:pt idx="841">
                  <c:v>154.61600000000001</c:v>
                </c:pt>
                <c:pt idx="842">
                  <c:v>152.76400000000001</c:v>
                </c:pt>
                <c:pt idx="843">
                  <c:v>156.47200000000001</c:v>
                </c:pt>
                <c:pt idx="844">
                  <c:v>151.52799999999999</c:v>
                </c:pt>
                <c:pt idx="845">
                  <c:v>154</c:v>
                </c:pt>
                <c:pt idx="846">
                  <c:v>154</c:v>
                </c:pt>
                <c:pt idx="847">
                  <c:v>153.38399999999999</c:v>
                </c:pt>
                <c:pt idx="848">
                  <c:v>155.852</c:v>
                </c:pt>
                <c:pt idx="849">
                  <c:v>162.03200000000001</c:v>
                </c:pt>
                <c:pt idx="850">
                  <c:v>162.03200000000001</c:v>
                </c:pt>
                <c:pt idx="851">
                  <c:v>144.11600000000001</c:v>
                </c:pt>
                <c:pt idx="852">
                  <c:v>152.76400000000001</c:v>
                </c:pt>
                <c:pt idx="853">
                  <c:v>152.14400000000001</c:v>
                </c:pt>
                <c:pt idx="854">
                  <c:v>152.768</c:v>
                </c:pt>
                <c:pt idx="855">
                  <c:v>152.14400000000001</c:v>
                </c:pt>
                <c:pt idx="856">
                  <c:v>152.148</c:v>
                </c:pt>
                <c:pt idx="857">
                  <c:v>155.852</c:v>
                </c:pt>
                <c:pt idx="858">
                  <c:v>154</c:v>
                </c:pt>
                <c:pt idx="859">
                  <c:v>154</c:v>
                </c:pt>
                <c:pt idx="860">
                  <c:v>155.23599999999999</c:v>
                </c:pt>
                <c:pt idx="861">
                  <c:v>152.76400000000001</c:v>
                </c:pt>
                <c:pt idx="862">
                  <c:v>153.38399999999999</c:v>
                </c:pt>
                <c:pt idx="863">
                  <c:v>154.61600000000001</c:v>
                </c:pt>
                <c:pt idx="864">
                  <c:v>152.76400000000001</c:v>
                </c:pt>
                <c:pt idx="865">
                  <c:v>155.23599999999999</c:v>
                </c:pt>
                <c:pt idx="866">
                  <c:v>154</c:v>
                </c:pt>
                <c:pt idx="867">
                  <c:v>152.76400000000001</c:v>
                </c:pt>
                <c:pt idx="868">
                  <c:v>154.62</c:v>
                </c:pt>
                <c:pt idx="869">
                  <c:v>160.17599999999999</c:v>
                </c:pt>
                <c:pt idx="870">
                  <c:v>159.56399999999999</c:v>
                </c:pt>
                <c:pt idx="871">
                  <c:v>149.672</c:v>
                </c:pt>
                <c:pt idx="872">
                  <c:v>152.76400000000001</c:v>
                </c:pt>
                <c:pt idx="873">
                  <c:v>152.148</c:v>
                </c:pt>
                <c:pt idx="874">
                  <c:v>152.76400000000001</c:v>
                </c:pt>
                <c:pt idx="875">
                  <c:v>150.91200000000001</c:v>
                </c:pt>
                <c:pt idx="876">
                  <c:v>152.76400000000001</c:v>
                </c:pt>
                <c:pt idx="877">
                  <c:v>155.852</c:v>
                </c:pt>
                <c:pt idx="878">
                  <c:v>153.38399999999999</c:v>
                </c:pt>
                <c:pt idx="879">
                  <c:v>156.47200000000001</c:v>
                </c:pt>
                <c:pt idx="880">
                  <c:v>152.14400000000001</c:v>
                </c:pt>
                <c:pt idx="881">
                  <c:v>153.38399999999999</c:v>
                </c:pt>
                <c:pt idx="882">
                  <c:v>155.23599999999999</c:v>
                </c:pt>
                <c:pt idx="883">
                  <c:v>152.76400000000001</c:v>
                </c:pt>
                <c:pt idx="884">
                  <c:v>154</c:v>
                </c:pt>
                <c:pt idx="885">
                  <c:v>153.38</c:v>
                </c:pt>
                <c:pt idx="886">
                  <c:v>155.23599999999999</c:v>
                </c:pt>
                <c:pt idx="887">
                  <c:v>152.148</c:v>
                </c:pt>
                <c:pt idx="888">
                  <c:v>155.852</c:v>
                </c:pt>
                <c:pt idx="889">
                  <c:v>155.85599999999999</c:v>
                </c:pt>
                <c:pt idx="890">
                  <c:v>162.03200000000001</c:v>
                </c:pt>
                <c:pt idx="891">
                  <c:v>152.76400000000001</c:v>
                </c:pt>
                <c:pt idx="892">
                  <c:v>149.672</c:v>
                </c:pt>
                <c:pt idx="893">
                  <c:v>86.652000000000001</c:v>
                </c:pt>
                <c:pt idx="894">
                  <c:v>149.06</c:v>
                </c:pt>
                <c:pt idx="895">
                  <c:v>165.74</c:v>
                </c:pt>
                <c:pt idx="896">
                  <c:v>162.648</c:v>
                </c:pt>
                <c:pt idx="897">
                  <c:v>157.708</c:v>
                </c:pt>
                <c:pt idx="898">
                  <c:v>158.94399999999999</c:v>
                </c:pt>
                <c:pt idx="899">
                  <c:v>154</c:v>
                </c:pt>
                <c:pt idx="900">
                  <c:v>157.70400000000001</c:v>
                </c:pt>
                <c:pt idx="901">
                  <c:v>156.47200000000001</c:v>
                </c:pt>
                <c:pt idx="902">
                  <c:v>154</c:v>
                </c:pt>
                <c:pt idx="903">
                  <c:v>154</c:v>
                </c:pt>
                <c:pt idx="904">
                  <c:v>157.09200000000001</c:v>
                </c:pt>
                <c:pt idx="905">
                  <c:v>154</c:v>
                </c:pt>
                <c:pt idx="906">
                  <c:v>157.08799999999999</c:v>
                </c:pt>
                <c:pt idx="907">
                  <c:v>154</c:v>
                </c:pt>
                <c:pt idx="908">
                  <c:v>154.62</c:v>
                </c:pt>
                <c:pt idx="909">
                  <c:v>155.232</c:v>
                </c:pt>
                <c:pt idx="910">
                  <c:v>158.328</c:v>
                </c:pt>
                <c:pt idx="911">
                  <c:v>155.852</c:v>
                </c:pt>
                <c:pt idx="912">
                  <c:v>152.148</c:v>
                </c:pt>
                <c:pt idx="913">
                  <c:v>155.23599999999999</c:v>
                </c:pt>
                <c:pt idx="914">
                  <c:v>154</c:v>
                </c:pt>
                <c:pt idx="915">
                  <c:v>154</c:v>
                </c:pt>
                <c:pt idx="916">
                  <c:v>154</c:v>
                </c:pt>
                <c:pt idx="917">
                  <c:v>154.61599999999999</c:v>
                </c:pt>
                <c:pt idx="918">
                  <c:v>155.23599999999999</c:v>
                </c:pt>
                <c:pt idx="919">
                  <c:v>155.852</c:v>
                </c:pt>
                <c:pt idx="920">
                  <c:v>153.38399999999999</c:v>
                </c:pt>
                <c:pt idx="921">
                  <c:v>154.61600000000001</c:v>
                </c:pt>
                <c:pt idx="922">
                  <c:v>155.85599999999999</c:v>
                </c:pt>
                <c:pt idx="923">
                  <c:v>152.14400000000001</c:v>
                </c:pt>
                <c:pt idx="924">
                  <c:v>156.47200000000001</c:v>
                </c:pt>
                <c:pt idx="925">
                  <c:v>153.38400000000001</c:v>
                </c:pt>
                <c:pt idx="926">
                  <c:v>155.23599999999999</c:v>
                </c:pt>
                <c:pt idx="927">
                  <c:v>155.23599999999999</c:v>
                </c:pt>
                <c:pt idx="928">
                  <c:v>154</c:v>
                </c:pt>
                <c:pt idx="929">
                  <c:v>154.61599999999999</c:v>
                </c:pt>
                <c:pt idx="930">
                  <c:v>154.62</c:v>
                </c:pt>
                <c:pt idx="931">
                  <c:v>157.70400000000001</c:v>
                </c:pt>
                <c:pt idx="932">
                  <c:v>152.768</c:v>
                </c:pt>
                <c:pt idx="933">
                  <c:v>154.61599999999999</c:v>
                </c:pt>
                <c:pt idx="934">
                  <c:v>154</c:v>
                </c:pt>
                <c:pt idx="935">
                  <c:v>151.52799999999999</c:v>
                </c:pt>
                <c:pt idx="936">
                  <c:v>156.47200000000001</c:v>
                </c:pt>
                <c:pt idx="937">
                  <c:v>153.38400000000001</c:v>
                </c:pt>
                <c:pt idx="938">
                  <c:v>154.61599999999999</c:v>
                </c:pt>
                <c:pt idx="939">
                  <c:v>154.61600000000001</c:v>
                </c:pt>
                <c:pt idx="940">
                  <c:v>154.62</c:v>
                </c:pt>
                <c:pt idx="941">
                  <c:v>152.76400000000001</c:v>
                </c:pt>
                <c:pt idx="942">
                  <c:v>155.852</c:v>
                </c:pt>
                <c:pt idx="943">
                  <c:v>154.62</c:v>
                </c:pt>
                <c:pt idx="944">
                  <c:v>151.52799999999999</c:v>
                </c:pt>
                <c:pt idx="945">
                  <c:v>156.47200000000001</c:v>
                </c:pt>
                <c:pt idx="946">
                  <c:v>154.61599999999999</c:v>
                </c:pt>
                <c:pt idx="947">
                  <c:v>152.148</c:v>
                </c:pt>
                <c:pt idx="948">
                  <c:v>155.852</c:v>
                </c:pt>
                <c:pt idx="949">
                  <c:v>154</c:v>
                </c:pt>
                <c:pt idx="950">
                  <c:v>154.62</c:v>
                </c:pt>
                <c:pt idx="951">
                  <c:v>153.38</c:v>
                </c:pt>
                <c:pt idx="952">
                  <c:v>156.47200000000001</c:v>
                </c:pt>
                <c:pt idx="953">
                  <c:v>154</c:v>
                </c:pt>
                <c:pt idx="954">
                  <c:v>154</c:v>
                </c:pt>
                <c:pt idx="955">
                  <c:v>153.38399999999999</c:v>
                </c:pt>
                <c:pt idx="956">
                  <c:v>153.38</c:v>
                </c:pt>
                <c:pt idx="957">
                  <c:v>153.38399999999999</c:v>
                </c:pt>
                <c:pt idx="958">
                  <c:v>154.61600000000001</c:v>
                </c:pt>
                <c:pt idx="959">
                  <c:v>154.62</c:v>
                </c:pt>
                <c:pt idx="960">
                  <c:v>154</c:v>
                </c:pt>
                <c:pt idx="961">
                  <c:v>153.38</c:v>
                </c:pt>
                <c:pt idx="962">
                  <c:v>155.85599999999999</c:v>
                </c:pt>
                <c:pt idx="963">
                  <c:v>153.38</c:v>
                </c:pt>
                <c:pt idx="964">
                  <c:v>154</c:v>
                </c:pt>
                <c:pt idx="965">
                  <c:v>154</c:v>
                </c:pt>
                <c:pt idx="966">
                  <c:v>153.38399999999999</c:v>
                </c:pt>
                <c:pt idx="967">
                  <c:v>155.23599999999999</c:v>
                </c:pt>
                <c:pt idx="968">
                  <c:v>154</c:v>
                </c:pt>
                <c:pt idx="969">
                  <c:v>154</c:v>
                </c:pt>
                <c:pt idx="970">
                  <c:v>153.38</c:v>
                </c:pt>
                <c:pt idx="971">
                  <c:v>154.62</c:v>
                </c:pt>
                <c:pt idx="972">
                  <c:v>157.08799999999999</c:v>
                </c:pt>
                <c:pt idx="973">
                  <c:v>152.148</c:v>
                </c:pt>
                <c:pt idx="974">
                  <c:v>153.38</c:v>
                </c:pt>
                <c:pt idx="975">
                  <c:v>154.62</c:v>
                </c:pt>
                <c:pt idx="976">
                  <c:v>152.14400000000001</c:v>
                </c:pt>
                <c:pt idx="977">
                  <c:v>155.23599999999999</c:v>
                </c:pt>
                <c:pt idx="978">
                  <c:v>154</c:v>
                </c:pt>
                <c:pt idx="979">
                  <c:v>153.38399999999999</c:v>
                </c:pt>
                <c:pt idx="980">
                  <c:v>155.23599999999999</c:v>
                </c:pt>
                <c:pt idx="981">
                  <c:v>154.61600000000001</c:v>
                </c:pt>
                <c:pt idx="982">
                  <c:v>152.76400000000001</c:v>
                </c:pt>
                <c:pt idx="983">
                  <c:v>154.62</c:v>
                </c:pt>
                <c:pt idx="984">
                  <c:v>152.76400000000001</c:v>
                </c:pt>
                <c:pt idx="985">
                  <c:v>155.852</c:v>
                </c:pt>
                <c:pt idx="986">
                  <c:v>152.76400000000001</c:v>
                </c:pt>
                <c:pt idx="987">
                  <c:v>153.38399999999999</c:v>
                </c:pt>
                <c:pt idx="988">
                  <c:v>155.23599999999999</c:v>
                </c:pt>
                <c:pt idx="989">
                  <c:v>154</c:v>
                </c:pt>
                <c:pt idx="990">
                  <c:v>154</c:v>
                </c:pt>
                <c:pt idx="991">
                  <c:v>153.38</c:v>
                </c:pt>
                <c:pt idx="992">
                  <c:v>156.47200000000001</c:v>
                </c:pt>
                <c:pt idx="993">
                  <c:v>152.76400000000001</c:v>
                </c:pt>
                <c:pt idx="994">
                  <c:v>153.38399999999999</c:v>
                </c:pt>
                <c:pt idx="995">
                  <c:v>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96-4695-B674-E21074CF5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15616"/>
        <c:axId val="309921440"/>
      </c:scatterChart>
      <c:valAx>
        <c:axId val="309915616"/>
        <c:scaling>
          <c:orientation val="minMax"/>
          <c:max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9921440"/>
        <c:crosses val="autoZero"/>
        <c:crossBetween val="midCat"/>
      </c:valAx>
      <c:valAx>
        <c:axId val="309921440"/>
        <c:scaling>
          <c:orientation val="minMax"/>
          <c:max val="1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991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Gaby 109/75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Hoja1!$Q$2:$Q$501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Hoja1!$R$2:$R$501</c:f>
              <c:numCache>
                <c:formatCode>0.0</c:formatCode>
                <c:ptCount val="500"/>
                <c:pt idx="0">
                  <c:v>-0.62</c:v>
                </c:pt>
                <c:pt idx="1">
                  <c:v>-0.62</c:v>
                </c:pt>
                <c:pt idx="2">
                  <c:v>-0.62</c:v>
                </c:pt>
                <c:pt idx="3">
                  <c:v>0.08</c:v>
                </c:pt>
                <c:pt idx="4">
                  <c:v>2.39</c:v>
                </c:pt>
                <c:pt idx="5">
                  <c:v>2.97</c:v>
                </c:pt>
                <c:pt idx="6">
                  <c:v>3.36</c:v>
                </c:pt>
                <c:pt idx="7">
                  <c:v>3.4</c:v>
                </c:pt>
                <c:pt idx="8">
                  <c:v>3.44</c:v>
                </c:pt>
                <c:pt idx="9">
                  <c:v>3.67</c:v>
                </c:pt>
                <c:pt idx="10">
                  <c:v>3.86</c:v>
                </c:pt>
                <c:pt idx="11">
                  <c:v>3.82</c:v>
                </c:pt>
                <c:pt idx="12">
                  <c:v>3.86</c:v>
                </c:pt>
                <c:pt idx="13">
                  <c:v>3.78</c:v>
                </c:pt>
                <c:pt idx="14">
                  <c:v>3.75</c:v>
                </c:pt>
                <c:pt idx="15">
                  <c:v>3.71</c:v>
                </c:pt>
                <c:pt idx="16">
                  <c:v>3.86</c:v>
                </c:pt>
                <c:pt idx="17">
                  <c:v>4.3600000000000003</c:v>
                </c:pt>
                <c:pt idx="18">
                  <c:v>4.4400000000000004</c:v>
                </c:pt>
                <c:pt idx="19">
                  <c:v>4.83</c:v>
                </c:pt>
                <c:pt idx="20">
                  <c:v>4.9000000000000004</c:v>
                </c:pt>
                <c:pt idx="21">
                  <c:v>5.33</c:v>
                </c:pt>
                <c:pt idx="22">
                  <c:v>5.41</c:v>
                </c:pt>
                <c:pt idx="23">
                  <c:v>5.95</c:v>
                </c:pt>
                <c:pt idx="24">
                  <c:v>6.06</c:v>
                </c:pt>
                <c:pt idx="25">
                  <c:v>6.6</c:v>
                </c:pt>
                <c:pt idx="26">
                  <c:v>6.87</c:v>
                </c:pt>
                <c:pt idx="27">
                  <c:v>7.18</c:v>
                </c:pt>
                <c:pt idx="28">
                  <c:v>7.61</c:v>
                </c:pt>
                <c:pt idx="29">
                  <c:v>7.96</c:v>
                </c:pt>
                <c:pt idx="30">
                  <c:v>8.3000000000000007</c:v>
                </c:pt>
                <c:pt idx="31">
                  <c:v>8.65</c:v>
                </c:pt>
                <c:pt idx="32">
                  <c:v>9</c:v>
                </c:pt>
                <c:pt idx="33">
                  <c:v>9.31</c:v>
                </c:pt>
                <c:pt idx="34">
                  <c:v>9.6199999999999992</c:v>
                </c:pt>
                <c:pt idx="35">
                  <c:v>9.89</c:v>
                </c:pt>
                <c:pt idx="36">
                  <c:v>10.27</c:v>
                </c:pt>
                <c:pt idx="37">
                  <c:v>10.58</c:v>
                </c:pt>
                <c:pt idx="38">
                  <c:v>11.08</c:v>
                </c:pt>
                <c:pt idx="39">
                  <c:v>11.35</c:v>
                </c:pt>
                <c:pt idx="40">
                  <c:v>11.74</c:v>
                </c:pt>
                <c:pt idx="41">
                  <c:v>12.01</c:v>
                </c:pt>
                <c:pt idx="42">
                  <c:v>12.63</c:v>
                </c:pt>
                <c:pt idx="43">
                  <c:v>12.94</c:v>
                </c:pt>
                <c:pt idx="44">
                  <c:v>13.36</c:v>
                </c:pt>
                <c:pt idx="45">
                  <c:v>13.79</c:v>
                </c:pt>
                <c:pt idx="46">
                  <c:v>14.25</c:v>
                </c:pt>
                <c:pt idx="47">
                  <c:v>14.64</c:v>
                </c:pt>
                <c:pt idx="48">
                  <c:v>14.98</c:v>
                </c:pt>
                <c:pt idx="49">
                  <c:v>15.56</c:v>
                </c:pt>
                <c:pt idx="50">
                  <c:v>16.03</c:v>
                </c:pt>
                <c:pt idx="51">
                  <c:v>16.760000000000002</c:v>
                </c:pt>
                <c:pt idx="52">
                  <c:v>17.149999999999999</c:v>
                </c:pt>
                <c:pt idx="53">
                  <c:v>17.84</c:v>
                </c:pt>
                <c:pt idx="54">
                  <c:v>18.3</c:v>
                </c:pt>
                <c:pt idx="55">
                  <c:v>19.079999999999998</c:v>
                </c:pt>
                <c:pt idx="56">
                  <c:v>19.690000000000001</c:v>
                </c:pt>
                <c:pt idx="57">
                  <c:v>20.43</c:v>
                </c:pt>
                <c:pt idx="58">
                  <c:v>21.01</c:v>
                </c:pt>
                <c:pt idx="59">
                  <c:v>21.78</c:v>
                </c:pt>
                <c:pt idx="60">
                  <c:v>22.59</c:v>
                </c:pt>
                <c:pt idx="61">
                  <c:v>23.25</c:v>
                </c:pt>
                <c:pt idx="62">
                  <c:v>24.1</c:v>
                </c:pt>
                <c:pt idx="63">
                  <c:v>24.79</c:v>
                </c:pt>
                <c:pt idx="64">
                  <c:v>25.68</c:v>
                </c:pt>
                <c:pt idx="65">
                  <c:v>26.41</c:v>
                </c:pt>
                <c:pt idx="66">
                  <c:v>27.5</c:v>
                </c:pt>
                <c:pt idx="67">
                  <c:v>28.04</c:v>
                </c:pt>
                <c:pt idx="68">
                  <c:v>28.81</c:v>
                </c:pt>
                <c:pt idx="69">
                  <c:v>29.7</c:v>
                </c:pt>
                <c:pt idx="70">
                  <c:v>30.51</c:v>
                </c:pt>
                <c:pt idx="71">
                  <c:v>31.36</c:v>
                </c:pt>
                <c:pt idx="72">
                  <c:v>32.130000000000003</c:v>
                </c:pt>
                <c:pt idx="73">
                  <c:v>32.979999999999997</c:v>
                </c:pt>
                <c:pt idx="74">
                  <c:v>33.79</c:v>
                </c:pt>
                <c:pt idx="75">
                  <c:v>34.76</c:v>
                </c:pt>
                <c:pt idx="76">
                  <c:v>35.72</c:v>
                </c:pt>
                <c:pt idx="77">
                  <c:v>36.799999999999997</c:v>
                </c:pt>
                <c:pt idx="78">
                  <c:v>37.81</c:v>
                </c:pt>
                <c:pt idx="79">
                  <c:v>38.81</c:v>
                </c:pt>
                <c:pt idx="80">
                  <c:v>39.74</c:v>
                </c:pt>
                <c:pt idx="81">
                  <c:v>40.82</c:v>
                </c:pt>
                <c:pt idx="82">
                  <c:v>41.71</c:v>
                </c:pt>
                <c:pt idx="83">
                  <c:v>42.79</c:v>
                </c:pt>
                <c:pt idx="84">
                  <c:v>43.71</c:v>
                </c:pt>
                <c:pt idx="85">
                  <c:v>44.64</c:v>
                </c:pt>
                <c:pt idx="86">
                  <c:v>45.61</c:v>
                </c:pt>
                <c:pt idx="87">
                  <c:v>46.69</c:v>
                </c:pt>
                <c:pt idx="88">
                  <c:v>47.77</c:v>
                </c:pt>
                <c:pt idx="89">
                  <c:v>48.85</c:v>
                </c:pt>
                <c:pt idx="90">
                  <c:v>49.89</c:v>
                </c:pt>
                <c:pt idx="91">
                  <c:v>51.01</c:v>
                </c:pt>
                <c:pt idx="92">
                  <c:v>52.25</c:v>
                </c:pt>
                <c:pt idx="93">
                  <c:v>53.41</c:v>
                </c:pt>
                <c:pt idx="94">
                  <c:v>54.37</c:v>
                </c:pt>
                <c:pt idx="95">
                  <c:v>55.42</c:v>
                </c:pt>
                <c:pt idx="96">
                  <c:v>56.57</c:v>
                </c:pt>
                <c:pt idx="97">
                  <c:v>57.46</c:v>
                </c:pt>
                <c:pt idx="98">
                  <c:v>58.62</c:v>
                </c:pt>
                <c:pt idx="99">
                  <c:v>59.7</c:v>
                </c:pt>
                <c:pt idx="100">
                  <c:v>60.59</c:v>
                </c:pt>
                <c:pt idx="101">
                  <c:v>61.86</c:v>
                </c:pt>
                <c:pt idx="102">
                  <c:v>62.68</c:v>
                </c:pt>
                <c:pt idx="103">
                  <c:v>63.6</c:v>
                </c:pt>
                <c:pt idx="104">
                  <c:v>64.8</c:v>
                </c:pt>
                <c:pt idx="105">
                  <c:v>66.19</c:v>
                </c:pt>
                <c:pt idx="106">
                  <c:v>67.459999999999994</c:v>
                </c:pt>
                <c:pt idx="107">
                  <c:v>68.430000000000007</c:v>
                </c:pt>
                <c:pt idx="108">
                  <c:v>69.7</c:v>
                </c:pt>
                <c:pt idx="109">
                  <c:v>70.59</c:v>
                </c:pt>
                <c:pt idx="110">
                  <c:v>71.63</c:v>
                </c:pt>
                <c:pt idx="111">
                  <c:v>72.75</c:v>
                </c:pt>
                <c:pt idx="112">
                  <c:v>73.64</c:v>
                </c:pt>
                <c:pt idx="113">
                  <c:v>74.760000000000005</c:v>
                </c:pt>
                <c:pt idx="114">
                  <c:v>75.69</c:v>
                </c:pt>
                <c:pt idx="115">
                  <c:v>76.62</c:v>
                </c:pt>
                <c:pt idx="116">
                  <c:v>77.7</c:v>
                </c:pt>
                <c:pt idx="117">
                  <c:v>78.430000000000007</c:v>
                </c:pt>
                <c:pt idx="118">
                  <c:v>79.900000000000006</c:v>
                </c:pt>
                <c:pt idx="119">
                  <c:v>81.790000000000006</c:v>
                </c:pt>
                <c:pt idx="120">
                  <c:v>83.1</c:v>
                </c:pt>
                <c:pt idx="121">
                  <c:v>84.18</c:v>
                </c:pt>
                <c:pt idx="122">
                  <c:v>85.3</c:v>
                </c:pt>
                <c:pt idx="123">
                  <c:v>86.27</c:v>
                </c:pt>
                <c:pt idx="124">
                  <c:v>87.16</c:v>
                </c:pt>
                <c:pt idx="125">
                  <c:v>88.01</c:v>
                </c:pt>
                <c:pt idx="126">
                  <c:v>88.93</c:v>
                </c:pt>
                <c:pt idx="127">
                  <c:v>89.71</c:v>
                </c:pt>
                <c:pt idx="128">
                  <c:v>90.67</c:v>
                </c:pt>
                <c:pt idx="129">
                  <c:v>91.87</c:v>
                </c:pt>
                <c:pt idx="130">
                  <c:v>92.99</c:v>
                </c:pt>
                <c:pt idx="131">
                  <c:v>94.15</c:v>
                </c:pt>
                <c:pt idx="132">
                  <c:v>95.62</c:v>
                </c:pt>
                <c:pt idx="133">
                  <c:v>97.16</c:v>
                </c:pt>
                <c:pt idx="134">
                  <c:v>98.32</c:v>
                </c:pt>
                <c:pt idx="135">
                  <c:v>99.4</c:v>
                </c:pt>
                <c:pt idx="136">
                  <c:v>100.29</c:v>
                </c:pt>
                <c:pt idx="137">
                  <c:v>101.1</c:v>
                </c:pt>
                <c:pt idx="138">
                  <c:v>101.91</c:v>
                </c:pt>
                <c:pt idx="139">
                  <c:v>102.76</c:v>
                </c:pt>
                <c:pt idx="140">
                  <c:v>103.61</c:v>
                </c:pt>
                <c:pt idx="141">
                  <c:v>104.73</c:v>
                </c:pt>
                <c:pt idx="142">
                  <c:v>105.77</c:v>
                </c:pt>
                <c:pt idx="143">
                  <c:v>106.74</c:v>
                </c:pt>
                <c:pt idx="144">
                  <c:v>107.78</c:v>
                </c:pt>
                <c:pt idx="145">
                  <c:v>108.94</c:v>
                </c:pt>
                <c:pt idx="146">
                  <c:v>110.21</c:v>
                </c:pt>
                <c:pt idx="147">
                  <c:v>111.41</c:v>
                </c:pt>
                <c:pt idx="148">
                  <c:v>112.38</c:v>
                </c:pt>
                <c:pt idx="149">
                  <c:v>113.22</c:v>
                </c:pt>
                <c:pt idx="150">
                  <c:v>114.11</c:v>
                </c:pt>
                <c:pt idx="151">
                  <c:v>115.16</c:v>
                </c:pt>
                <c:pt idx="152">
                  <c:v>116.24</c:v>
                </c:pt>
                <c:pt idx="153">
                  <c:v>117.09</c:v>
                </c:pt>
                <c:pt idx="154">
                  <c:v>118.05</c:v>
                </c:pt>
                <c:pt idx="155">
                  <c:v>119.25</c:v>
                </c:pt>
                <c:pt idx="156">
                  <c:v>120.37</c:v>
                </c:pt>
                <c:pt idx="157">
                  <c:v>121.37</c:v>
                </c:pt>
                <c:pt idx="158">
                  <c:v>122.22</c:v>
                </c:pt>
                <c:pt idx="159">
                  <c:v>123.27</c:v>
                </c:pt>
                <c:pt idx="160">
                  <c:v>124.42</c:v>
                </c:pt>
                <c:pt idx="161">
                  <c:v>125.58</c:v>
                </c:pt>
                <c:pt idx="162">
                  <c:v>126.39</c:v>
                </c:pt>
                <c:pt idx="163">
                  <c:v>127.24</c:v>
                </c:pt>
                <c:pt idx="164">
                  <c:v>128.13</c:v>
                </c:pt>
                <c:pt idx="165">
                  <c:v>129.13</c:v>
                </c:pt>
                <c:pt idx="166">
                  <c:v>130.06</c:v>
                </c:pt>
                <c:pt idx="167">
                  <c:v>131.07</c:v>
                </c:pt>
                <c:pt idx="168">
                  <c:v>132.07</c:v>
                </c:pt>
                <c:pt idx="169">
                  <c:v>133.07</c:v>
                </c:pt>
                <c:pt idx="170">
                  <c:v>134.16</c:v>
                </c:pt>
                <c:pt idx="171">
                  <c:v>135</c:v>
                </c:pt>
                <c:pt idx="172">
                  <c:v>135.85</c:v>
                </c:pt>
                <c:pt idx="173">
                  <c:v>137.01</c:v>
                </c:pt>
                <c:pt idx="174">
                  <c:v>137.9</c:v>
                </c:pt>
                <c:pt idx="175">
                  <c:v>138.87</c:v>
                </c:pt>
                <c:pt idx="176">
                  <c:v>139.72</c:v>
                </c:pt>
                <c:pt idx="177">
                  <c:v>140.68</c:v>
                </c:pt>
                <c:pt idx="178">
                  <c:v>141.65</c:v>
                </c:pt>
                <c:pt idx="179">
                  <c:v>142.41999999999999</c:v>
                </c:pt>
                <c:pt idx="180">
                  <c:v>143.54</c:v>
                </c:pt>
                <c:pt idx="181">
                  <c:v>144.31</c:v>
                </c:pt>
                <c:pt idx="182">
                  <c:v>145.32</c:v>
                </c:pt>
                <c:pt idx="183">
                  <c:v>145.12</c:v>
                </c:pt>
                <c:pt idx="184">
                  <c:v>144.43</c:v>
                </c:pt>
                <c:pt idx="185">
                  <c:v>143.5</c:v>
                </c:pt>
                <c:pt idx="186">
                  <c:v>142.61000000000001</c:v>
                </c:pt>
                <c:pt idx="187">
                  <c:v>142.07</c:v>
                </c:pt>
                <c:pt idx="188">
                  <c:v>141.30000000000001</c:v>
                </c:pt>
                <c:pt idx="189">
                  <c:v>140.57</c:v>
                </c:pt>
                <c:pt idx="190">
                  <c:v>139.87</c:v>
                </c:pt>
                <c:pt idx="191">
                  <c:v>139.1</c:v>
                </c:pt>
                <c:pt idx="192">
                  <c:v>138.4</c:v>
                </c:pt>
                <c:pt idx="193">
                  <c:v>137.86000000000001</c:v>
                </c:pt>
                <c:pt idx="194">
                  <c:v>137.21</c:v>
                </c:pt>
                <c:pt idx="195">
                  <c:v>136.59</c:v>
                </c:pt>
                <c:pt idx="196">
                  <c:v>135.97</c:v>
                </c:pt>
                <c:pt idx="197">
                  <c:v>135.35</c:v>
                </c:pt>
                <c:pt idx="198">
                  <c:v>134.77000000000001</c:v>
                </c:pt>
                <c:pt idx="199">
                  <c:v>134.27000000000001</c:v>
                </c:pt>
                <c:pt idx="200">
                  <c:v>133.72999999999999</c:v>
                </c:pt>
                <c:pt idx="201">
                  <c:v>133.58000000000001</c:v>
                </c:pt>
                <c:pt idx="202">
                  <c:v>132.96</c:v>
                </c:pt>
                <c:pt idx="203">
                  <c:v>132.38</c:v>
                </c:pt>
                <c:pt idx="204">
                  <c:v>131.84</c:v>
                </c:pt>
                <c:pt idx="205">
                  <c:v>131.22</c:v>
                </c:pt>
                <c:pt idx="206">
                  <c:v>130.72</c:v>
                </c:pt>
                <c:pt idx="207">
                  <c:v>130.29</c:v>
                </c:pt>
                <c:pt idx="208">
                  <c:v>129.75</c:v>
                </c:pt>
                <c:pt idx="209">
                  <c:v>129.25</c:v>
                </c:pt>
                <c:pt idx="210">
                  <c:v>128.75</c:v>
                </c:pt>
                <c:pt idx="211">
                  <c:v>128.25</c:v>
                </c:pt>
                <c:pt idx="212">
                  <c:v>127.74</c:v>
                </c:pt>
                <c:pt idx="213">
                  <c:v>127.24</c:v>
                </c:pt>
                <c:pt idx="214">
                  <c:v>126.97</c:v>
                </c:pt>
                <c:pt idx="215">
                  <c:v>126.78</c:v>
                </c:pt>
                <c:pt idx="216">
                  <c:v>126.28</c:v>
                </c:pt>
                <c:pt idx="217">
                  <c:v>125.74</c:v>
                </c:pt>
                <c:pt idx="218">
                  <c:v>125.16</c:v>
                </c:pt>
                <c:pt idx="219">
                  <c:v>124.66</c:v>
                </c:pt>
                <c:pt idx="220">
                  <c:v>124.27</c:v>
                </c:pt>
                <c:pt idx="221">
                  <c:v>123.77</c:v>
                </c:pt>
                <c:pt idx="222">
                  <c:v>123.3</c:v>
                </c:pt>
                <c:pt idx="223">
                  <c:v>122.88</c:v>
                </c:pt>
                <c:pt idx="224">
                  <c:v>122.42</c:v>
                </c:pt>
                <c:pt idx="225">
                  <c:v>122.03</c:v>
                </c:pt>
                <c:pt idx="226">
                  <c:v>121.53</c:v>
                </c:pt>
                <c:pt idx="227">
                  <c:v>121.14</c:v>
                </c:pt>
                <c:pt idx="228">
                  <c:v>120.83</c:v>
                </c:pt>
                <c:pt idx="229">
                  <c:v>120.64</c:v>
                </c:pt>
                <c:pt idx="230">
                  <c:v>120.37</c:v>
                </c:pt>
                <c:pt idx="231">
                  <c:v>119.87</c:v>
                </c:pt>
                <c:pt idx="232">
                  <c:v>119.29</c:v>
                </c:pt>
                <c:pt idx="233">
                  <c:v>118.82</c:v>
                </c:pt>
                <c:pt idx="234">
                  <c:v>118.4</c:v>
                </c:pt>
                <c:pt idx="235">
                  <c:v>118.01</c:v>
                </c:pt>
                <c:pt idx="236">
                  <c:v>117.51</c:v>
                </c:pt>
                <c:pt idx="237">
                  <c:v>117.13</c:v>
                </c:pt>
                <c:pt idx="238">
                  <c:v>116.7</c:v>
                </c:pt>
                <c:pt idx="239">
                  <c:v>116.28</c:v>
                </c:pt>
                <c:pt idx="240">
                  <c:v>115.89</c:v>
                </c:pt>
                <c:pt idx="241">
                  <c:v>115.5</c:v>
                </c:pt>
                <c:pt idx="242">
                  <c:v>115.31</c:v>
                </c:pt>
                <c:pt idx="243">
                  <c:v>115.19</c:v>
                </c:pt>
                <c:pt idx="244">
                  <c:v>114.85</c:v>
                </c:pt>
                <c:pt idx="245">
                  <c:v>114.38</c:v>
                </c:pt>
                <c:pt idx="246">
                  <c:v>113.73</c:v>
                </c:pt>
                <c:pt idx="247">
                  <c:v>113.22</c:v>
                </c:pt>
                <c:pt idx="248">
                  <c:v>112.92</c:v>
                </c:pt>
                <c:pt idx="249">
                  <c:v>112.41</c:v>
                </c:pt>
                <c:pt idx="250">
                  <c:v>112.03</c:v>
                </c:pt>
                <c:pt idx="251">
                  <c:v>111.6</c:v>
                </c:pt>
                <c:pt idx="252">
                  <c:v>111.22</c:v>
                </c:pt>
                <c:pt idx="253">
                  <c:v>110.83</c:v>
                </c:pt>
                <c:pt idx="254">
                  <c:v>110.37</c:v>
                </c:pt>
                <c:pt idx="255">
                  <c:v>109.98</c:v>
                </c:pt>
                <c:pt idx="256">
                  <c:v>109.87</c:v>
                </c:pt>
                <c:pt idx="257">
                  <c:v>109.75</c:v>
                </c:pt>
                <c:pt idx="258">
                  <c:v>109.48</c:v>
                </c:pt>
                <c:pt idx="259">
                  <c:v>109.05</c:v>
                </c:pt>
                <c:pt idx="260">
                  <c:v>108.4</c:v>
                </c:pt>
                <c:pt idx="261">
                  <c:v>107.97</c:v>
                </c:pt>
                <c:pt idx="262">
                  <c:v>107.66</c:v>
                </c:pt>
                <c:pt idx="263">
                  <c:v>107.16</c:v>
                </c:pt>
                <c:pt idx="264">
                  <c:v>106.81</c:v>
                </c:pt>
                <c:pt idx="265">
                  <c:v>106.39</c:v>
                </c:pt>
                <c:pt idx="266">
                  <c:v>105.93</c:v>
                </c:pt>
                <c:pt idx="267">
                  <c:v>105.58</c:v>
                </c:pt>
                <c:pt idx="268">
                  <c:v>105.19</c:v>
                </c:pt>
                <c:pt idx="269">
                  <c:v>104.88</c:v>
                </c:pt>
                <c:pt idx="270">
                  <c:v>104.84</c:v>
                </c:pt>
                <c:pt idx="271">
                  <c:v>104.88</c:v>
                </c:pt>
                <c:pt idx="272">
                  <c:v>104.73</c:v>
                </c:pt>
                <c:pt idx="273">
                  <c:v>104.34</c:v>
                </c:pt>
                <c:pt idx="274">
                  <c:v>103.72</c:v>
                </c:pt>
                <c:pt idx="275">
                  <c:v>103.18</c:v>
                </c:pt>
                <c:pt idx="276">
                  <c:v>102.76</c:v>
                </c:pt>
                <c:pt idx="277">
                  <c:v>102.3</c:v>
                </c:pt>
                <c:pt idx="278">
                  <c:v>101.95</c:v>
                </c:pt>
                <c:pt idx="279">
                  <c:v>101.6</c:v>
                </c:pt>
                <c:pt idx="280">
                  <c:v>101.18</c:v>
                </c:pt>
                <c:pt idx="281">
                  <c:v>100.83</c:v>
                </c:pt>
                <c:pt idx="282">
                  <c:v>100.44</c:v>
                </c:pt>
                <c:pt idx="283">
                  <c:v>100.21</c:v>
                </c:pt>
                <c:pt idx="284">
                  <c:v>100.13</c:v>
                </c:pt>
                <c:pt idx="285">
                  <c:v>100.25</c:v>
                </c:pt>
                <c:pt idx="286">
                  <c:v>100.21</c:v>
                </c:pt>
                <c:pt idx="287">
                  <c:v>99.9</c:v>
                </c:pt>
                <c:pt idx="288">
                  <c:v>99.17</c:v>
                </c:pt>
                <c:pt idx="289">
                  <c:v>98.59</c:v>
                </c:pt>
                <c:pt idx="290">
                  <c:v>98.13</c:v>
                </c:pt>
                <c:pt idx="291">
                  <c:v>97.7</c:v>
                </c:pt>
                <c:pt idx="292">
                  <c:v>97.35</c:v>
                </c:pt>
                <c:pt idx="293">
                  <c:v>96.97</c:v>
                </c:pt>
                <c:pt idx="294">
                  <c:v>96.74</c:v>
                </c:pt>
                <c:pt idx="295">
                  <c:v>96.35</c:v>
                </c:pt>
                <c:pt idx="296">
                  <c:v>96</c:v>
                </c:pt>
                <c:pt idx="297">
                  <c:v>95.62</c:v>
                </c:pt>
                <c:pt idx="298">
                  <c:v>95.62</c:v>
                </c:pt>
                <c:pt idx="299">
                  <c:v>95.96</c:v>
                </c:pt>
                <c:pt idx="300">
                  <c:v>95.96</c:v>
                </c:pt>
                <c:pt idx="301">
                  <c:v>95.62</c:v>
                </c:pt>
                <c:pt idx="302">
                  <c:v>95.19</c:v>
                </c:pt>
                <c:pt idx="303">
                  <c:v>94.61</c:v>
                </c:pt>
                <c:pt idx="304">
                  <c:v>94.07</c:v>
                </c:pt>
                <c:pt idx="305">
                  <c:v>93.61</c:v>
                </c:pt>
                <c:pt idx="306">
                  <c:v>93.22</c:v>
                </c:pt>
                <c:pt idx="307">
                  <c:v>92.8</c:v>
                </c:pt>
                <c:pt idx="308">
                  <c:v>92.49</c:v>
                </c:pt>
                <c:pt idx="309">
                  <c:v>92.18</c:v>
                </c:pt>
                <c:pt idx="310">
                  <c:v>91.83</c:v>
                </c:pt>
                <c:pt idx="311">
                  <c:v>91.48</c:v>
                </c:pt>
                <c:pt idx="312">
                  <c:v>91.48</c:v>
                </c:pt>
                <c:pt idx="313">
                  <c:v>91.75</c:v>
                </c:pt>
                <c:pt idx="314">
                  <c:v>92.02</c:v>
                </c:pt>
                <c:pt idx="315">
                  <c:v>91.64</c:v>
                </c:pt>
                <c:pt idx="316">
                  <c:v>91.21</c:v>
                </c:pt>
                <c:pt idx="317">
                  <c:v>90.71</c:v>
                </c:pt>
                <c:pt idx="318">
                  <c:v>90.21</c:v>
                </c:pt>
                <c:pt idx="319">
                  <c:v>89.82</c:v>
                </c:pt>
                <c:pt idx="320">
                  <c:v>89.28</c:v>
                </c:pt>
                <c:pt idx="321">
                  <c:v>88.82</c:v>
                </c:pt>
                <c:pt idx="322">
                  <c:v>88.43</c:v>
                </c:pt>
                <c:pt idx="323">
                  <c:v>88.12</c:v>
                </c:pt>
                <c:pt idx="324">
                  <c:v>87.89</c:v>
                </c:pt>
                <c:pt idx="325">
                  <c:v>87.51</c:v>
                </c:pt>
                <c:pt idx="326">
                  <c:v>87.39</c:v>
                </c:pt>
                <c:pt idx="327">
                  <c:v>87.74</c:v>
                </c:pt>
                <c:pt idx="328">
                  <c:v>88.09</c:v>
                </c:pt>
                <c:pt idx="329">
                  <c:v>87.85</c:v>
                </c:pt>
                <c:pt idx="330">
                  <c:v>87.51</c:v>
                </c:pt>
                <c:pt idx="331">
                  <c:v>87.12</c:v>
                </c:pt>
                <c:pt idx="332">
                  <c:v>86.69</c:v>
                </c:pt>
                <c:pt idx="333">
                  <c:v>86.15</c:v>
                </c:pt>
                <c:pt idx="334">
                  <c:v>85.69</c:v>
                </c:pt>
                <c:pt idx="335">
                  <c:v>85.19</c:v>
                </c:pt>
                <c:pt idx="336">
                  <c:v>84.73</c:v>
                </c:pt>
                <c:pt idx="337">
                  <c:v>84.42</c:v>
                </c:pt>
                <c:pt idx="338">
                  <c:v>84.03</c:v>
                </c:pt>
                <c:pt idx="339">
                  <c:v>83.61</c:v>
                </c:pt>
                <c:pt idx="340">
                  <c:v>83.57</c:v>
                </c:pt>
                <c:pt idx="341">
                  <c:v>84.03</c:v>
                </c:pt>
                <c:pt idx="342">
                  <c:v>84.22</c:v>
                </c:pt>
                <c:pt idx="343">
                  <c:v>84.11</c:v>
                </c:pt>
                <c:pt idx="344">
                  <c:v>84.07</c:v>
                </c:pt>
                <c:pt idx="345">
                  <c:v>83.61</c:v>
                </c:pt>
                <c:pt idx="346">
                  <c:v>83.37</c:v>
                </c:pt>
                <c:pt idx="347">
                  <c:v>82.91</c:v>
                </c:pt>
                <c:pt idx="348">
                  <c:v>82.49</c:v>
                </c:pt>
                <c:pt idx="349">
                  <c:v>82.02</c:v>
                </c:pt>
                <c:pt idx="350">
                  <c:v>81.44</c:v>
                </c:pt>
                <c:pt idx="351">
                  <c:v>81.02</c:v>
                </c:pt>
                <c:pt idx="352">
                  <c:v>80.709999999999994</c:v>
                </c:pt>
                <c:pt idx="353">
                  <c:v>80.400000000000006</c:v>
                </c:pt>
                <c:pt idx="354">
                  <c:v>80.36</c:v>
                </c:pt>
                <c:pt idx="355">
                  <c:v>80.75</c:v>
                </c:pt>
                <c:pt idx="356">
                  <c:v>81.02</c:v>
                </c:pt>
                <c:pt idx="357">
                  <c:v>81.06</c:v>
                </c:pt>
                <c:pt idx="358">
                  <c:v>80.86</c:v>
                </c:pt>
                <c:pt idx="359">
                  <c:v>80.52</c:v>
                </c:pt>
                <c:pt idx="360">
                  <c:v>80.13</c:v>
                </c:pt>
                <c:pt idx="361">
                  <c:v>79.709999999999994</c:v>
                </c:pt>
                <c:pt idx="362">
                  <c:v>79.28</c:v>
                </c:pt>
                <c:pt idx="363">
                  <c:v>78.739999999999995</c:v>
                </c:pt>
                <c:pt idx="364">
                  <c:v>78.349999999999994</c:v>
                </c:pt>
                <c:pt idx="365">
                  <c:v>77.930000000000007</c:v>
                </c:pt>
                <c:pt idx="366">
                  <c:v>77.5</c:v>
                </c:pt>
                <c:pt idx="367">
                  <c:v>77.2</c:v>
                </c:pt>
                <c:pt idx="368">
                  <c:v>77.16</c:v>
                </c:pt>
                <c:pt idx="369">
                  <c:v>77.7</c:v>
                </c:pt>
                <c:pt idx="370">
                  <c:v>77.97</c:v>
                </c:pt>
                <c:pt idx="371">
                  <c:v>77.97</c:v>
                </c:pt>
                <c:pt idx="372">
                  <c:v>77.849999999999994</c:v>
                </c:pt>
                <c:pt idx="373">
                  <c:v>77.5</c:v>
                </c:pt>
                <c:pt idx="374">
                  <c:v>77.08</c:v>
                </c:pt>
                <c:pt idx="375">
                  <c:v>76.69</c:v>
                </c:pt>
                <c:pt idx="376">
                  <c:v>76.42</c:v>
                </c:pt>
                <c:pt idx="377">
                  <c:v>76.040000000000006</c:v>
                </c:pt>
                <c:pt idx="378">
                  <c:v>75.69</c:v>
                </c:pt>
                <c:pt idx="379">
                  <c:v>75.34</c:v>
                </c:pt>
                <c:pt idx="380">
                  <c:v>74.959999999999994</c:v>
                </c:pt>
                <c:pt idx="381">
                  <c:v>74.53</c:v>
                </c:pt>
                <c:pt idx="382">
                  <c:v>74.260000000000005</c:v>
                </c:pt>
                <c:pt idx="383">
                  <c:v>74.569999999999993</c:v>
                </c:pt>
                <c:pt idx="384">
                  <c:v>75.03</c:v>
                </c:pt>
                <c:pt idx="385">
                  <c:v>75.069999999999993</c:v>
                </c:pt>
                <c:pt idx="386">
                  <c:v>74.989999999999995</c:v>
                </c:pt>
                <c:pt idx="387">
                  <c:v>74.650000000000006</c:v>
                </c:pt>
                <c:pt idx="388">
                  <c:v>74.34</c:v>
                </c:pt>
                <c:pt idx="389">
                  <c:v>74.03</c:v>
                </c:pt>
                <c:pt idx="390">
                  <c:v>73.760000000000005</c:v>
                </c:pt>
                <c:pt idx="391">
                  <c:v>73.37</c:v>
                </c:pt>
                <c:pt idx="392">
                  <c:v>73.099999999999994</c:v>
                </c:pt>
                <c:pt idx="393">
                  <c:v>72.72</c:v>
                </c:pt>
                <c:pt idx="394">
                  <c:v>72.37</c:v>
                </c:pt>
                <c:pt idx="395">
                  <c:v>72.099999999999994</c:v>
                </c:pt>
                <c:pt idx="396">
                  <c:v>71.67</c:v>
                </c:pt>
                <c:pt idx="397">
                  <c:v>71.790000000000006</c:v>
                </c:pt>
                <c:pt idx="398">
                  <c:v>72.14</c:v>
                </c:pt>
                <c:pt idx="399">
                  <c:v>72.17</c:v>
                </c:pt>
                <c:pt idx="400">
                  <c:v>72.17</c:v>
                </c:pt>
                <c:pt idx="401">
                  <c:v>71.790000000000006</c:v>
                </c:pt>
                <c:pt idx="402">
                  <c:v>71.44</c:v>
                </c:pt>
                <c:pt idx="403">
                  <c:v>71.209999999999994</c:v>
                </c:pt>
                <c:pt idx="404">
                  <c:v>71.02</c:v>
                </c:pt>
                <c:pt idx="405">
                  <c:v>70.67</c:v>
                </c:pt>
                <c:pt idx="406">
                  <c:v>70.319999999999993</c:v>
                </c:pt>
                <c:pt idx="407">
                  <c:v>70.05</c:v>
                </c:pt>
                <c:pt idx="408">
                  <c:v>69.819999999999993</c:v>
                </c:pt>
                <c:pt idx="409">
                  <c:v>69.63</c:v>
                </c:pt>
                <c:pt idx="410">
                  <c:v>69.430000000000007</c:v>
                </c:pt>
                <c:pt idx="411">
                  <c:v>69.63</c:v>
                </c:pt>
                <c:pt idx="412">
                  <c:v>69.86</c:v>
                </c:pt>
                <c:pt idx="413">
                  <c:v>69.819999999999993</c:v>
                </c:pt>
                <c:pt idx="414">
                  <c:v>69.739999999999995</c:v>
                </c:pt>
                <c:pt idx="415">
                  <c:v>69.16</c:v>
                </c:pt>
                <c:pt idx="416">
                  <c:v>68.58</c:v>
                </c:pt>
                <c:pt idx="417">
                  <c:v>68.16</c:v>
                </c:pt>
                <c:pt idx="418">
                  <c:v>67.89</c:v>
                </c:pt>
                <c:pt idx="419">
                  <c:v>67.7</c:v>
                </c:pt>
                <c:pt idx="420">
                  <c:v>67.5</c:v>
                </c:pt>
                <c:pt idx="421">
                  <c:v>67.39</c:v>
                </c:pt>
                <c:pt idx="422">
                  <c:v>67.150000000000006</c:v>
                </c:pt>
                <c:pt idx="423">
                  <c:v>67.040000000000006</c:v>
                </c:pt>
                <c:pt idx="424">
                  <c:v>66.959999999999994</c:v>
                </c:pt>
                <c:pt idx="425">
                  <c:v>67.150000000000006</c:v>
                </c:pt>
                <c:pt idx="426">
                  <c:v>67.430000000000007</c:v>
                </c:pt>
                <c:pt idx="427">
                  <c:v>67.58</c:v>
                </c:pt>
                <c:pt idx="428">
                  <c:v>67.77</c:v>
                </c:pt>
                <c:pt idx="429">
                  <c:v>67.62</c:v>
                </c:pt>
                <c:pt idx="430">
                  <c:v>67.349999999999994</c:v>
                </c:pt>
                <c:pt idx="431">
                  <c:v>67.12</c:v>
                </c:pt>
                <c:pt idx="432">
                  <c:v>66.73</c:v>
                </c:pt>
                <c:pt idx="433">
                  <c:v>66.5</c:v>
                </c:pt>
                <c:pt idx="434">
                  <c:v>66.31</c:v>
                </c:pt>
                <c:pt idx="435">
                  <c:v>66.150000000000006</c:v>
                </c:pt>
                <c:pt idx="436">
                  <c:v>65.88</c:v>
                </c:pt>
                <c:pt idx="437">
                  <c:v>65.69</c:v>
                </c:pt>
                <c:pt idx="438">
                  <c:v>65.34</c:v>
                </c:pt>
                <c:pt idx="439">
                  <c:v>65.22</c:v>
                </c:pt>
                <c:pt idx="440">
                  <c:v>65.260000000000005</c:v>
                </c:pt>
                <c:pt idx="441">
                  <c:v>65.069999999999993</c:v>
                </c:pt>
                <c:pt idx="442">
                  <c:v>64.95</c:v>
                </c:pt>
                <c:pt idx="443">
                  <c:v>64.64</c:v>
                </c:pt>
                <c:pt idx="444">
                  <c:v>64.45</c:v>
                </c:pt>
                <c:pt idx="445">
                  <c:v>64.34</c:v>
                </c:pt>
                <c:pt idx="446">
                  <c:v>64.03</c:v>
                </c:pt>
                <c:pt idx="447">
                  <c:v>63.72</c:v>
                </c:pt>
                <c:pt idx="448">
                  <c:v>63.49</c:v>
                </c:pt>
                <c:pt idx="449">
                  <c:v>63.29</c:v>
                </c:pt>
                <c:pt idx="450">
                  <c:v>63.1</c:v>
                </c:pt>
                <c:pt idx="451">
                  <c:v>62.95</c:v>
                </c:pt>
                <c:pt idx="452">
                  <c:v>62.75</c:v>
                </c:pt>
                <c:pt idx="453">
                  <c:v>62.75</c:v>
                </c:pt>
                <c:pt idx="454">
                  <c:v>62.95</c:v>
                </c:pt>
                <c:pt idx="455">
                  <c:v>62.95</c:v>
                </c:pt>
                <c:pt idx="456">
                  <c:v>62.95</c:v>
                </c:pt>
                <c:pt idx="457">
                  <c:v>62.79</c:v>
                </c:pt>
                <c:pt idx="458">
                  <c:v>62.56</c:v>
                </c:pt>
                <c:pt idx="459">
                  <c:v>62.29</c:v>
                </c:pt>
                <c:pt idx="460">
                  <c:v>62.1</c:v>
                </c:pt>
                <c:pt idx="461">
                  <c:v>61.75</c:v>
                </c:pt>
                <c:pt idx="462">
                  <c:v>61.56</c:v>
                </c:pt>
                <c:pt idx="463">
                  <c:v>61.36</c:v>
                </c:pt>
                <c:pt idx="464">
                  <c:v>61.09</c:v>
                </c:pt>
                <c:pt idx="465">
                  <c:v>60.9</c:v>
                </c:pt>
                <c:pt idx="466">
                  <c:v>60.59</c:v>
                </c:pt>
                <c:pt idx="467">
                  <c:v>60.32</c:v>
                </c:pt>
                <c:pt idx="468">
                  <c:v>57.58</c:v>
                </c:pt>
                <c:pt idx="469">
                  <c:v>49.55</c:v>
                </c:pt>
                <c:pt idx="470">
                  <c:v>43.83</c:v>
                </c:pt>
                <c:pt idx="471">
                  <c:v>39.200000000000003</c:v>
                </c:pt>
                <c:pt idx="472">
                  <c:v>35.03</c:v>
                </c:pt>
                <c:pt idx="473">
                  <c:v>31.55</c:v>
                </c:pt>
                <c:pt idx="474">
                  <c:v>28.5</c:v>
                </c:pt>
                <c:pt idx="475">
                  <c:v>25.87</c:v>
                </c:pt>
                <c:pt idx="476">
                  <c:v>23.56</c:v>
                </c:pt>
                <c:pt idx="477">
                  <c:v>21.47</c:v>
                </c:pt>
                <c:pt idx="478">
                  <c:v>19.5</c:v>
                </c:pt>
                <c:pt idx="479">
                  <c:v>17.84</c:v>
                </c:pt>
                <c:pt idx="480">
                  <c:v>16.45</c:v>
                </c:pt>
                <c:pt idx="481">
                  <c:v>15.22</c:v>
                </c:pt>
                <c:pt idx="482">
                  <c:v>14.25</c:v>
                </c:pt>
                <c:pt idx="483">
                  <c:v>13.32</c:v>
                </c:pt>
                <c:pt idx="484">
                  <c:v>12.4</c:v>
                </c:pt>
                <c:pt idx="485">
                  <c:v>11.7</c:v>
                </c:pt>
                <c:pt idx="486">
                  <c:v>11.01</c:v>
                </c:pt>
                <c:pt idx="487">
                  <c:v>10.39</c:v>
                </c:pt>
                <c:pt idx="488">
                  <c:v>9.81</c:v>
                </c:pt>
                <c:pt idx="489">
                  <c:v>9.27</c:v>
                </c:pt>
                <c:pt idx="490">
                  <c:v>8.8000000000000007</c:v>
                </c:pt>
                <c:pt idx="491">
                  <c:v>8.3000000000000007</c:v>
                </c:pt>
                <c:pt idx="492">
                  <c:v>7.96</c:v>
                </c:pt>
                <c:pt idx="493">
                  <c:v>7.61</c:v>
                </c:pt>
                <c:pt idx="494">
                  <c:v>7.22</c:v>
                </c:pt>
                <c:pt idx="495">
                  <c:v>6.84</c:v>
                </c:pt>
                <c:pt idx="496">
                  <c:v>6.6</c:v>
                </c:pt>
                <c:pt idx="497">
                  <c:v>6.37</c:v>
                </c:pt>
                <c:pt idx="498">
                  <c:v>6.18</c:v>
                </c:pt>
                <c:pt idx="499">
                  <c:v>5.87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9-45E3-BB28-E7704208E5F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Hoja1!$Q$2:$Q$501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Hoja1!$S$2:$S$501</c:f>
              <c:numCache>
                <c:formatCode>0.0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13.9</c:v>
                </c:pt>
                <c:pt idx="4">
                  <c:v>46.34</c:v>
                </c:pt>
                <c:pt idx="5">
                  <c:v>11.59</c:v>
                </c:pt>
                <c:pt idx="6">
                  <c:v>7.72</c:v>
                </c:pt>
                <c:pt idx="7">
                  <c:v>0.77</c:v>
                </c:pt>
                <c:pt idx="8">
                  <c:v>0.77</c:v>
                </c:pt>
                <c:pt idx="9">
                  <c:v>4.63</c:v>
                </c:pt>
                <c:pt idx="10">
                  <c:v>3.86</c:v>
                </c:pt>
                <c:pt idx="11">
                  <c:v>0</c:v>
                </c:pt>
                <c:pt idx="12">
                  <c:v>0.77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3.09</c:v>
                </c:pt>
                <c:pt idx="17">
                  <c:v>10.039999999999999</c:v>
                </c:pt>
                <c:pt idx="18">
                  <c:v>1.54</c:v>
                </c:pt>
                <c:pt idx="19">
                  <c:v>7.72</c:v>
                </c:pt>
                <c:pt idx="20">
                  <c:v>1.54</c:v>
                </c:pt>
                <c:pt idx="21">
                  <c:v>8.5</c:v>
                </c:pt>
                <c:pt idx="22">
                  <c:v>1.54</c:v>
                </c:pt>
                <c:pt idx="23">
                  <c:v>10.81</c:v>
                </c:pt>
                <c:pt idx="24">
                  <c:v>2.3199999999999998</c:v>
                </c:pt>
                <c:pt idx="25">
                  <c:v>10.81</c:v>
                </c:pt>
                <c:pt idx="26">
                  <c:v>5.41</c:v>
                </c:pt>
                <c:pt idx="27">
                  <c:v>6.18</c:v>
                </c:pt>
                <c:pt idx="28">
                  <c:v>8.5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6.95</c:v>
                </c:pt>
                <c:pt idx="33">
                  <c:v>6.18</c:v>
                </c:pt>
                <c:pt idx="34">
                  <c:v>6.18</c:v>
                </c:pt>
                <c:pt idx="35">
                  <c:v>5.41</c:v>
                </c:pt>
                <c:pt idx="36">
                  <c:v>7.72</c:v>
                </c:pt>
                <c:pt idx="37">
                  <c:v>6.18</c:v>
                </c:pt>
                <c:pt idx="38">
                  <c:v>10.039999999999999</c:v>
                </c:pt>
                <c:pt idx="39">
                  <c:v>5.41</c:v>
                </c:pt>
                <c:pt idx="40">
                  <c:v>7.72</c:v>
                </c:pt>
                <c:pt idx="41">
                  <c:v>5.41</c:v>
                </c:pt>
                <c:pt idx="42">
                  <c:v>12.36</c:v>
                </c:pt>
                <c:pt idx="43">
                  <c:v>6.18</c:v>
                </c:pt>
                <c:pt idx="44">
                  <c:v>8.5</c:v>
                </c:pt>
                <c:pt idx="45">
                  <c:v>8.5</c:v>
                </c:pt>
                <c:pt idx="46">
                  <c:v>9.27</c:v>
                </c:pt>
                <c:pt idx="47">
                  <c:v>7.72</c:v>
                </c:pt>
                <c:pt idx="48">
                  <c:v>6.95</c:v>
                </c:pt>
                <c:pt idx="49">
                  <c:v>11.59</c:v>
                </c:pt>
                <c:pt idx="50">
                  <c:v>9.27</c:v>
                </c:pt>
                <c:pt idx="51">
                  <c:v>14.67</c:v>
                </c:pt>
                <c:pt idx="52">
                  <c:v>7.72</c:v>
                </c:pt>
                <c:pt idx="53">
                  <c:v>13.9</c:v>
                </c:pt>
                <c:pt idx="54">
                  <c:v>9.27</c:v>
                </c:pt>
                <c:pt idx="55">
                  <c:v>15.45</c:v>
                </c:pt>
                <c:pt idx="56">
                  <c:v>12.36</c:v>
                </c:pt>
                <c:pt idx="57">
                  <c:v>14.67</c:v>
                </c:pt>
                <c:pt idx="58">
                  <c:v>11.59</c:v>
                </c:pt>
                <c:pt idx="59">
                  <c:v>15.45</c:v>
                </c:pt>
                <c:pt idx="60">
                  <c:v>16.22</c:v>
                </c:pt>
                <c:pt idx="61">
                  <c:v>13.13</c:v>
                </c:pt>
                <c:pt idx="62">
                  <c:v>16.989999999999998</c:v>
                </c:pt>
                <c:pt idx="63">
                  <c:v>13.9</c:v>
                </c:pt>
                <c:pt idx="64">
                  <c:v>17.760000000000002</c:v>
                </c:pt>
                <c:pt idx="65">
                  <c:v>14.67</c:v>
                </c:pt>
                <c:pt idx="66">
                  <c:v>21.63</c:v>
                </c:pt>
                <c:pt idx="67">
                  <c:v>10.81</c:v>
                </c:pt>
                <c:pt idx="68">
                  <c:v>15.45</c:v>
                </c:pt>
                <c:pt idx="69">
                  <c:v>17.760000000000002</c:v>
                </c:pt>
                <c:pt idx="70">
                  <c:v>16.22</c:v>
                </c:pt>
                <c:pt idx="71">
                  <c:v>16.989999999999998</c:v>
                </c:pt>
                <c:pt idx="72">
                  <c:v>15.45</c:v>
                </c:pt>
                <c:pt idx="73">
                  <c:v>16.989999999999998</c:v>
                </c:pt>
                <c:pt idx="74">
                  <c:v>16.22</c:v>
                </c:pt>
                <c:pt idx="75">
                  <c:v>19.309999999999999</c:v>
                </c:pt>
                <c:pt idx="76">
                  <c:v>19.309999999999999</c:v>
                </c:pt>
                <c:pt idx="77">
                  <c:v>21.63</c:v>
                </c:pt>
                <c:pt idx="78">
                  <c:v>20.079999999999998</c:v>
                </c:pt>
                <c:pt idx="79">
                  <c:v>20.079999999999998</c:v>
                </c:pt>
                <c:pt idx="80">
                  <c:v>18.54</c:v>
                </c:pt>
                <c:pt idx="81">
                  <c:v>21.63</c:v>
                </c:pt>
                <c:pt idx="82">
                  <c:v>17.760000000000002</c:v>
                </c:pt>
                <c:pt idx="83">
                  <c:v>21.63</c:v>
                </c:pt>
                <c:pt idx="84">
                  <c:v>18.54</c:v>
                </c:pt>
                <c:pt idx="85">
                  <c:v>18.54</c:v>
                </c:pt>
                <c:pt idx="86">
                  <c:v>19.309999999999999</c:v>
                </c:pt>
                <c:pt idx="87">
                  <c:v>21.63</c:v>
                </c:pt>
                <c:pt idx="88">
                  <c:v>21.63</c:v>
                </c:pt>
                <c:pt idx="89">
                  <c:v>21.63</c:v>
                </c:pt>
                <c:pt idx="90">
                  <c:v>20.85</c:v>
                </c:pt>
                <c:pt idx="91">
                  <c:v>22.4</c:v>
                </c:pt>
                <c:pt idx="92">
                  <c:v>24.71</c:v>
                </c:pt>
                <c:pt idx="93">
                  <c:v>23.17</c:v>
                </c:pt>
                <c:pt idx="94">
                  <c:v>19.309999999999999</c:v>
                </c:pt>
                <c:pt idx="95">
                  <c:v>20.85</c:v>
                </c:pt>
                <c:pt idx="96">
                  <c:v>23.17</c:v>
                </c:pt>
                <c:pt idx="97">
                  <c:v>17.760000000000002</c:v>
                </c:pt>
                <c:pt idx="98">
                  <c:v>23.17</c:v>
                </c:pt>
                <c:pt idx="99">
                  <c:v>21.63</c:v>
                </c:pt>
                <c:pt idx="100">
                  <c:v>17.760000000000002</c:v>
                </c:pt>
                <c:pt idx="101">
                  <c:v>25.49</c:v>
                </c:pt>
                <c:pt idx="102">
                  <c:v>16.22</c:v>
                </c:pt>
                <c:pt idx="103">
                  <c:v>18.54</c:v>
                </c:pt>
                <c:pt idx="104">
                  <c:v>23.94</c:v>
                </c:pt>
                <c:pt idx="105">
                  <c:v>27.8</c:v>
                </c:pt>
                <c:pt idx="106">
                  <c:v>25.49</c:v>
                </c:pt>
                <c:pt idx="107">
                  <c:v>19.309999999999999</c:v>
                </c:pt>
                <c:pt idx="108">
                  <c:v>25.49</c:v>
                </c:pt>
                <c:pt idx="109">
                  <c:v>17.760000000000002</c:v>
                </c:pt>
                <c:pt idx="110">
                  <c:v>20.85</c:v>
                </c:pt>
                <c:pt idx="111">
                  <c:v>22.4</c:v>
                </c:pt>
                <c:pt idx="112">
                  <c:v>17.760000000000002</c:v>
                </c:pt>
                <c:pt idx="113">
                  <c:v>22.4</c:v>
                </c:pt>
                <c:pt idx="114">
                  <c:v>18.54</c:v>
                </c:pt>
                <c:pt idx="115">
                  <c:v>18.54</c:v>
                </c:pt>
                <c:pt idx="116">
                  <c:v>21.63</c:v>
                </c:pt>
                <c:pt idx="117">
                  <c:v>14.67</c:v>
                </c:pt>
                <c:pt idx="118">
                  <c:v>29.35</c:v>
                </c:pt>
                <c:pt idx="119">
                  <c:v>37.840000000000003</c:v>
                </c:pt>
                <c:pt idx="120">
                  <c:v>26.26</c:v>
                </c:pt>
                <c:pt idx="121">
                  <c:v>21.63</c:v>
                </c:pt>
                <c:pt idx="122">
                  <c:v>22.4</c:v>
                </c:pt>
                <c:pt idx="123">
                  <c:v>19.309999999999999</c:v>
                </c:pt>
                <c:pt idx="124">
                  <c:v>17.760000000000002</c:v>
                </c:pt>
                <c:pt idx="125">
                  <c:v>16.989999999999998</c:v>
                </c:pt>
                <c:pt idx="126">
                  <c:v>18.54</c:v>
                </c:pt>
                <c:pt idx="127">
                  <c:v>15.45</c:v>
                </c:pt>
                <c:pt idx="128">
                  <c:v>19.309999999999999</c:v>
                </c:pt>
                <c:pt idx="129">
                  <c:v>23.94</c:v>
                </c:pt>
                <c:pt idx="130">
                  <c:v>22.4</c:v>
                </c:pt>
                <c:pt idx="131">
                  <c:v>23.17</c:v>
                </c:pt>
                <c:pt idx="132">
                  <c:v>29.35</c:v>
                </c:pt>
                <c:pt idx="133">
                  <c:v>30.89</c:v>
                </c:pt>
                <c:pt idx="134">
                  <c:v>23.17</c:v>
                </c:pt>
                <c:pt idx="135">
                  <c:v>21.63</c:v>
                </c:pt>
                <c:pt idx="136">
                  <c:v>17.760000000000002</c:v>
                </c:pt>
                <c:pt idx="137">
                  <c:v>16.22</c:v>
                </c:pt>
                <c:pt idx="138">
                  <c:v>16.22</c:v>
                </c:pt>
                <c:pt idx="139">
                  <c:v>16.989999999999998</c:v>
                </c:pt>
                <c:pt idx="140">
                  <c:v>16.989999999999998</c:v>
                </c:pt>
                <c:pt idx="141">
                  <c:v>22.4</c:v>
                </c:pt>
                <c:pt idx="142">
                  <c:v>20.85</c:v>
                </c:pt>
                <c:pt idx="143">
                  <c:v>19.309999999999999</c:v>
                </c:pt>
                <c:pt idx="144">
                  <c:v>20.85</c:v>
                </c:pt>
                <c:pt idx="145">
                  <c:v>23.17</c:v>
                </c:pt>
                <c:pt idx="146">
                  <c:v>25.49</c:v>
                </c:pt>
                <c:pt idx="147">
                  <c:v>23.94</c:v>
                </c:pt>
                <c:pt idx="148">
                  <c:v>19.309999999999999</c:v>
                </c:pt>
                <c:pt idx="149">
                  <c:v>16.989999999999998</c:v>
                </c:pt>
                <c:pt idx="150">
                  <c:v>17.760000000000002</c:v>
                </c:pt>
                <c:pt idx="151">
                  <c:v>20.85</c:v>
                </c:pt>
                <c:pt idx="152">
                  <c:v>21.63</c:v>
                </c:pt>
                <c:pt idx="153">
                  <c:v>16.989999999999998</c:v>
                </c:pt>
                <c:pt idx="154">
                  <c:v>19.309999999999999</c:v>
                </c:pt>
                <c:pt idx="155">
                  <c:v>23.94</c:v>
                </c:pt>
                <c:pt idx="156">
                  <c:v>22.4</c:v>
                </c:pt>
                <c:pt idx="157">
                  <c:v>20.079999999999998</c:v>
                </c:pt>
                <c:pt idx="158">
                  <c:v>16.989999999999998</c:v>
                </c:pt>
                <c:pt idx="159">
                  <c:v>20.85</c:v>
                </c:pt>
                <c:pt idx="160">
                  <c:v>23.17</c:v>
                </c:pt>
                <c:pt idx="161">
                  <c:v>23.17</c:v>
                </c:pt>
                <c:pt idx="162">
                  <c:v>16.22</c:v>
                </c:pt>
                <c:pt idx="163">
                  <c:v>16.989999999999998</c:v>
                </c:pt>
                <c:pt idx="164">
                  <c:v>17.760000000000002</c:v>
                </c:pt>
                <c:pt idx="165">
                  <c:v>20.079999999999998</c:v>
                </c:pt>
                <c:pt idx="166">
                  <c:v>18.54</c:v>
                </c:pt>
                <c:pt idx="167">
                  <c:v>20.079999999999998</c:v>
                </c:pt>
                <c:pt idx="168">
                  <c:v>20.079999999999998</c:v>
                </c:pt>
                <c:pt idx="169">
                  <c:v>20.079999999999998</c:v>
                </c:pt>
                <c:pt idx="170">
                  <c:v>21.63</c:v>
                </c:pt>
                <c:pt idx="171">
                  <c:v>16.989999999999998</c:v>
                </c:pt>
                <c:pt idx="172">
                  <c:v>16.989999999999998</c:v>
                </c:pt>
                <c:pt idx="173">
                  <c:v>23.17</c:v>
                </c:pt>
                <c:pt idx="174">
                  <c:v>17.760000000000002</c:v>
                </c:pt>
                <c:pt idx="175">
                  <c:v>19.309999999999999</c:v>
                </c:pt>
                <c:pt idx="176">
                  <c:v>16.989999999999998</c:v>
                </c:pt>
                <c:pt idx="177">
                  <c:v>19.309999999999999</c:v>
                </c:pt>
                <c:pt idx="178">
                  <c:v>19.309999999999999</c:v>
                </c:pt>
                <c:pt idx="179">
                  <c:v>15.45</c:v>
                </c:pt>
                <c:pt idx="180">
                  <c:v>22.4</c:v>
                </c:pt>
                <c:pt idx="181">
                  <c:v>15.45</c:v>
                </c:pt>
                <c:pt idx="182">
                  <c:v>20.079999999999998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0.77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2.3199999999999998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6.95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5.41</c:v>
                </c:pt>
                <c:pt idx="314">
                  <c:v>5.41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6.95</c:v>
                </c:pt>
                <c:pt idx="328">
                  <c:v>6.95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9.27</c:v>
                </c:pt>
                <c:pt idx="342">
                  <c:v>3.86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7.72</c:v>
                </c:pt>
                <c:pt idx="356">
                  <c:v>5.41</c:v>
                </c:pt>
                <c:pt idx="357">
                  <c:v>0.77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10.81</c:v>
                </c:pt>
                <c:pt idx="370">
                  <c:v>5.41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6.18</c:v>
                </c:pt>
                <c:pt idx="384">
                  <c:v>9.27</c:v>
                </c:pt>
                <c:pt idx="385">
                  <c:v>0.77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2.3199999999999998</c:v>
                </c:pt>
                <c:pt idx="398">
                  <c:v>6.95</c:v>
                </c:pt>
                <c:pt idx="399">
                  <c:v>0.77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3.86</c:v>
                </c:pt>
                <c:pt idx="412">
                  <c:v>4.63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3.86</c:v>
                </c:pt>
                <c:pt idx="426">
                  <c:v>5.41</c:v>
                </c:pt>
                <c:pt idx="427">
                  <c:v>3.09</c:v>
                </c:pt>
                <c:pt idx="428">
                  <c:v>3.86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0.77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3.86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9-45E3-BB28-E7704208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11072"/>
        <c:axId val="397911152"/>
      </c:scatterChart>
      <c:valAx>
        <c:axId val="273211072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911152"/>
        <c:crosses val="autoZero"/>
        <c:crossBetween val="midCat"/>
      </c:valAx>
      <c:valAx>
        <c:axId val="397911152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321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Tonatiuh  97/66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Hoja1!$AT$2:$AT$564</c:f>
              <c:numCache>
                <c:formatCode>General</c:formatCode>
                <c:ptCount val="5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</c:numCache>
            </c:numRef>
          </c:xVal>
          <c:yVal>
            <c:numRef>
              <c:f>Hoja1!$AU$2:$AU$564</c:f>
              <c:numCache>
                <c:formatCode>General</c:formatCode>
                <c:ptCount val="563"/>
                <c:pt idx="0">
                  <c:v>1.39</c:v>
                </c:pt>
                <c:pt idx="1">
                  <c:v>1.97</c:v>
                </c:pt>
                <c:pt idx="2">
                  <c:v>2.2799999999999998</c:v>
                </c:pt>
                <c:pt idx="3">
                  <c:v>2.2799999999999998</c:v>
                </c:pt>
                <c:pt idx="4">
                  <c:v>2.2400000000000002</c:v>
                </c:pt>
                <c:pt idx="5">
                  <c:v>2.2000000000000002</c:v>
                </c:pt>
                <c:pt idx="6">
                  <c:v>2.5499999999999998</c:v>
                </c:pt>
                <c:pt idx="7">
                  <c:v>2.63</c:v>
                </c:pt>
                <c:pt idx="8">
                  <c:v>2.97</c:v>
                </c:pt>
                <c:pt idx="9">
                  <c:v>3.17</c:v>
                </c:pt>
                <c:pt idx="10">
                  <c:v>3.44</c:v>
                </c:pt>
                <c:pt idx="11">
                  <c:v>3.63</c:v>
                </c:pt>
                <c:pt idx="12">
                  <c:v>3.98</c:v>
                </c:pt>
                <c:pt idx="13">
                  <c:v>4.4000000000000004</c:v>
                </c:pt>
                <c:pt idx="14">
                  <c:v>4.67</c:v>
                </c:pt>
                <c:pt idx="15">
                  <c:v>5.17</c:v>
                </c:pt>
                <c:pt idx="16">
                  <c:v>5.48</c:v>
                </c:pt>
                <c:pt idx="17">
                  <c:v>5.95</c:v>
                </c:pt>
                <c:pt idx="18">
                  <c:v>6.29</c:v>
                </c:pt>
                <c:pt idx="19">
                  <c:v>6.68</c:v>
                </c:pt>
                <c:pt idx="20">
                  <c:v>7.18</c:v>
                </c:pt>
                <c:pt idx="21">
                  <c:v>7.49</c:v>
                </c:pt>
                <c:pt idx="22">
                  <c:v>8.15</c:v>
                </c:pt>
                <c:pt idx="23">
                  <c:v>8.5</c:v>
                </c:pt>
                <c:pt idx="24">
                  <c:v>9</c:v>
                </c:pt>
                <c:pt idx="25">
                  <c:v>9.5399999999999991</c:v>
                </c:pt>
                <c:pt idx="26">
                  <c:v>9.89</c:v>
                </c:pt>
                <c:pt idx="27">
                  <c:v>10.58</c:v>
                </c:pt>
                <c:pt idx="28">
                  <c:v>11.08</c:v>
                </c:pt>
                <c:pt idx="29">
                  <c:v>11.7</c:v>
                </c:pt>
                <c:pt idx="30">
                  <c:v>12.24</c:v>
                </c:pt>
                <c:pt idx="31">
                  <c:v>12.63</c:v>
                </c:pt>
                <c:pt idx="32">
                  <c:v>13.36</c:v>
                </c:pt>
                <c:pt idx="33">
                  <c:v>13.86</c:v>
                </c:pt>
                <c:pt idx="34">
                  <c:v>14.56</c:v>
                </c:pt>
                <c:pt idx="35">
                  <c:v>15.18</c:v>
                </c:pt>
                <c:pt idx="36">
                  <c:v>15.64</c:v>
                </c:pt>
                <c:pt idx="37">
                  <c:v>16.41</c:v>
                </c:pt>
                <c:pt idx="38">
                  <c:v>16.95</c:v>
                </c:pt>
                <c:pt idx="39">
                  <c:v>17.73</c:v>
                </c:pt>
                <c:pt idx="40">
                  <c:v>18.420000000000002</c:v>
                </c:pt>
                <c:pt idx="41">
                  <c:v>18.96</c:v>
                </c:pt>
                <c:pt idx="42">
                  <c:v>19.96</c:v>
                </c:pt>
                <c:pt idx="43">
                  <c:v>20.47</c:v>
                </c:pt>
                <c:pt idx="44">
                  <c:v>21.47</c:v>
                </c:pt>
                <c:pt idx="45">
                  <c:v>22.13</c:v>
                </c:pt>
                <c:pt idx="46">
                  <c:v>22.82</c:v>
                </c:pt>
                <c:pt idx="47">
                  <c:v>23.59</c:v>
                </c:pt>
                <c:pt idx="48">
                  <c:v>24.33</c:v>
                </c:pt>
                <c:pt idx="49">
                  <c:v>25.45</c:v>
                </c:pt>
                <c:pt idx="50">
                  <c:v>26.07</c:v>
                </c:pt>
                <c:pt idx="51">
                  <c:v>27.07</c:v>
                </c:pt>
                <c:pt idx="52">
                  <c:v>27.61</c:v>
                </c:pt>
                <c:pt idx="53">
                  <c:v>28.65</c:v>
                </c:pt>
                <c:pt idx="54">
                  <c:v>29.54</c:v>
                </c:pt>
                <c:pt idx="55">
                  <c:v>30.24</c:v>
                </c:pt>
                <c:pt idx="56">
                  <c:v>31.28</c:v>
                </c:pt>
                <c:pt idx="57">
                  <c:v>32.090000000000003</c:v>
                </c:pt>
                <c:pt idx="58">
                  <c:v>32.94</c:v>
                </c:pt>
                <c:pt idx="59">
                  <c:v>33.869999999999997</c:v>
                </c:pt>
                <c:pt idx="60">
                  <c:v>34.520000000000003</c:v>
                </c:pt>
                <c:pt idx="61">
                  <c:v>35.57</c:v>
                </c:pt>
                <c:pt idx="62">
                  <c:v>36.57</c:v>
                </c:pt>
                <c:pt idx="63">
                  <c:v>37.54</c:v>
                </c:pt>
                <c:pt idx="64">
                  <c:v>38.54</c:v>
                </c:pt>
                <c:pt idx="65">
                  <c:v>39.51</c:v>
                </c:pt>
                <c:pt idx="66">
                  <c:v>40.51</c:v>
                </c:pt>
                <c:pt idx="67">
                  <c:v>41.51</c:v>
                </c:pt>
                <c:pt idx="68">
                  <c:v>42.52</c:v>
                </c:pt>
                <c:pt idx="69">
                  <c:v>43.44</c:v>
                </c:pt>
                <c:pt idx="70">
                  <c:v>44.53</c:v>
                </c:pt>
                <c:pt idx="71">
                  <c:v>45.8</c:v>
                </c:pt>
                <c:pt idx="72">
                  <c:v>47.19</c:v>
                </c:pt>
                <c:pt idx="73">
                  <c:v>48.43</c:v>
                </c:pt>
                <c:pt idx="74">
                  <c:v>49.55</c:v>
                </c:pt>
                <c:pt idx="75">
                  <c:v>50.51</c:v>
                </c:pt>
                <c:pt idx="76">
                  <c:v>51.48</c:v>
                </c:pt>
                <c:pt idx="77">
                  <c:v>52.75</c:v>
                </c:pt>
                <c:pt idx="78">
                  <c:v>53.99</c:v>
                </c:pt>
                <c:pt idx="79">
                  <c:v>55.07</c:v>
                </c:pt>
                <c:pt idx="80">
                  <c:v>56.07</c:v>
                </c:pt>
                <c:pt idx="81">
                  <c:v>57.35</c:v>
                </c:pt>
                <c:pt idx="82">
                  <c:v>58.5</c:v>
                </c:pt>
                <c:pt idx="83">
                  <c:v>59.51</c:v>
                </c:pt>
                <c:pt idx="84">
                  <c:v>60.9</c:v>
                </c:pt>
                <c:pt idx="85">
                  <c:v>61.94</c:v>
                </c:pt>
                <c:pt idx="86">
                  <c:v>62.95</c:v>
                </c:pt>
                <c:pt idx="87">
                  <c:v>64.260000000000005</c:v>
                </c:pt>
                <c:pt idx="88">
                  <c:v>64.95</c:v>
                </c:pt>
                <c:pt idx="89">
                  <c:v>66.069999999999993</c:v>
                </c:pt>
                <c:pt idx="90">
                  <c:v>67</c:v>
                </c:pt>
                <c:pt idx="91">
                  <c:v>68.27</c:v>
                </c:pt>
                <c:pt idx="92">
                  <c:v>69.09</c:v>
                </c:pt>
                <c:pt idx="93">
                  <c:v>70.239999999999995</c:v>
                </c:pt>
                <c:pt idx="94">
                  <c:v>71.599999999999994</c:v>
                </c:pt>
                <c:pt idx="95">
                  <c:v>73.72</c:v>
                </c:pt>
                <c:pt idx="96">
                  <c:v>76.349999999999994</c:v>
                </c:pt>
                <c:pt idx="97">
                  <c:v>77.58</c:v>
                </c:pt>
                <c:pt idx="98">
                  <c:v>78.78</c:v>
                </c:pt>
                <c:pt idx="99">
                  <c:v>79.900000000000006</c:v>
                </c:pt>
                <c:pt idx="100">
                  <c:v>80.86</c:v>
                </c:pt>
                <c:pt idx="101">
                  <c:v>82.02</c:v>
                </c:pt>
                <c:pt idx="102">
                  <c:v>83.03</c:v>
                </c:pt>
                <c:pt idx="103">
                  <c:v>84.07</c:v>
                </c:pt>
                <c:pt idx="104">
                  <c:v>84.96</c:v>
                </c:pt>
                <c:pt idx="105">
                  <c:v>85.85</c:v>
                </c:pt>
                <c:pt idx="106">
                  <c:v>86.81</c:v>
                </c:pt>
                <c:pt idx="107">
                  <c:v>88.01</c:v>
                </c:pt>
                <c:pt idx="108">
                  <c:v>89.24</c:v>
                </c:pt>
                <c:pt idx="109">
                  <c:v>90.36</c:v>
                </c:pt>
                <c:pt idx="110">
                  <c:v>91.52</c:v>
                </c:pt>
                <c:pt idx="111">
                  <c:v>92.68</c:v>
                </c:pt>
                <c:pt idx="112">
                  <c:v>93.68</c:v>
                </c:pt>
                <c:pt idx="113">
                  <c:v>95.07</c:v>
                </c:pt>
                <c:pt idx="114">
                  <c:v>96.12</c:v>
                </c:pt>
                <c:pt idx="115">
                  <c:v>97.24</c:v>
                </c:pt>
                <c:pt idx="116">
                  <c:v>98.43</c:v>
                </c:pt>
                <c:pt idx="117">
                  <c:v>99.67</c:v>
                </c:pt>
                <c:pt idx="118">
                  <c:v>101.6</c:v>
                </c:pt>
                <c:pt idx="119">
                  <c:v>103.42</c:v>
                </c:pt>
                <c:pt idx="120">
                  <c:v>104.46</c:v>
                </c:pt>
                <c:pt idx="121">
                  <c:v>105.31</c:v>
                </c:pt>
                <c:pt idx="122">
                  <c:v>106.31</c:v>
                </c:pt>
                <c:pt idx="123">
                  <c:v>107.28</c:v>
                </c:pt>
                <c:pt idx="124">
                  <c:v>108.47</c:v>
                </c:pt>
                <c:pt idx="125">
                  <c:v>109.71</c:v>
                </c:pt>
                <c:pt idx="126">
                  <c:v>110.95</c:v>
                </c:pt>
                <c:pt idx="127">
                  <c:v>111.83</c:v>
                </c:pt>
                <c:pt idx="128">
                  <c:v>113.22</c:v>
                </c:pt>
                <c:pt idx="129">
                  <c:v>114.38</c:v>
                </c:pt>
                <c:pt idx="130">
                  <c:v>115.66</c:v>
                </c:pt>
                <c:pt idx="131">
                  <c:v>116.85</c:v>
                </c:pt>
                <c:pt idx="132">
                  <c:v>117.94</c:v>
                </c:pt>
                <c:pt idx="133">
                  <c:v>119.13</c:v>
                </c:pt>
                <c:pt idx="134">
                  <c:v>120.37</c:v>
                </c:pt>
                <c:pt idx="135">
                  <c:v>121.41</c:v>
                </c:pt>
                <c:pt idx="136">
                  <c:v>122.8</c:v>
                </c:pt>
                <c:pt idx="137">
                  <c:v>123.81</c:v>
                </c:pt>
                <c:pt idx="138">
                  <c:v>125.08</c:v>
                </c:pt>
                <c:pt idx="139">
                  <c:v>126.24</c:v>
                </c:pt>
                <c:pt idx="140">
                  <c:v>127.24</c:v>
                </c:pt>
                <c:pt idx="141">
                  <c:v>128.59</c:v>
                </c:pt>
                <c:pt idx="142">
                  <c:v>130.1</c:v>
                </c:pt>
                <c:pt idx="143">
                  <c:v>131.07</c:v>
                </c:pt>
                <c:pt idx="144">
                  <c:v>131.91999999999999</c:v>
                </c:pt>
                <c:pt idx="145">
                  <c:v>133.22999999999999</c:v>
                </c:pt>
                <c:pt idx="146">
                  <c:v>134.35</c:v>
                </c:pt>
                <c:pt idx="147">
                  <c:v>135.35</c:v>
                </c:pt>
                <c:pt idx="148">
                  <c:v>136.36000000000001</c:v>
                </c:pt>
                <c:pt idx="149">
                  <c:v>137.4</c:v>
                </c:pt>
                <c:pt idx="150">
                  <c:v>138.52000000000001</c:v>
                </c:pt>
                <c:pt idx="151">
                  <c:v>139.68</c:v>
                </c:pt>
                <c:pt idx="152">
                  <c:v>140.6</c:v>
                </c:pt>
                <c:pt idx="153">
                  <c:v>141.69</c:v>
                </c:pt>
                <c:pt idx="154">
                  <c:v>142.72999999999999</c:v>
                </c:pt>
                <c:pt idx="155">
                  <c:v>143.69</c:v>
                </c:pt>
                <c:pt idx="156">
                  <c:v>144.88999999999999</c:v>
                </c:pt>
                <c:pt idx="157">
                  <c:v>145.88999999999999</c:v>
                </c:pt>
                <c:pt idx="158">
                  <c:v>146.97999999999999</c:v>
                </c:pt>
                <c:pt idx="159">
                  <c:v>147.97999999999999</c:v>
                </c:pt>
                <c:pt idx="160">
                  <c:v>148.87</c:v>
                </c:pt>
                <c:pt idx="161">
                  <c:v>149.83000000000001</c:v>
                </c:pt>
                <c:pt idx="162">
                  <c:v>150.94999999999999</c:v>
                </c:pt>
                <c:pt idx="163">
                  <c:v>151.80000000000001</c:v>
                </c:pt>
                <c:pt idx="164">
                  <c:v>152.72999999999999</c:v>
                </c:pt>
                <c:pt idx="165">
                  <c:v>153.81</c:v>
                </c:pt>
                <c:pt idx="166">
                  <c:v>155.05000000000001</c:v>
                </c:pt>
                <c:pt idx="167">
                  <c:v>156.09</c:v>
                </c:pt>
                <c:pt idx="168">
                  <c:v>157.05000000000001</c:v>
                </c:pt>
                <c:pt idx="169">
                  <c:v>158.1</c:v>
                </c:pt>
                <c:pt idx="170">
                  <c:v>159.13999999999999</c:v>
                </c:pt>
                <c:pt idx="171">
                  <c:v>159.87</c:v>
                </c:pt>
                <c:pt idx="172">
                  <c:v>160.80000000000001</c:v>
                </c:pt>
                <c:pt idx="173">
                  <c:v>161.80000000000001</c:v>
                </c:pt>
                <c:pt idx="174">
                  <c:v>162.77000000000001</c:v>
                </c:pt>
                <c:pt idx="175">
                  <c:v>162.85</c:v>
                </c:pt>
                <c:pt idx="176">
                  <c:v>162.11000000000001</c:v>
                </c:pt>
                <c:pt idx="177">
                  <c:v>161.19</c:v>
                </c:pt>
                <c:pt idx="178">
                  <c:v>160.34</c:v>
                </c:pt>
                <c:pt idx="179">
                  <c:v>159.49</c:v>
                </c:pt>
                <c:pt idx="180">
                  <c:v>158.68</c:v>
                </c:pt>
                <c:pt idx="181">
                  <c:v>157.94</c:v>
                </c:pt>
                <c:pt idx="182">
                  <c:v>157.16999999999999</c:v>
                </c:pt>
                <c:pt idx="183">
                  <c:v>156.51</c:v>
                </c:pt>
                <c:pt idx="184">
                  <c:v>155.78</c:v>
                </c:pt>
                <c:pt idx="185">
                  <c:v>155.05000000000001</c:v>
                </c:pt>
                <c:pt idx="186">
                  <c:v>154.43</c:v>
                </c:pt>
                <c:pt idx="187">
                  <c:v>153.72999999999999</c:v>
                </c:pt>
                <c:pt idx="188">
                  <c:v>153.08000000000001</c:v>
                </c:pt>
                <c:pt idx="189">
                  <c:v>152.5</c:v>
                </c:pt>
                <c:pt idx="190">
                  <c:v>152.15</c:v>
                </c:pt>
                <c:pt idx="191">
                  <c:v>151.49</c:v>
                </c:pt>
                <c:pt idx="192">
                  <c:v>150.80000000000001</c:v>
                </c:pt>
                <c:pt idx="193">
                  <c:v>150.18</c:v>
                </c:pt>
                <c:pt idx="194">
                  <c:v>149.56</c:v>
                </c:pt>
                <c:pt idx="195">
                  <c:v>148.94999999999999</c:v>
                </c:pt>
                <c:pt idx="196">
                  <c:v>148.33000000000001</c:v>
                </c:pt>
                <c:pt idx="197">
                  <c:v>147.75</c:v>
                </c:pt>
                <c:pt idx="198">
                  <c:v>147.13</c:v>
                </c:pt>
                <c:pt idx="199">
                  <c:v>146.51</c:v>
                </c:pt>
                <c:pt idx="200">
                  <c:v>145.93</c:v>
                </c:pt>
                <c:pt idx="201">
                  <c:v>145.32</c:v>
                </c:pt>
                <c:pt idx="202">
                  <c:v>144.81</c:v>
                </c:pt>
                <c:pt idx="203">
                  <c:v>144.19999999999999</c:v>
                </c:pt>
                <c:pt idx="204">
                  <c:v>143.69</c:v>
                </c:pt>
                <c:pt idx="205">
                  <c:v>143.08000000000001</c:v>
                </c:pt>
                <c:pt idx="206">
                  <c:v>142.5</c:v>
                </c:pt>
                <c:pt idx="207">
                  <c:v>141.99</c:v>
                </c:pt>
                <c:pt idx="208">
                  <c:v>141.44999999999999</c:v>
                </c:pt>
                <c:pt idx="209">
                  <c:v>140.94999999999999</c:v>
                </c:pt>
                <c:pt idx="210">
                  <c:v>140.37</c:v>
                </c:pt>
                <c:pt idx="211">
                  <c:v>139.83000000000001</c:v>
                </c:pt>
                <c:pt idx="212">
                  <c:v>139.21</c:v>
                </c:pt>
                <c:pt idx="213">
                  <c:v>138.79</c:v>
                </c:pt>
                <c:pt idx="214">
                  <c:v>138.47999999999999</c:v>
                </c:pt>
                <c:pt idx="215">
                  <c:v>138.06</c:v>
                </c:pt>
                <c:pt idx="216">
                  <c:v>137.44</c:v>
                </c:pt>
                <c:pt idx="217">
                  <c:v>136.97</c:v>
                </c:pt>
                <c:pt idx="218">
                  <c:v>136.36000000000001</c:v>
                </c:pt>
                <c:pt idx="219">
                  <c:v>135.85</c:v>
                </c:pt>
                <c:pt idx="220">
                  <c:v>135.35</c:v>
                </c:pt>
                <c:pt idx="221">
                  <c:v>134.97</c:v>
                </c:pt>
                <c:pt idx="222">
                  <c:v>134.35</c:v>
                </c:pt>
                <c:pt idx="223">
                  <c:v>133.81</c:v>
                </c:pt>
                <c:pt idx="224">
                  <c:v>133.34</c:v>
                </c:pt>
                <c:pt idx="225">
                  <c:v>132.76</c:v>
                </c:pt>
                <c:pt idx="226">
                  <c:v>132.38</c:v>
                </c:pt>
                <c:pt idx="227">
                  <c:v>131.80000000000001</c:v>
                </c:pt>
                <c:pt idx="228">
                  <c:v>131.30000000000001</c:v>
                </c:pt>
                <c:pt idx="229">
                  <c:v>130.87</c:v>
                </c:pt>
                <c:pt idx="230">
                  <c:v>130.41</c:v>
                </c:pt>
                <c:pt idx="231">
                  <c:v>129.87</c:v>
                </c:pt>
                <c:pt idx="232">
                  <c:v>129.41</c:v>
                </c:pt>
                <c:pt idx="233">
                  <c:v>128.97999999999999</c:v>
                </c:pt>
                <c:pt idx="234">
                  <c:v>128.44</c:v>
                </c:pt>
                <c:pt idx="235">
                  <c:v>128.02000000000001</c:v>
                </c:pt>
                <c:pt idx="236">
                  <c:v>127.51</c:v>
                </c:pt>
                <c:pt idx="237">
                  <c:v>127.09</c:v>
                </c:pt>
                <c:pt idx="238">
                  <c:v>126.97</c:v>
                </c:pt>
                <c:pt idx="239">
                  <c:v>126.62</c:v>
                </c:pt>
                <c:pt idx="240">
                  <c:v>126.05</c:v>
                </c:pt>
                <c:pt idx="241">
                  <c:v>125.5</c:v>
                </c:pt>
                <c:pt idx="242">
                  <c:v>125.04</c:v>
                </c:pt>
                <c:pt idx="243">
                  <c:v>124.5</c:v>
                </c:pt>
                <c:pt idx="244">
                  <c:v>124.11</c:v>
                </c:pt>
                <c:pt idx="245">
                  <c:v>123.73</c:v>
                </c:pt>
                <c:pt idx="246">
                  <c:v>123.15</c:v>
                </c:pt>
                <c:pt idx="247">
                  <c:v>122.69</c:v>
                </c:pt>
                <c:pt idx="248">
                  <c:v>122.22</c:v>
                </c:pt>
                <c:pt idx="249">
                  <c:v>121.76</c:v>
                </c:pt>
                <c:pt idx="250">
                  <c:v>121.37</c:v>
                </c:pt>
                <c:pt idx="251">
                  <c:v>120.87</c:v>
                </c:pt>
                <c:pt idx="252">
                  <c:v>120.41</c:v>
                </c:pt>
                <c:pt idx="253">
                  <c:v>119.91</c:v>
                </c:pt>
                <c:pt idx="254">
                  <c:v>119.52</c:v>
                </c:pt>
                <c:pt idx="255">
                  <c:v>119.06</c:v>
                </c:pt>
                <c:pt idx="256">
                  <c:v>118.67</c:v>
                </c:pt>
                <c:pt idx="257">
                  <c:v>118.21</c:v>
                </c:pt>
                <c:pt idx="258">
                  <c:v>117.78</c:v>
                </c:pt>
                <c:pt idx="259">
                  <c:v>117.43</c:v>
                </c:pt>
                <c:pt idx="260">
                  <c:v>116.97</c:v>
                </c:pt>
                <c:pt idx="261">
                  <c:v>116.66</c:v>
                </c:pt>
                <c:pt idx="262">
                  <c:v>116.7</c:v>
                </c:pt>
                <c:pt idx="263">
                  <c:v>116.39</c:v>
                </c:pt>
                <c:pt idx="264">
                  <c:v>115.73</c:v>
                </c:pt>
                <c:pt idx="265">
                  <c:v>115.27</c:v>
                </c:pt>
                <c:pt idx="266">
                  <c:v>114.77</c:v>
                </c:pt>
                <c:pt idx="267">
                  <c:v>114.34</c:v>
                </c:pt>
                <c:pt idx="268">
                  <c:v>113.92</c:v>
                </c:pt>
                <c:pt idx="269">
                  <c:v>113.5</c:v>
                </c:pt>
                <c:pt idx="270">
                  <c:v>113.03</c:v>
                </c:pt>
                <c:pt idx="271">
                  <c:v>112.65</c:v>
                </c:pt>
                <c:pt idx="272">
                  <c:v>112.22</c:v>
                </c:pt>
                <c:pt idx="273">
                  <c:v>111.8</c:v>
                </c:pt>
                <c:pt idx="274">
                  <c:v>111.41</c:v>
                </c:pt>
                <c:pt idx="275">
                  <c:v>110.95</c:v>
                </c:pt>
                <c:pt idx="276">
                  <c:v>110.52</c:v>
                </c:pt>
                <c:pt idx="277">
                  <c:v>110.17</c:v>
                </c:pt>
                <c:pt idx="278">
                  <c:v>109.75</c:v>
                </c:pt>
                <c:pt idx="279">
                  <c:v>109.4</c:v>
                </c:pt>
                <c:pt idx="280">
                  <c:v>109.05</c:v>
                </c:pt>
                <c:pt idx="281">
                  <c:v>108.59</c:v>
                </c:pt>
                <c:pt idx="282">
                  <c:v>108.24</c:v>
                </c:pt>
                <c:pt idx="283">
                  <c:v>108.01</c:v>
                </c:pt>
                <c:pt idx="284">
                  <c:v>108.17</c:v>
                </c:pt>
                <c:pt idx="285">
                  <c:v>107.9</c:v>
                </c:pt>
                <c:pt idx="286">
                  <c:v>107.12</c:v>
                </c:pt>
                <c:pt idx="287">
                  <c:v>106.7</c:v>
                </c:pt>
                <c:pt idx="288">
                  <c:v>106.24</c:v>
                </c:pt>
                <c:pt idx="289">
                  <c:v>105.81</c:v>
                </c:pt>
                <c:pt idx="290">
                  <c:v>105.58</c:v>
                </c:pt>
                <c:pt idx="291">
                  <c:v>105.12</c:v>
                </c:pt>
                <c:pt idx="292">
                  <c:v>104.73</c:v>
                </c:pt>
                <c:pt idx="293">
                  <c:v>104.3</c:v>
                </c:pt>
                <c:pt idx="294">
                  <c:v>103.96</c:v>
                </c:pt>
                <c:pt idx="295">
                  <c:v>103.57</c:v>
                </c:pt>
                <c:pt idx="296">
                  <c:v>103.18</c:v>
                </c:pt>
                <c:pt idx="297">
                  <c:v>102.88</c:v>
                </c:pt>
                <c:pt idx="298">
                  <c:v>102.41</c:v>
                </c:pt>
                <c:pt idx="299">
                  <c:v>102.14</c:v>
                </c:pt>
                <c:pt idx="300">
                  <c:v>101.79</c:v>
                </c:pt>
                <c:pt idx="301">
                  <c:v>101.33</c:v>
                </c:pt>
                <c:pt idx="302">
                  <c:v>100.94</c:v>
                </c:pt>
                <c:pt idx="303">
                  <c:v>100.67</c:v>
                </c:pt>
                <c:pt idx="304">
                  <c:v>100.91</c:v>
                </c:pt>
                <c:pt idx="305">
                  <c:v>101.18</c:v>
                </c:pt>
                <c:pt idx="306">
                  <c:v>100.83</c:v>
                </c:pt>
                <c:pt idx="307">
                  <c:v>100.13</c:v>
                </c:pt>
                <c:pt idx="308">
                  <c:v>99.63</c:v>
                </c:pt>
                <c:pt idx="309">
                  <c:v>98.98</c:v>
                </c:pt>
                <c:pt idx="310">
                  <c:v>98.63</c:v>
                </c:pt>
                <c:pt idx="311">
                  <c:v>98.4</c:v>
                </c:pt>
                <c:pt idx="312">
                  <c:v>97.97</c:v>
                </c:pt>
                <c:pt idx="313">
                  <c:v>97.47</c:v>
                </c:pt>
                <c:pt idx="314">
                  <c:v>97.04</c:v>
                </c:pt>
                <c:pt idx="315">
                  <c:v>96.74</c:v>
                </c:pt>
                <c:pt idx="316">
                  <c:v>96.39</c:v>
                </c:pt>
                <c:pt idx="317">
                  <c:v>95.96</c:v>
                </c:pt>
                <c:pt idx="318">
                  <c:v>95.62</c:v>
                </c:pt>
                <c:pt idx="319">
                  <c:v>95.31</c:v>
                </c:pt>
                <c:pt idx="320">
                  <c:v>94.92</c:v>
                </c:pt>
                <c:pt idx="321">
                  <c:v>94.57</c:v>
                </c:pt>
                <c:pt idx="322">
                  <c:v>94.23</c:v>
                </c:pt>
                <c:pt idx="323">
                  <c:v>93.95</c:v>
                </c:pt>
                <c:pt idx="324">
                  <c:v>93.61</c:v>
                </c:pt>
                <c:pt idx="325">
                  <c:v>94.19</c:v>
                </c:pt>
                <c:pt idx="326">
                  <c:v>94.88</c:v>
                </c:pt>
                <c:pt idx="327">
                  <c:v>95.15</c:v>
                </c:pt>
                <c:pt idx="328">
                  <c:v>94.5</c:v>
                </c:pt>
                <c:pt idx="329">
                  <c:v>94.15</c:v>
                </c:pt>
                <c:pt idx="330">
                  <c:v>93.34</c:v>
                </c:pt>
                <c:pt idx="331">
                  <c:v>92.56</c:v>
                </c:pt>
                <c:pt idx="332">
                  <c:v>92.18</c:v>
                </c:pt>
                <c:pt idx="333">
                  <c:v>91.64</c:v>
                </c:pt>
                <c:pt idx="334">
                  <c:v>90.98</c:v>
                </c:pt>
                <c:pt idx="335">
                  <c:v>90.56</c:v>
                </c:pt>
                <c:pt idx="336">
                  <c:v>90.17</c:v>
                </c:pt>
                <c:pt idx="337">
                  <c:v>89.71</c:v>
                </c:pt>
                <c:pt idx="338">
                  <c:v>89.48</c:v>
                </c:pt>
                <c:pt idx="339">
                  <c:v>89.09</c:v>
                </c:pt>
                <c:pt idx="340">
                  <c:v>88.74</c:v>
                </c:pt>
                <c:pt idx="341">
                  <c:v>88.36</c:v>
                </c:pt>
                <c:pt idx="342">
                  <c:v>88.01</c:v>
                </c:pt>
                <c:pt idx="343">
                  <c:v>87.66</c:v>
                </c:pt>
                <c:pt idx="344">
                  <c:v>87.39</c:v>
                </c:pt>
                <c:pt idx="345">
                  <c:v>87.12</c:v>
                </c:pt>
                <c:pt idx="346">
                  <c:v>86.81</c:v>
                </c:pt>
                <c:pt idx="347">
                  <c:v>86.93</c:v>
                </c:pt>
                <c:pt idx="348">
                  <c:v>88.01</c:v>
                </c:pt>
                <c:pt idx="349">
                  <c:v>88.78</c:v>
                </c:pt>
                <c:pt idx="350">
                  <c:v>88.43</c:v>
                </c:pt>
                <c:pt idx="351">
                  <c:v>88.28</c:v>
                </c:pt>
                <c:pt idx="352">
                  <c:v>87.89</c:v>
                </c:pt>
                <c:pt idx="353">
                  <c:v>87.2</c:v>
                </c:pt>
                <c:pt idx="354">
                  <c:v>86.81</c:v>
                </c:pt>
                <c:pt idx="355">
                  <c:v>86.31</c:v>
                </c:pt>
                <c:pt idx="356">
                  <c:v>85.69</c:v>
                </c:pt>
                <c:pt idx="357">
                  <c:v>84.96</c:v>
                </c:pt>
                <c:pt idx="358">
                  <c:v>84.38</c:v>
                </c:pt>
                <c:pt idx="359">
                  <c:v>83.84</c:v>
                </c:pt>
                <c:pt idx="360">
                  <c:v>83.26</c:v>
                </c:pt>
                <c:pt idx="361">
                  <c:v>82.91</c:v>
                </c:pt>
                <c:pt idx="362">
                  <c:v>82.56</c:v>
                </c:pt>
                <c:pt idx="363">
                  <c:v>82.22</c:v>
                </c:pt>
                <c:pt idx="364">
                  <c:v>81.98</c:v>
                </c:pt>
                <c:pt idx="365">
                  <c:v>81.599999999999994</c:v>
                </c:pt>
                <c:pt idx="366">
                  <c:v>81.290000000000006</c:v>
                </c:pt>
                <c:pt idx="367">
                  <c:v>80.94</c:v>
                </c:pt>
                <c:pt idx="368">
                  <c:v>80.63</c:v>
                </c:pt>
                <c:pt idx="369">
                  <c:v>80.75</c:v>
                </c:pt>
                <c:pt idx="370">
                  <c:v>81.98</c:v>
                </c:pt>
                <c:pt idx="371">
                  <c:v>82.83</c:v>
                </c:pt>
                <c:pt idx="372">
                  <c:v>82.72</c:v>
                </c:pt>
                <c:pt idx="373">
                  <c:v>82.79</c:v>
                </c:pt>
                <c:pt idx="374">
                  <c:v>82.72</c:v>
                </c:pt>
                <c:pt idx="375">
                  <c:v>82.41</c:v>
                </c:pt>
                <c:pt idx="376">
                  <c:v>82.06</c:v>
                </c:pt>
                <c:pt idx="377">
                  <c:v>81.64</c:v>
                </c:pt>
                <c:pt idx="378">
                  <c:v>81.02</c:v>
                </c:pt>
                <c:pt idx="379">
                  <c:v>80.44</c:v>
                </c:pt>
                <c:pt idx="380">
                  <c:v>79.709999999999994</c:v>
                </c:pt>
                <c:pt idx="381">
                  <c:v>79.13</c:v>
                </c:pt>
                <c:pt idx="382">
                  <c:v>78.55</c:v>
                </c:pt>
                <c:pt idx="383">
                  <c:v>78.010000000000005</c:v>
                </c:pt>
                <c:pt idx="384">
                  <c:v>77.58</c:v>
                </c:pt>
                <c:pt idx="385">
                  <c:v>77.16</c:v>
                </c:pt>
                <c:pt idx="386">
                  <c:v>76.69</c:v>
                </c:pt>
                <c:pt idx="387">
                  <c:v>76.38</c:v>
                </c:pt>
                <c:pt idx="388">
                  <c:v>76.040000000000006</c:v>
                </c:pt>
                <c:pt idx="389">
                  <c:v>76.5</c:v>
                </c:pt>
                <c:pt idx="390">
                  <c:v>77.849999999999994</c:v>
                </c:pt>
                <c:pt idx="391">
                  <c:v>78.430000000000007</c:v>
                </c:pt>
                <c:pt idx="392">
                  <c:v>78.7</c:v>
                </c:pt>
                <c:pt idx="393">
                  <c:v>78.62</c:v>
                </c:pt>
                <c:pt idx="394">
                  <c:v>78.010000000000005</c:v>
                </c:pt>
                <c:pt idx="395">
                  <c:v>77.66</c:v>
                </c:pt>
                <c:pt idx="396">
                  <c:v>77.23</c:v>
                </c:pt>
                <c:pt idx="397">
                  <c:v>76.69</c:v>
                </c:pt>
                <c:pt idx="398">
                  <c:v>76.19</c:v>
                </c:pt>
                <c:pt idx="399">
                  <c:v>75.69</c:v>
                </c:pt>
                <c:pt idx="400">
                  <c:v>75.150000000000006</c:v>
                </c:pt>
                <c:pt idx="401">
                  <c:v>74.569999999999993</c:v>
                </c:pt>
                <c:pt idx="402">
                  <c:v>74.14</c:v>
                </c:pt>
                <c:pt idx="403">
                  <c:v>73.599999999999994</c:v>
                </c:pt>
                <c:pt idx="404">
                  <c:v>73.180000000000007</c:v>
                </c:pt>
                <c:pt idx="405">
                  <c:v>72.75</c:v>
                </c:pt>
                <c:pt idx="406">
                  <c:v>72.33</c:v>
                </c:pt>
                <c:pt idx="407">
                  <c:v>71.94</c:v>
                </c:pt>
                <c:pt idx="408">
                  <c:v>71.599999999999994</c:v>
                </c:pt>
                <c:pt idx="409">
                  <c:v>72.209999999999994</c:v>
                </c:pt>
                <c:pt idx="410">
                  <c:v>73.72</c:v>
                </c:pt>
                <c:pt idx="411">
                  <c:v>74.34</c:v>
                </c:pt>
                <c:pt idx="412">
                  <c:v>74.3</c:v>
                </c:pt>
                <c:pt idx="413">
                  <c:v>74.03</c:v>
                </c:pt>
                <c:pt idx="414">
                  <c:v>73.489999999999995</c:v>
                </c:pt>
                <c:pt idx="415">
                  <c:v>73.02</c:v>
                </c:pt>
                <c:pt idx="416">
                  <c:v>72.72</c:v>
                </c:pt>
                <c:pt idx="417">
                  <c:v>72.33</c:v>
                </c:pt>
                <c:pt idx="418">
                  <c:v>71.900000000000006</c:v>
                </c:pt>
                <c:pt idx="419">
                  <c:v>71.48</c:v>
                </c:pt>
                <c:pt idx="420">
                  <c:v>71.06</c:v>
                </c:pt>
                <c:pt idx="421">
                  <c:v>70.67</c:v>
                </c:pt>
                <c:pt idx="422">
                  <c:v>70.209999999999994</c:v>
                </c:pt>
                <c:pt idx="423">
                  <c:v>69.78</c:v>
                </c:pt>
                <c:pt idx="424">
                  <c:v>69.39</c:v>
                </c:pt>
                <c:pt idx="425">
                  <c:v>69.09</c:v>
                </c:pt>
                <c:pt idx="426">
                  <c:v>68.540000000000006</c:v>
                </c:pt>
                <c:pt idx="427">
                  <c:v>68.239999999999995</c:v>
                </c:pt>
                <c:pt idx="428">
                  <c:v>67.77</c:v>
                </c:pt>
                <c:pt idx="429">
                  <c:v>67.459999999999994</c:v>
                </c:pt>
                <c:pt idx="430">
                  <c:v>68.16</c:v>
                </c:pt>
                <c:pt idx="431">
                  <c:v>69.430000000000007</c:v>
                </c:pt>
                <c:pt idx="432">
                  <c:v>69.59</c:v>
                </c:pt>
                <c:pt idx="433">
                  <c:v>69.430000000000007</c:v>
                </c:pt>
                <c:pt idx="434">
                  <c:v>69.12</c:v>
                </c:pt>
                <c:pt idx="435">
                  <c:v>68.58</c:v>
                </c:pt>
                <c:pt idx="436">
                  <c:v>68.27</c:v>
                </c:pt>
                <c:pt idx="437">
                  <c:v>68</c:v>
                </c:pt>
                <c:pt idx="438">
                  <c:v>67.73</c:v>
                </c:pt>
                <c:pt idx="439">
                  <c:v>67.39</c:v>
                </c:pt>
                <c:pt idx="440">
                  <c:v>67</c:v>
                </c:pt>
                <c:pt idx="441">
                  <c:v>66.650000000000006</c:v>
                </c:pt>
                <c:pt idx="442">
                  <c:v>66.31</c:v>
                </c:pt>
                <c:pt idx="443">
                  <c:v>66</c:v>
                </c:pt>
                <c:pt idx="444">
                  <c:v>65.69</c:v>
                </c:pt>
                <c:pt idx="445">
                  <c:v>65.34</c:v>
                </c:pt>
                <c:pt idx="446">
                  <c:v>64.989999999999995</c:v>
                </c:pt>
                <c:pt idx="447">
                  <c:v>64.64</c:v>
                </c:pt>
                <c:pt idx="448">
                  <c:v>64.3</c:v>
                </c:pt>
                <c:pt idx="449">
                  <c:v>63.91</c:v>
                </c:pt>
                <c:pt idx="450">
                  <c:v>64.45</c:v>
                </c:pt>
                <c:pt idx="451">
                  <c:v>65.34</c:v>
                </c:pt>
                <c:pt idx="452">
                  <c:v>65.38</c:v>
                </c:pt>
                <c:pt idx="453">
                  <c:v>65.19</c:v>
                </c:pt>
                <c:pt idx="454">
                  <c:v>64.92</c:v>
                </c:pt>
                <c:pt idx="455">
                  <c:v>64.45</c:v>
                </c:pt>
                <c:pt idx="456">
                  <c:v>64.14</c:v>
                </c:pt>
                <c:pt idx="457">
                  <c:v>64.03</c:v>
                </c:pt>
                <c:pt idx="458">
                  <c:v>63.6</c:v>
                </c:pt>
                <c:pt idx="459">
                  <c:v>63.37</c:v>
                </c:pt>
                <c:pt idx="460">
                  <c:v>63.06</c:v>
                </c:pt>
                <c:pt idx="461">
                  <c:v>62.79</c:v>
                </c:pt>
                <c:pt idx="462">
                  <c:v>62.52</c:v>
                </c:pt>
                <c:pt idx="463">
                  <c:v>62.21</c:v>
                </c:pt>
                <c:pt idx="464">
                  <c:v>61.86</c:v>
                </c:pt>
                <c:pt idx="465">
                  <c:v>61.67</c:v>
                </c:pt>
                <c:pt idx="466">
                  <c:v>61.44</c:v>
                </c:pt>
                <c:pt idx="467">
                  <c:v>60.98</c:v>
                </c:pt>
                <c:pt idx="468">
                  <c:v>60.9</c:v>
                </c:pt>
                <c:pt idx="469">
                  <c:v>61.63</c:v>
                </c:pt>
                <c:pt idx="470">
                  <c:v>61.79</c:v>
                </c:pt>
                <c:pt idx="471">
                  <c:v>61.63</c:v>
                </c:pt>
                <c:pt idx="472">
                  <c:v>61.48</c:v>
                </c:pt>
                <c:pt idx="473">
                  <c:v>61.01</c:v>
                </c:pt>
                <c:pt idx="474">
                  <c:v>60.82</c:v>
                </c:pt>
                <c:pt idx="475">
                  <c:v>60.59</c:v>
                </c:pt>
                <c:pt idx="476">
                  <c:v>60.36</c:v>
                </c:pt>
                <c:pt idx="477">
                  <c:v>60.17</c:v>
                </c:pt>
                <c:pt idx="478">
                  <c:v>59.82</c:v>
                </c:pt>
                <c:pt idx="479">
                  <c:v>59.51</c:v>
                </c:pt>
                <c:pt idx="480">
                  <c:v>59.28</c:v>
                </c:pt>
                <c:pt idx="481">
                  <c:v>59.05</c:v>
                </c:pt>
                <c:pt idx="482">
                  <c:v>58.81</c:v>
                </c:pt>
                <c:pt idx="483">
                  <c:v>58.54</c:v>
                </c:pt>
                <c:pt idx="484">
                  <c:v>58.27</c:v>
                </c:pt>
                <c:pt idx="485">
                  <c:v>58.08</c:v>
                </c:pt>
                <c:pt idx="486">
                  <c:v>57.77</c:v>
                </c:pt>
                <c:pt idx="487">
                  <c:v>57.66</c:v>
                </c:pt>
                <c:pt idx="488">
                  <c:v>58.23</c:v>
                </c:pt>
                <c:pt idx="489">
                  <c:v>58.39</c:v>
                </c:pt>
                <c:pt idx="490">
                  <c:v>58.31</c:v>
                </c:pt>
                <c:pt idx="491">
                  <c:v>58.16</c:v>
                </c:pt>
                <c:pt idx="492">
                  <c:v>57.89</c:v>
                </c:pt>
                <c:pt idx="493">
                  <c:v>57.62</c:v>
                </c:pt>
                <c:pt idx="494">
                  <c:v>57.42</c:v>
                </c:pt>
                <c:pt idx="495">
                  <c:v>57.15</c:v>
                </c:pt>
                <c:pt idx="496">
                  <c:v>56.92</c:v>
                </c:pt>
                <c:pt idx="497">
                  <c:v>56.73</c:v>
                </c:pt>
                <c:pt idx="498">
                  <c:v>56.5</c:v>
                </c:pt>
                <c:pt idx="499">
                  <c:v>56.26</c:v>
                </c:pt>
                <c:pt idx="500">
                  <c:v>56.03</c:v>
                </c:pt>
                <c:pt idx="501">
                  <c:v>55.8</c:v>
                </c:pt>
                <c:pt idx="502">
                  <c:v>55.57</c:v>
                </c:pt>
                <c:pt idx="503">
                  <c:v>55.34</c:v>
                </c:pt>
                <c:pt idx="504">
                  <c:v>55.11</c:v>
                </c:pt>
                <c:pt idx="505">
                  <c:v>54.84</c:v>
                </c:pt>
                <c:pt idx="506">
                  <c:v>54.68</c:v>
                </c:pt>
                <c:pt idx="507">
                  <c:v>54.41</c:v>
                </c:pt>
                <c:pt idx="508">
                  <c:v>54.14</c:v>
                </c:pt>
                <c:pt idx="509">
                  <c:v>54.53</c:v>
                </c:pt>
                <c:pt idx="510">
                  <c:v>54.95</c:v>
                </c:pt>
                <c:pt idx="511">
                  <c:v>54.95</c:v>
                </c:pt>
                <c:pt idx="512">
                  <c:v>54.72</c:v>
                </c:pt>
                <c:pt idx="513">
                  <c:v>54.64</c:v>
                </c:pt>
                <c:pt idx="514">
                  <c:v>54.37</c:v>
                </c:pt>
                <c:pt idx="515">
                  <c:v>54.14</c:v>
                </c:pt>
                <c:pt idx="516">
                  <c:v>53.99</c:v>
                </c:pt>
                <c:pt idx="517">
                  <c:v>53.83</c:v>
                </c:pt>
                <c:pt idx="518">
                  <c:v>53.52</c:v>
                </c:pt>
                <c:pt idx="519">
                  <c:v>53.37</c:v>
                </c:pt>
                <c:pt idx="520">
                  <c:v>53.14</c:v>
                </c:pt>
                <c:pt idx="521">
                  <c:v>52.91</c:v>
                </c:pt>
                <c:pt idx="522">
                  <c:v>52.75</c:v>
                </c:pt>
                <c:pt idx="523">
                  <c:v>52.56</c:v>
                </c:pt>
                <c:pt idx="524">
                  <c:v>52.25</c:v>
                </c:pt>
                <c:pt idx="525">
                  <c:v>48.7</c:v>
                </c:pt>
                <c:pt idx="526">
                  <c:v>41.78</c:v>
                </c:pt>
                <c:pt idx="527">
                  <c:v>37.11</c:v>
                </c:pt>
                <c:pt idx="528">
                  <c:v>33.25</c:v>
                </c:pt>
                <c:pt idx="529">
                  <c:v>29.93</c:v>
                </c:pt>
                <c:pt idx="530">
                  <c:v>27.15</c:v>
                </c:pt>
                <c:pt idx="531">
                  <c:v>24.91</c:v>
                </c:pt>
                <c:pt idx="532">
                  <c:v>22.94</c:v>
                </c:pt>
                <c:pt idx="533">
                  <c:v>21.05</c:v>
                </c:pt>
                <c:pt idx="534">
                  <c:v>19.420000000000002</c:v>
                </c:pt>
                <c:pt idx="535">
                  <c:v>17.760000000000002</c:v>
                </c:pt>
                <c:pt idx="536">
                  <c:v>16.329999999999998</c:v>
                </c:pt>
                <c:pt idx="537">
                  <c:v>15.06</c:v>
                </c:pt>
                <c:pt idx="538">
                  <c:v>13.9</c:v>
                </c:pt>
                <c:pt idx="539">
                  <c:v>12.94</c:v>
                </c:pt>
                <c:pt idx="540">
                  <c:v>11.97</c:v>
                </c:pt>
                <c:pt idx="541">
                  <c:v>11.12</c:v>
                </c:pt>
                <c:pt idx="542">
                  <c:v>10.35</c:v>
                </c:pt>
                <c:pt idx="543">
                  <c:v>9.6199999999999992</c:v>
                </c:pt>
                <c:pt idx="544">
                  <c:v>9</c:v>
                </c:pt>
                <c:pt idx="545">
                  <c:v>8.3800000000000008</c:v>
                </c:pt>
                <c:pt idx="546">
                  <c:v>7.96</c:v>
                </c:pt>
                <c:pt idx="547">
                  <c:v>7.41</c:v>
                </c:pt>
                <c:pt idx="548">
                  <c:v>7.03</c:v>
                </c:pt>
                <c:pt idx="549">
                  <c:v>6.64</c:v>
                </c:pt>
                <c:pt idx="550">
                  <c:v>6.26</c:v>
                </c:pt>
                <c:pt idx="551">
                  <c:v>6.02</c:v>
                </c:pt>
                <c:pt idx="552">
                  <c:v>5.72</c:v>
                </c:pt>
                <c:pt idx="553">
                  <c:v>5.48</c:v>
                </c:pt>
                <c:pt idx="554">
                  <c:v>5.29</c:v>
                </c:pt>
                <c:pt idx="555">
                  <c:v>4.9000000000000004</c:v>
                </c:pt>
                <c:pt idx="556">
                  <c:v>4.79</c:v>
                </c:pt>
                <c:pt idx="557">
                  <c:v>4.5599999999999996</c:v>
                </c:pt>
                <c:pt idx="558">
                  <c:v>4.3600000000000003</c:v>
                </c:pt>
                <c:pt idx="559">
                  <c:v>4.13</c:v>
                </c:pt>
                <c:pt idx="560">
                  <c:v>3.98</c:v>
                </c:pt>
                <c:pt idx="561">
                  <c:v>3.75</c:v>
                </c:pt>
                <c:pt idx="562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95-4300-9144-E0EB9E5FA2D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Hoja1!$AT$2:$AT$564</c:f>
              <c:numCache>
                <c:formatCode>General</c:formatCode>
                <c:ptCount val="5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</c:numCache>
            </c:numRef>
          </c:xVal>
          <c:yVal>
            <c:numRef>
              <c:f>Hoja1!$AV$2:$AV$564</c:f>
              <c:numCache>
                <c:formatCode>General</c:formatCode>
                <c:ptCount val="563"/>
                <c:pt idx="0">
                  <c:v>107.81</c:v>
                </c:pt>
                <c:pt idx="1">
                  <c:v>108.59</c:v>
                </c:pt>
                <c:pt idx="2">
                  <c:v>103.18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103.95</c:v>
                </c:pt>
                <c:pt idx="7">
                  <c:v>98.54</c:v>
                </c:pt>
                <c:pt idx="8">
                  <c:v>103.95</c:v>
                </c:pt>
                <c:pt idx="9">
                  <c:v>100.86</c:v>
                </c:pt>
                <c:pt idx="10">
                  <c:v>102.41</c:v>
                </c:pt>
                <c:pt idx="11">
                  <c:v>100.86</c:v>
                </c:pt>
                <c:pt idx="12">
                  <c:v>103.95</c:v>
                </c:pt>
                <c:pt idx="13">
                  <c:v>105.5</c:v>
                </c:pt>
                <c:pt idx="14">
                  <c:v>102.41</c:v>
                </c:pt>
                <c:pt idx="15">
                  <c:v>107.03999999999999</c:v>
                </c:pt>
                <c:pt idx="16">
                  <c:v>103.18</c:v>
                </c:pt>
                <c:pt idx="17">
                  <c:v>106.27</c:v>
                </c:pt>
                <c:pt idx="18">
                  <c:v>103.95</c:v>
                </c:pt>
                <c:pt idx="19">
                  <c:v>104.72</c:v>
                </c:pt>
                <c:pt idx="20">
                  <c:v>107.03999999999999</c:v>
                </c:pt>
                <c:pt idx="21">
                  <c:v>103.18</c:v>
                </c:pt>
                <c:pt idx="22">
                  <c:v>110.13</c:v>
                </c:pt>
                <c:pt idx="23">
                  <c:v>103.95</c:v>
                </c:pt>
                <c:pt idx="24">
                  <c:v>107.03999999999999</c:v>
                </c:pt>
                <c:pt idx="25">
                  <c:v>107.81</c:v>
                </c:pt>
                <c:pt idx="26">
                  <c:v>103.95</c:v>
                </c:pt>
                <c:pt idx="27">
                  <c:v>110.9</c:v>
                </c:pt>
                <c:pt idx="28">
                  <c:v>107.03999999999999</c:v>
                </c:pt>
                <c:pt idx="29">
                  <c:v>109.36</c:v>
                </c:pt>
                <c:pt idx="30">
                  <c:v>107.81</c:v>
                </c:pt>
                <c:pt idx="31">
                  <c:v>104.72</c:v>
                </c:pt>
                <c:pt idx="32">
                  <c:v>111.67</c:v>
                </c:pt>
                <c:pt idx="33">
                  <c:v>107.03999999999999</c:v>
                </c:pt>
                <c:pt idx="34">
                  <c:v>110.9</c:v>
                </c:pt>
                <c:pt idx="35">
                  <c:v>109.36</c:v>
                </c:pt>
                <c:pt idx="36">
                  <c:v>106.27</c:v>
                </c:pt>
                <c:pt idx="37">
                  <c:v>112.45</c:v>
                </c:pt>
                <c:pt idx="38">
                  <c:v>107.81</c:v>
                </c:pt>
                <c:pt idx="39">
                  <c:v>112.45</c:v>
                </c:pt>
                <c:pt idx="40">
                  <c:v>110.9</c:v>
                </c:pt>
                <c:pt idx="41">
                  <c:v>107.81</c:v>
                </c:pt>
                <c:pt idx="42">
                  <c:v>117.08</c:v>
                </c:pt>
                <c:pt idx="43">
                  <c:v>107.03999999999999</c:v>
                </c:pt>
                <c:pt idx="44">
                  <c:v>117.08</c:v>
                </c:pt>
                <c:pt idx="45">
                  <c:v>110.13</c:v>
                </c:pt>
                <c:pt idx="46">
                  <c:v>110.9</c:v>
                </c:pt>
                <c:pt idx="47">
                  <c:v>112.45</c:v>
                </c:pt>
                <c:pt idx="48">
                  <c:v>111.67</c:v>
                </c:pt>
                <c:pt idx="49">
                  <c:v>119.4</c:v>
                </c:pt>
                <c:pt idx="50">
                  <c:v>109.36</c:v>
                </c:pt>
                <c:pt idx="51">
                  <c:v>117.08</c:v>
                </c:pt>
                <c:pt idx="52">
                  <c:v>107.81</c:v>
                </c:pt>
                <c:pt idx="53">
                  <c:v>117.85</c:v>
                </c:pt>
                <c:pt idx="54">
                  <c:v>114.76</c:v>
                </c:pt>
                <c:pt idx="55">
                  <c:v>110.9</c:v>
                </c:pt>
                <c:pt idx="56">
                  <c:v>117.85</c:v>
                </c:pt>
                <c:pt idx="57">
                  <c:v>113.22</c:v>
                </c:pt>
                <c:pt idx="58">
                  <c:v>113.99</c:v>
                </c:pt>
                <c:pt idx="59">
                  <c:v>115.53999999999999</c:v>
                </c:pt>
                <c:pt idx="60">
                  <c:v>110.13</c:v>
                </c:pt>
                <c:pt idx="61">
                  <c:v>117.85</c:v>
                </c:pt>
                <c:pt idx="62">
                  <c:v>117.08</c:v>
                </c:pt>
                <c:pt idx="63">
                  <c:v>116.31</c:v>
                </c:pt>
                <c:pt idx="64">
                  <c:v>117.08</c:v>
                </c:pt>
                <c:pt idx="65">
                  <c:v>116.31</c:v>
                </c:pt>
                <c:pt idx="66">
                  <c:v>117.08</c:v>
                </c:pt>
                <c:pt idx="67">
                  <c:v>117.08</c:v>
                </c:pt>
                <c:pt idx="68">
                  <c:v>117.08</c:v>
                </c:pt>
                <c:pt idx="69">
                  <c:v>115.53999999999999</c:v>
                </c:pt>
                <c:pt idx="70">
                  <c:v>118.63</c:v>
                </c:pt>
                <c:pt idx="71">
                  <c:v>122.49</c:v>
                </c:pt>
                <c:pt idx="72">
                  <c:v>124.8</c:v>
                </c:pt>
                <c:pt idx="73">
                  <c:v>121.71000000000001</c:v>
                </c:pt>
                <c:pt idx="74">
                  <c:v>119.4</c:v>
                </c:pt>
                <c:pt idx="75">
                  <c:v>116.31</c:v>
                </c:pt>
                <c:pt idx="76">
                  <c:v>116.31</c:v>
                </c:pt>
                <c:pt idx="77">
                  <c:v>122.49</c:v>
                </c:pt>
                <c:pt idx="78">
                  <c:v>121.71000000000001</c:v>
                </c:pt>
                <c:pt idx="79">
                  <c:v>118.63</c:v>
                </c:pt>
                <c:pt idx="80">
                  <c:v>117.08</c:v>
                </c:pt>
                <c:pt idx="81">
                  <c:v>122.49</c:v>
                </c:pt>
                <c:pt idx="82">
                  <c:v>120.17</c:v>
                </c:pt>
                <c:pt idx="83">
                  <c:v>117.08</c:v>
                </c:pt>
                <c:pt idx="84">
                  <c:v>124.8</c:v>
                </c:pt>
                <c:pt idx="85">
                  <c:v>117.85</c:v>
                </c:pt>
                <c:pt idx="86">
                  <c:v>117.08</c:v>
                </c:pt>
                <c:pt idx="87">
                  <c:v>123.26</c:v>
                </c:pt>
                <c:pt idx="88">
                  <c:v>110.9</c:v>
                </c:pt>
                <c:pt idx="89">
                  <c:v>119.4</c:v>
                </c:pt>
                <c:pt idx="90">
                  <c:v>115.53999999999999</c:v>
                </c:pt>
                <c:pt idx="91">
                  <c:v>122.49</c:v>
                </c:pt>
                <c:pt idx="92">
                  <c:v>113.22</c:v>
                </c:pt>
                <c:pt idx="93">
                  <c:v>120.17</c:v>
                </c:pt>
                <c:pt idx="94">
                  <c:v>124.03</c:v>
                </c:pt>
                <c:pt idx="95">
                  <c:v>139.47999999999999</c:v>
                </c:pt>
                <c:pt idx="96">
                  <c:v>149.52000000000001</c:v>
                </c:pt>
                <c:pt idx="97">
                  <c:v>121.71000000000001</c:v>
                </c:pt>
                <c:pt idx="98">
                  <c:v>120.94</c:v>
                </c:pt>
                <c:pt idx="99">
                  <c:v>119.4</c:v>
                </c:pt>
                <c:pt idx="100">
                  <c:v>116.31</c:v>
                </c:pt>
                <c:pt idx="101">
                  <c:v>120.17</c:v>
                </c:pt>
                <c:pt idx="102">
                  <c:v>117.08</c:v>
                </c:pt>
                <c:pt idx="103">
                  <c:v>117.85</c:v>
                </c:pt>
                <c:pt idx="104">
                  <c:v>114.76</c:v>
                </c:pt>
                <c:pt idx="105">
                  <c:v>114.76</c:v>
                </c:pt>
                <c:pt idx="106">
                  <c:v>116.31</c:v>
                </c:pt>
                <c:pt idx="107">
                  <c:v>120.94</c:v>
                </c:pt>
                <c:pt idx="108">
                  <c:v>121.71000000000001</c:v>
                </c:pt>
                <c:pt idx="109">
                  <c:v>119.4</c:v>
                </c:pt>
                <c:pt idx="110">
                  <c:v>120.17</c:v>
                </c:pt>
                <c:pt idx="111">
                  <c:v>120.17</c:v>
                </c:pt>
                <c:pt idx="112">
                  <c:v>117.08</c:v>
                </c:pt>
                <c:pt idx="113">
                  <c:v>124.8</c:v>
                </c:pt>
                <c:pt idx="114">
                  <c:v>117.85</c:v>
                </c:pt>
                <c:pt idx="115">
                  <c:v>119.4</c:v>
                </c:pt>
                <c:pt idx="116">
                  <c:v>120.94</c:v>
                </c:pt>
                <c:pt idx="117">
                  <c:v>121.71000000000001</c:v>
                </c:pt>
                <c:pt idx="118">
                  <c:v>135.62</c:v>
                </c:pt>
                <c:pt idx="119">
                  <c:v>133.30000000000001</c:v>
                </c:pt>
                <c:pt idx="120">
                  <c:v>117.85</c:v>
                </c:pt>
                <c:pt idx="121">
                  <c:v>113.99</c:v>
                </c:pt>
                <c:pt idx="122">
                  <c:v>117.08</c:v>
                </c:pt>
                <c:pt idx="123">
                  <c:v>116.31</c:v>
                </c:pt>
                <c:pt idx="124">
                  <c:v>120.94</c:v>
                </c:pt>
                <c:pt idx="125">
                  <c:v>121.71000000000001</c:v>
                </c:pt>
                <c:pt idx="126">
                  <c:v>121.71000000000001</c:v>
                </c:pt>
                <c:pt idx="127">
                  <c:v>114.76</c:v>
                </c:pt>
                <c:pt idx="128">
                  <c:v>124.8</c:v>
                </c:pt>
                <c:pt idx="129">
                  <c:v>120.17</c:v>
                </c:pt>
                <c:pt idx="130">
                  <c:v>122.49</c:v>
                </c:pt>
                <c:pt idx="131">
                  <c:v>120.94</c:v>
                </c:pt>
                <c:pt idx="132">
                  <c:v>118.63</c:v>
                </c:pt>
                <c:pt idx="133">
                  <c:v>120.94</c:v>
                </c:pt>
                <c:pt idx="134">
                  <c:v>121.71000000000001</c:v>
                </c:pt>
                <c:pt idx="135">
                  <c:v>117.85</c:v>
                </c:pt>
                <c:pt idx="136">
                  <c:v>124.8</c:v>
                </c:pt>
                <c:pt idx="137">
                  <c:v>117.08</c:v>
                </c:pt>
                <c:pt idx="138">
                  <c:v>122.49</c:v>
                </c:pt>
                <c:pt idx="139">
                  <c:v>120.17</c:v>
                </c:pt>
                <c:pt idx="140">
                  <c:v>117.08</c:v>
                </c:pt>
                <c:pt idx="141">
                  <c:v>124.03</c:v>
                </c:pt>
                <c:pt idx="142">
                  <c:v>127.12</c:v>
                </c:pt>
                <c:pt idx="143">
                  <c:v>116.31</c:v>
                </c:pt>
                <c:pt idx="144">
                  <c:v>113.99</c:v>
                </c:pt>
                <c:pt idx="145">
                  <c:v>123.26</c:v>
                </c:pt>
                <c:pt idx="146">
                  <c:v>119.4</c:v>
                </c:pt>
                <c:pt idx="147">
                  <c:v>117.08</c:v>
                </c:pt>
                <c:pt idx="148">
                  <c:v>117.08</c:v>
                </c:pt>
                <c:pt idx="149">
                  <c:v>117.85</c:v>
                </c:pt>
                <c:pt idx="150">
                  <c:v>119.4</c:v>
                </c:pt>
                <c:pt idx="151">
                  <c:v>120.17</c:v>
                </c:pt>
                <c:pt idx="152">
                  <c:v>115.53999999999999</c:v>
                </c:pt>
                <c:pt idx="153">
                  <c:v>118.63</c:v>
                </c:pt>
                <c:pt idx="154">
                  <c:v>117.85</c:v>
                </c:pt>
                <c:pt idx="155">
                  <c:v>116.31</c:v>
                </c:pt>
                <c:pt idx="156">
                  <c:v>120.94</c:v>
                </c:pt>
                <c:pt idx="157">
                  <c:v>117.08</c:v>
                </c:pt>
                <c:pt idx="158">
                  <c:v>118.63</c:v>
                </c:pt>
                <c:pt idx="159">
                  <c:v>117.08</c:v>
                </c:pt>
                <c:pt idx="160">
                  <c:v>114.76</c:v>
                </c:pt>
                <c:pt idx="161">
                  <c:v>116.31</c:v>
                </c:pt>
                <c:pt idx="162">
                  <c:v>119.4</c:v>
                </c:pt>
                <c:pt idx="163">
                  <c:v>113.99</c:v>
                </c:pt>
                <c:pt idx="164">
                  <c:v>115.53999999999999</c:v>
                </c:pt>
                <c:pt idx="165">
                  <c:v>118.63</c:v>
                </c:pt>
                <c:pt idx="166">
                  <c:v>121.71000000000001</c:v>
                </c:pt>
                <c:pt idx="167">
                  <c:v>117.85</c:v>
                </c:pt>
                <c:pt idx="168">
                  <c:v>116.31</c:v>
                </c:pt>
                <c:pt idx="169">
                  <c:v>117.85</c:v>
                </c:pt>
                <c:pt idx="170">
                  <c:v>117.85</c:v>
                </c:pt>
                <c:pt idx="171">
                  <c:v>111.67</c:v>
                </c:pt>
                <c:pt idx="172">
                  <c:v>115.53999999999999</c:v>
                </c:pt>
                <c:pt idx="173">
                  <c:v>117.08</c:v>
                </c:pt>
                <c:pt idx="174">
                  <c:v>116.31</c:v>
                </c:pt>
                <c:pt idx="175">
                  <c:v>98.54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97.77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100.09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101.63</c:v>
                </c:pt>
                <c:pt idx="305">
                  <c:v>102.41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108.59</c:v>
                </c:pt>
                <c:pt idx="326">
                  <c:v>110.9</c:v>
                </c:pt>
                <c:pt idx="327">
                  <c:v>102.41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99.32</c:v>
                </c:pt>
                <c:pt idx="348">
                  <c:v>118.63</c:v>
                </c:pt>
                <c:pt idx="349">
                  <c:v>112.45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99.32</c:v>
                </c:pt>
                <c:pt idx="370">
                  <c:v>121.71000000000001</c:v>
                </c:pt>
                <c:pt idx="371">
                  <c:v>113.99</c:v>
                </c:pt>
                <c:pt idx="372">
                  <c:v>0</c:v>
                </c:pt>
                <c:pt idx="373">
                  <c:v>98.54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106.27</c:v>
                </c:pt>
                <c:pt idx="390">
                  <c:v>124.03</c:v>
                </c:pt>
                <c:pt idx="391">
                  <c:v>108.59</c:v>
                </c:pt>
                <c:pt idx="392">
                  <c:v>102.41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109.36</c:v>
                </c:pt>
                <c:pt idx="410">
                  <c:v>127.12</c:v>
                </c:pt>
                <c:pt idx="411">
                  <c:v>109.36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110.9</c:v>
                </c:pt>
                <c:pt idx="431">
                  <c:v>122.49</c:v>
                </c:pt>
                <c:pt idx="432">
                  <c:v>100.09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107.81</c:v>
                </c:pt>
                <c:pt idx="451">
                  <c:v>114.76</c:v>
                </c:pt>
                <c:pt idx="452">
                  <c:v>97.77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111.67</c:v>
                </c:pt>
                <c:pt idx="470">
                  <c:v>100.09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108.59</c:v>
                </c:pt>
                <c:pt idx="489">
                  <c:v>100.09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104.72</c:v>
                </c:pt>
                <c:pt idx="510">
                  <c:v>105.5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95-4300-9144-E0EB9E5FA2D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Hoja1!$AT$2:$AT$564</c:f>
              <c:numCache>
                <c:formatCode>General</c:formatCode>
                <c:ptCount val="5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</c:numCache>
            </c:numRef>
          </c:xVal>
          <c:yVal>
            <c:numRef>
              <c:f>Hoja1!$AW$2:$AW$564</c:f>
              <c:numCache>
                <c:formatCode>General</c:formatCode>
                <c:ptCount val="563"/>
                <c:pt idx="0">
                  <c:v>10.81</c:v>
                </c:pt>
                <c:pt idx="1">
                  <c:v>11.59</c:v>
                </c:pt>
                <c:pt idx="2">
                  <c:v>6.18</c:v>
                </c:pt>
                <c:pt idx="3">
                  <c:v>0</c:v>
                </c:pt>
                <c:pt idx="4">
                  <c:v>-0.77</c:v>
                </c:pt>
                <c:pt idx="5">
                  <c:v>-0.77</c:v>
                </c:pt>
                <c:pt idx="6">
                  <c:v>6.95</c:v>
                </c:pt>
                <c:pt idx="7">
                  <c:v>1.54</c:v>
                </c:pt>
                <c:pt idx="8">
                  <c:v>6.95</c:v>
                </c:pt>
                <c:pt idx="9">
                  <c:v>3.86</c:v>
                </c:pt>
                <c:pt idx="10">
                  <c:v>5.41</c:v>
                </c:pt>
                <c:pt idx="11">
                  <c:v>3.86</c:v>
                </c:pt>
                <c:pt idx="12">
                  <c:v>6.95</c:v>
                </c:pt>
                <c:pt idx="13">
                  <c:v>8.5</c:v>
                </c:pt>
                <c:pt idx="14">
                  <c:v>5.41</c:v>
                </c:pt>
                <c:pt idx="15">
                  <c:v>10.039999999999999</c:v>
                </c:pt>
                <c:pt idx="16">
                  <c:v>6.18</c:v>
                </c:pt>
                <c:pt idx="17">
                  <c:v>9.27</c:v>
                </c:pt>
                <c:pt idx="18">
                  <c:v>6.95</c:v>
                </c:pt>
                <c:pt idx="19">
                  <c:v>7.72</c:v>
                </c:pt>
                <c:pt idx="20">
                  <c:v>10.039999999999999</c:v>
                </c:pt>
                <c:pt idx="21">
                  <c:v>6.18</c:v>
                </c:pt>
                <c:pt idx="22">
                  <c:v>13.13</c:v>
                </c:pt>
                <c:pt idx="23">
                  <c:v>6.95</c:v>
                </c:pt>
                <c:pt idx="24">
                  <c:v>10.039999999999999</c:v>
                </c:pt>
                <c:pt idx="25">
                  <c:v>10.81</c:v>
                </c:pt>
                <c:pt idx="26">
                  <c:v>6.95</c:v>
                </c:pt>
                <c:pt idx="27">
                  <c:v>13.9</c:v>
                </c:pt>
                <c:pt idx="28">
                  <c:v>10.039999999999999</c:v>
                </c:pt>
                <c:pt idx="29">
                  <c:v>12.36</c:v>
                </c:pt>
                <c:pt idx="30">
                  <c:v>10.81</c:v>
                </c:pt>
                <c:pt idx="31">
                  <c:v>7.72</c:v>
                </c:pt>
                <c:pt idx="32">
                  <c:v>14.67</c:v>
                </c:pt>
                <c:pt idx="33">
                  <c:v>10.039999999999999</c:v>
                </c:pt>
                <c:pt idx="34">
                  <c:v>13.9</c:v>
                </c:pt>
                <c:pt idx="35">
                  <c:v>12.36</c:v>
                </c:pt>
                <c:pt idx="36">
                  <c:v>9.27</c:v>
                </c:pt>
                <c:pt idx="37">
                  <c:v>15.45</c:v>
                </c:pt>
                <c:pt idx="38">
                  <c:v>10.81</c:v>
                </c:pt>
                <c:pt idx="39">
                  <c:v>15.45</c:v>
                </c:pt>
                <c:pt idx="40">
                  <c:v>13.9</c:v>
                </c:pt>
                <c:pt idx="41">
                  <c:v>10.81</c:v>
                </c:pt>
                <c:pt idx="42">
                  <c:v>20.079999999999998</c:v>
                </c:pt>
                <c:pt idx="43">
                  <c:v>10.039999999999999</c:v>
                </c:pt>
                <c:pt idx="44">
                  <c:v>20.079999999999998</c:v>
                </c:pt>
                <c:pt idx="45">
                  <c:v>13.13</c:v>
                </c:pt>
                <c:pt idx="46">
                  <c:v>13.9</c:v>
                </c:pt>
                <c:pt idx="47">
                  <c:v>15.45</c:v>
                </c:pt>
                <c:pt idx="48">
                  <c:v>14.67</c:v>
                </c:pt>
                <c:pt idx="49">
                  <c:v>22.4</c:v>
                </c:pt>
                <c:pt idx="50">
                  <c:v>12.36</c:v>
                </c:pt>
                <c:pt idx="51">
                  <c:v>20.079999999999998</c:v>
                </c:pt>
                <c:pt idx="52">
                  <c:v>10.81</c:v>
                </c:pt>
                <c:pt idx="53">
                  <c:v>20.85</c:v>
                </c:pt>
                <c:pt idx="54">
                  <c:v>17.760000000000002</c:v>
                </c:pt>
                <c:pt idx="55">
                  <c:v>13.9</c:v>
                </c:pt>
                <c:pt idx="56">
                  <c:v>20.85</c:v>
                </c:pt>
                <c:pt idx="57">
                  <c:v>16.22</c:v>
                </c:pt>
                <c:pt idx="58">
                  <c:v>16.989999999999998</c:v>
                </c:pt>
                <c:pt idx="59">
                  <c:v>18.54</c:v>
                </c:pt>
                <c:pt idx="60">
                  <c:v>13.13</c:v>
                </c:pt>
                <c:pt idx="61">
                  <c:v>20.85</c:v>
                </c:pt>
                <c:pt idx="62">
                  <c:v>20.079999999999998</c:v>
                </c:pt>
                <c:pt idx="63">
                  <c:v>19.309999999999999</c:v>
                </c:pt>
                <c:pt idx="64">
                  <c:v>20.079999999999998</c:v>
                </c:pt>
                <c:pt idx="65">
                  <c:v>19.309999999999999</c:v>
                </c:pt>
                <c:pt idx="66">
                  <c:v>20.079999999999998</c:v>
                </c:pt>
                <c:pt idx="67">
                  <c:v>20.079999999999998</c:v>
                </c:pt>
                <c:pt idx="68">
                  <c:v>20.079999999999998</c:v>
                </c:pt>
                <c:pt idx="69">
                  <c:v>18.54</c:v>
                </c:pt>
                <c:pt idx="70">
                  <c:v>21.63</c:v>
                </c:pt>
                <c:pt idx="71">
                  <c:v>25.49</c:v>
                </c:pt>
                <c:pt idx="72">
                  <c:v>27.8</c:v>
                </c:pt>
                <c:pt idx="73">
                  <c:v>24.71</c:v>
                </c:pt>
                <c:pt idx="74">
                  <c:v>22.4</c:v>
                </c:pt>
                <c:pt idx="75">
                  <c:v>19.309999999999999</c:v>
                </c:pt>
                <c:pt idx="76">
                  <c:v>19.309999999999999</c:v>
                </c:pt>
                <c:pt idx="77">
                  <c:v>25.49</c:v>
                </c:pt>
                <c:pt idx="78">
                  <c:v>24.71</c:v>
                </c:pt>
                <c:pt idx="79">
                  <c:v>21.63</c:v>
                </c:pt>
                <c:pt idx="80">
                  <c:v>20.079999999999998</c:v>
                </c:pt>
                <c:pt idx="81">
                  <c:v>25.49</c:v>
                </c:pt>
                <c:pt idx="82">
                  <c:v>23.17</c:v>
                </c:pt>
                <c:pt idx="83">
                  <c:v>20.079999999999998</c:v>
                </c:pt>
                <c:pt idx="84">
                  <c:v>27.8</c:v>
                </c:pt>
                <c:pt idx="85">
                  <c:v>20.85</c:v>
                </c:pt>
                <c:pt idx="86">
                  <c:v>20.079999999999998</c:v>
                </c:pt>
                <c:pt idx="87">
                  <c:v>26.26</c:v>
                </c:pt>
                <c:pt idx="88">
                  <c:v>13.9</c:v>
                </c:pt>
                <c:pt idx="89">
                  <c:v>22.4</c:v>
                </c:pt>
                <c:pt idx="90">
                  <c:v>18.54</c:v>
                </c:pt>
                <c:pt idx="91">
                  <c:v>25.49</c:v>
                </c:pt>
                <c:pt idx="92">
                  <c:v>16.22</c:v>
                </c:pt>
                <c:pt idx="93">
                  <c:v>23.17</c:v>
                </c:pt>
                <c:pt idx="94">
                  <c:v>27.03</c:v>
                </c:pt>
                <c:pt idx="95">
                  <c:v>42.48</c:v>
                </c:pt>
                <c:pt idx="96">
                  <c:v>52.52</c:v>
                </c:pt>
                <c:pt idx="97">
                  <c:v>24.71</c:v>
                </c:pt>
                <c:pt idx="98">
                  <c:v>23.94</c:v>
                </c:pt>
                <c:pt idx="99">
                  <c:v>22.4</c:v>
                </c:pt>
                <c:pt idx="100">
                  <c:v>19.309999999999999</c:v>
                </c:pt>
                <c:pt idx="101">
                  <c:v>23.17</c:v>
                </c:pt>
                <c:pt idx="102">
                  <c:v>20.079999999999998</c:v>
                </c:pt>
                <c:pt idx="103">
                  <c:v>20.85</c:v>
                </c:pt>
                <c:pt idx="104">
                  <c:v>17.760000000000002</c:v>
                </c:pt>
                <c:pt idx="105">
                  <c:v>17.760000000000002</c:v>
                </c:pt>
                <c:pt idx="106">
                  <c:v>19.309999999999999</c:v>
                </c:pt>
                <c:pt idx="107">
                  <c:v>23.94</c:v>
                </c:pt>
                <c:pt idx="108">
                  <c:v>24.71</c:v>
                </c:pt>
                <c:pt idx="109">
                  <c:v>22.4</c:v>
                </c:pt>
                <c:pt idx="110">
                  <c:v>23.17</c:v>
                </c:pt>
                <c:pt idx="111">
                  <c:v>23.17</c:v>
                </c:pt>
                <c:pt idx="112">
                  <c:v>20.079999999999998</c:v>
                </c:pt>
                <c:pt idx="113">
                  <c:v>27.8</c:v>
                </c:pt>
                <c:pt idx="114">
                  <c:v>20.85</c:v>
                </c:pt>
                <c:pt idx="115">
                  <c:v>22.4</c:v>
                </c:pt>
                <c:pt idx="116">
                  <c:v>23.94</c:v>
                </c:pt>
                <c:pt idx="117">
                  <c:v>24.71</c:v>
                </c:pt>
                <c:pt idx="118">
                  <c:v>38.619999999999997</c:v>
                </c:pt>
                <c:pt idx="119">
                  <c:v>36.299999999999997</c:v>
                </c:pt>
                <c:pt idx="120">
                  <c:v>20.85</c:v>
                </c:pt>
                <c:pt idx="121">
                  <c:v>16.989999999999998</c:v>
                </c:pt>
                <c:pt idx="122">
                  <c:v>20.079999999999998</c:v>
                </c:pt>
                <c:pt idx="123">
                  <c:v>19.309999999999999</c:v>
                </c:pt>
                <c:pt idx="124">
                  <c:v>23.94</c:v>
                </c:pt>
                <c:pt idx="125">
                  <c:v>24.71</c:v>
                </c:pt>
                <c:pt idx="126">
                  <c:v>24.71</c:v>
                </c:pt>
                <c:pt idx="127">
                  <c:v>17.760000000000002</c:v>
                </c:pt>
                <c:pt idx="128">
                  <c:v>27.8</c:v>
                </c:pt>
                <c:pt idx="129">
                  <c:v>23.17</c:v>
                </c:pt>
                <c:pt idx="130">
                  <c:v>25.49</c:v>
                </c:pt>
                <c:pt idx="131">
                  <c:v>23.94</c:v>
                </c:pt>
                <c:pt idx="132">
                  <c:v>21.63</c:v>
                </c:pt>
                <c:pt idx="133">
                  <c:v>23.94</c:v>
                </c:pt>
                <c:pt idx="134">
                  <c:v>24.71</c:v>
                </c:pt>
                <c:pt idx="135">
                  <c:v>20.85</c:v>
                </c:pt>
                <c:pt idx="136">
                  <c:v>27.8</c:v>
                </c:pt>
                <c:pt idx="137">
                  <c:v>20.079999999999998</c:v>
                </c:pt>
                <c:pt idx="138">
                  <c:v>25.49</c:v>
                </c:pt>
                <c:pt idx="139">
                  <c:v>23.17</c:v>
                </c:pt>
                <c:pt idx="140">
                  <c:v>20.079999999999998</c:v>
                </c:pt>
                <c:pt idx="141">
                  <c:v>27.03</c:v>
                </c:pt>
                <c:pt idx="142">
                  <c:v>30.12</c:v>
                </c:pt>
                <c:pt idx="143">
                  <c:v>19.309999999999999</c:v>
                </c:pt>
                <c:pt idx="144">
                  <c:v>16.989999999999998</c:v>
                </c:pt>
                <c:pt idx="145">
                  <c:v>26.26</c:v>
                </c:pt>
                <c:pt idx="146">
                  <c:v>22.4</c:v>
                </c:pt>
                <c:pt idx="147">
                  <c:v>20.079999999999998</c:v>
                </c:pt>
                <c:pt idx="148">
                  <c:v>20.079999999999998</c:v>
                </c:pt>
                <c:pt idx="149">
                  <c:v>20.85</c:v>
                </c:pt>
                <c:pt idx="150">
                  <c:v>22.4</c:v>
                </c:pt>
                <c:pt idx="151">
                  <c:v>23.17</c:v>
                </c:pt>
                <c:pt idx="152">
                  <c:v>18.54</c:v>
                </c:pt>
                <c:pt idx="153">
                  <c:v>21.63</c:v>
                </c:pt>
                <c:pt idx="154">
                  <c:v>20.85</c:v>
                </c:pt>
                <c:pt idx="155">
                  <c:v>19.309999999999999</c:v>
                </c:pt>
                <c:pt idx="156">
                  <c:v>23.94</c:v>
                </c:pt>
                <c:pt idx="157">
                  <c:v>20.079999999999998</c:v>
                </c:pt>
                <c:pt idx="158">
                  <c:v>21.63</c:v>
                </c:pt>
                <c:pt idx="159">
                  <c:v>20.079999999999998</c:v>
                </c:pt>
                <c:pt idx="160">
                  <c:v>17.760000000000002</c:v>
                </c:pt>
                <c:pt idx="161">
                  <c:v>19.309999999999999</c:v>
                </c:pt>
                <c:pt idx="162">
                  <c:v>22.4</c:v>
                </c:pt>
                <c:pt idx="163">
                  <c:v>16.989999999999998</c:v>
                </c:pt>
                <c:pt idx="164">
                  <c:v>18.54</c:v>
                </c:pt>
                <c:pt idx="165">
                  <c:v>21.63</c:v>
                </c:pt>
                <c:pt idx="166">
                  <c:v>24.71</c:v>
                </c:pt>
                <c:pt idx="167">
                  <c:v>20.85</c:v>
                </c:pt>
                <c:pt idx="168">
                  <c:v>19.309999999999999</c:v>
                </c:pt>
                <c:pt idx="169">
                  <c:v>20.85</c:v>
                </c:pt>
                <c:pt idx="170">
                  <c:v>20.85</c:v>
                </c:pt>
                <c:pt idx="171">
                  <c:v>14.67</c:v>
                </c:pt>
                <c:pt idx="172">
                  <c:v>18.54</c:v>
                </c:pt>
                <c:pt idx="173">
                  <c:v>20.079999999999998</c:v>
                </c:pt>
                <c:pt idx="174">
                  <c:v>19.309999999999999</c:v>
                </c:pt>
                <c:pt idx="175">
                  <c:v>1.54</c:v>
                </c:pt>
                <c:pt idx="176">
                  <c:v>-14.67</c:v>
                </c:pt>
                <c:pt idx="177">
                  <c:v>-18.54</c:v>
                </c:pt>
                <c:pt idx="178">
                  <c:v>-16.989999999999998</c:v>
                </c:pt>
                <c:pt idx="179">
                  <c:v>-16.989999999999998</c:v>
                </c:pt>
                <c:pt idx="180">
                  <c:v>-16.22</c:v>
                </c:pt>
                <c:pt idx="181">
                  <c:v>-14.67</c:v>
                </c:pt>
                <c:pt idx="182">
                  <c:v>-15.45</c:v>
                </c:pt>
                <c:pt idx="183">
                  <c:v>-13.13</c:v>
                </c:pt>
                <c:pt idx="184">
                  <c:v>-14.67</c:v>
                </c:pt>
                <c:pt idx="185">
                  <c:v>-14.67</c:v>
                </c:pt>
                <c:pt idx="186">
                  <c:v>-12.36</c:v>
                </c:pt>
                <c:pt idx="187">
                  <c:v>-13.9</c:v>
                </c:pt>
                <c:pt idx="188">
                  <c:v>-13.13</c:v>
                </c:pt>
                <c:pt idx="189">
                  <c:v>-11.59</c:v>
                </c:pt>
                <c:pt idx="190">
                  <c:v>-6.95</c:v>
                </c:pt>
                <c:pt idx="191">
                  <c:v>-13.13</c:v>
                </c:pt>
                <c:pt idx="192">
                  <c:v>-13.9</c:v>
                </c:pt>
                <c:pt idx="193">
                  <c:v>-12.36</c:v>
                </c:pt>
                <c:pt idx="194">
                  <c:v>-12.36</c:v>
                </c:pt>
                <c:pt idx="195">
                  <c:v>-12.36</c:v>
                </c:pt>
                <c:pt idx="196">
                  <c:v>-12.36</c:v>
                </c:pt>
                <c:pt idx="197">
                  <c:v>-11.59</c:v>
                </c:pt>
                <c:pt idx="198">
                  <c:v>-12.36</c:v>
                </c:pt>
                <c:pt idx="199">
                  <c:v>-12.36</c:v>
                </c:pt>
                <c:pt idx="200">
                  <c:v>-11.59</c:v>
                </c:pt>
                <c:pt idx="201">
                  <c:v>-12.36</c:v>
                </c:pt>
                <c:pt idx="202">
                  <c:v>-10.039999999999999</c:v>
                </c:pt>
                <c:pt idx="203">
                  <c:v>-12.36</c:v>
                </c:pt>
                <c:pt idx="204">
                  <c:v>-10.039999999999999</c:v>
                </c:pt>
                <c:pt idx="205">
                  <c:v>-12.36</c:v>
                </c:pt>
                <c:pt idx="206">
                  <c:v>-11.59</c:v>
                </c:pt>
                <c:pt idx="207">
                  <c:v>-10.039999999999999</c:v>
                </c:pt>
                <c:pt idx="208">
                  <c:v>-10.81</c:v>
                </c:pt>
                <c:pt idx="209">
                  <c:v>-10.039999999999999</c:v>
                </c:pt>
                <c:pt idx="210">
                  <c:v>-11.59</c:v>
                </c:pt>
                <c:pt idx="211">
                  <c:v>-10.81</c:v>
                </c:pt>
                <c:pt idx="212">
                  <c:v>-12.36</c:v>
                </c:pt>
                <c:pt idx="213">
                  <c:v>-8.5</c:v>
                </c:pt>
                <c:pt idx="214">
                  <c:v>-6.18</c:v>
                </c:pt>
                <c:pt idx="215">
                  <c:v>-8.5</c:v>
                </c:pt>
                <c:pt idx="216">
                  <c:v>-12.36</c:v>
                </c:pt>
                <c:pt idx="217">
                  <c:v>-9.27</c:v>
                </c:pt>
                <c:pt idx="218">
                  <c:v>-12.36</c:v>
                </c:pt>
                <c:pt idx="219">
                  <c:v>-10.039999999999999</c:v>
                </c:pt>
                <c:pt idx="220">
                  <c:v>-10.039999999999999</c:v>
                </c:pt>
                <c:pt idx="221">
                  <c:v>-7.72</c:v>
                </c:pt>
                <c:pt idx="222">
                  <c:v>-12.36</c:v>
                </c:pt>
                <c:pt idx="223">
                  <c:v>-10.81</c:v>
                </c:pt>
                <c:pt idx="224">
                  <c:v>-9.27</c:v>
                </c:pt>
                <c:pt idx="225">
                  <c:v>-11.59</c:v>
                </c:pt>
                <c:pt idx="226">
                  <c:v>-7.72</c:v>
                </c:pt>
                <c:pt idx="227">
                  <c:v>-11.59</c:v>
                </c:pt>
                <c:pt idx="228">
                  <c:v>-10.039999999999999</c:v>
                </c:pt>
                <c:pt idx="229">
                  <c:v>-8.5</c:v>
                </c:pt>
                <c:pt idx="230">
                  <c:v>-9.27</c:v>
                </c:pt>
                <c:pt idx="231">
                  <c:v>-10.81</c:v>
                </c:pt>
                <c:pt idx="232">
                  <c:v>-9.27</c:v>
                </c:pt>
                <c:pt idx="233">
                  <c:v>-8.5</c:v>
                </c:pt>
                <c:pt idx="234">
                  <c:v>-10.81</c:v>
                </c:pt>
                <c:pt idx="235">
                  <c:v>-8.5</c:v>
                </c:pt>
                <c:pt idx="236">
                  <c:v>-10.039999999999999</c:v>
                </c:pt>
                <c:pt idx="237">
                  <c:v>-8.5</c:v>
                </c:pt>
                <c:pt idx="238">
                  <c:v>-2.3199999999999998</c:v>
                </c:pt>
                <c:pt idx="239">
                  <c:v>-6.95</c:v>
                </c:pt>
                <c:pt idx="240">
                  <c:v>-11.58</c:v>
                </c:pt>
                <c:pt idx="241">
                  <c:v>-10.81</c:v>
                </c:pt>
                <c:pt idx="242">
                  <c:v>-9.27</c:v>
                </c:pt>
                <c:pt idx="243">
                  <c:v>-10.81</c:v>
                </c:pt>
                <c:pt idx="244">
                  <c:v>-7.72</c:v>
                </c:pt>
                <c:pt idx="245">
                  <c:v>-7.72</c:v>
                </c:pt>
                <c:pt idx="246">
                  <c:v>-11.58</c:v>
                </c:pt>
                <c:pt idx="247">
                  <c:v>-9.27</c:v>
                </c:pt>
                <c:pt idx="248">
                  <c:v>-9.27</c:v>
                </c:pt>
                <c:pt idx="249">
                  <c:v>-9.27</c:v>
                </c:pt>
                <c:pt idx="250">
                  <c:v>-7.72</c:v>
                </c:pt>
                <c:pt idx="251">
                  <c:v>-10.039999999999999</c:v>
                </c:pt>
                <c:pt idx="252">
                  <c:v>-9.27</c:v>
                </c:pt>
                <c:pt idx="253">
                  <c:v>-10.039999999999999</c:v>
                </c:pt>
                <c:pt idx="254">
                  <c:v>-7.72</c:v>
                </c:pt>
                <c:pt idx="255">
                  <c:v>-9.27</c:v>
                </c:pt>
                <c:pt idx="256">
                  <c:v>-7.72</c:v>
                </c:pt>
                <c:pt idx="257">
                  <c:v>-9.27</c:v>
                </c:pt>
                <c:pt idx="258">
                  <c:v>-8.5</c:v>
                </c:pt>
                <c:pt idx="259">
                  <c:v>-6.95</c:v>
                </c:pt>
                <c:pt idx="260">
                  <c:v>-9.27</c:v>
                </c:pt>
                <c:pt idx="261">
                  <c:v>-6.18</c:v>
                </c:pt>
                <c:pt idx="262">
                  <c:v>0.77</c:v>
                </c:pt>
                <c:pt idx="263">
                  <c:v>-6.18</c:v>
                </c:pt>
                <c:pt idx="264">
                  <c:v>-13.13</c:v>
                </c:pt>
                <c:pt idx="265">
                  <c:v>-9.27</c:v>
                </c:pt>
                <c:pt idx="266">
                  <c:v>-10.039999999999999</c:v>
                </c:pt>
                <c:pt idx="267">
                  <c:v>-8.5</c:v>
                </c:pt>
                <c:pt idx="268">
                  <c:v>-8.5</c:v>
                </c:pt>
                <c:pt idx="269">
                  <c:v>-8.5</c:v>
                </c:pt>
                <c:pt idx="270">
                  <c:v>-9.27</c:v>
                </c:pt>
                <c:pt idx="271">
                  <c:v>-7.72</c:v>
                </c:pt>
                <c:pt idx="272">
                  <c:v>-8.5</c:v>
                </c:pt>
                <c:pt idx="273">
                  <c:v>-8.5</c:v>
                </c:pt>
                <c:pt idx="274">
                  <c:v>-7.72</c:v>
                </c:pt>
                <c:pt idx="275">
                  <c:v>-9.27</c:v>
                </c:pt>
                <c:pt idx="276">
                  <c:v>-8.5</c:v>
                </c:pt>
                <c:pt idx="277">
                  <c:v>-6.95</c:v>
                </c:pt>
                <c:pt idx="278">
                  <c:v>-8.5</c:v>
                </c:pt>
                <c:pt idx="279">
                  <c:v>-6.95</c:v>
                </c:pt>
                <c:pt idx="280">
                  <c:v>-6.95</c:v>
                </c:pt>
                <c:pt idx="281">
                  <c:v>-9.27</c:v>
                </c:pt>
                <c:pt idx="282">
                  <c:v>-6.95</c:v>
                </c:pt>
                <c:pt idx="283">
                  <c:v>-4.63</c:v>
                </c:pt>
                <c:pt idx="284">
                  <c:v>3.09</c:v>
                </c:pt>
                <c:pt idx="285">
                  <c:v>-5.41</c:v>
                </c:pt>
                <c:pt idx="286">
                  <c:v>-15.45</c:v>
                </c:pt>
                <c:pt idx="287">
                  <c:v>-8.5</c:v>
                </c:pt>
                <c:pt idx="288">
                  <c:v>-9.27</c:v>
                </c:pt>
                <c:pt idx="289">
                  <c:v>-8.5</c:v>
                </c:pt>
                <c:pt idx="290">
                  <c:v>-4.63</c:v>
                </c:pt>
                <c:pt idx="291">
                  <c:v>-9.27</c:v>
                </c:pt>
                <c:pt idx="292">
                  <c:v>-7.72</c:v>
                </c:pt>
                <c:pt idx="293">
                  <c:v>-8.5</c:v>
                </c:pt>
                <c:pt idx="294">
                  <c:v>-6.95</c:v>
                </c:pt>
                <c:pt idx="295">
                  <c:v>-7.72</c:v>
                </c:pt>
                <c:pt idx="296">
                  <c:v>-7.72</c:v>
                </c:pt>
                <c:pt idx="297">
                  <c:v>-6.18</c:v>
                </c:pt>
                <c:pt idx="298">
                  <c:v>-9.27</c:v>
                </c:pt>
                <c:pt idx="299">
                  <c:v>-5.41</c:v>
                </c:pt>
                <c:pt idx="300">
                  <c:v>-6.95</c:v>
                </c:pt>
                <c:pt idx="301">
                  <c:v>-9.27</c:v>
                </c:pt>
                <c:pt idx="302">
                  <c:v>-7.72</c:v>
                </c:pt>
                <c:pt idx="303">
                  <c:v>-5.41</c:v>
                </c:pt>
                <c:pt idx="304">
                  <c:v>4.63</c:v>
                </c:pt>
                <c:pt idx="305">
                  <c:v>5.41</c:v>
                </c:pt>
                <c:pt idx="306">
                  <c:v>-6.95</c:v>
                </c:pt>
                <c:pt idx="307">
                  <c:v>-13.9</c:v>
                </c:pt>
                <c:pt idx="308">
                  <c:v>-10.039999999999999</c:v>
                </c:pt>
                <c:pt idx="309">
                  <c:v>-13.13</c:v>
                </c:pt>
                <c:pt idx="310">
                  <c:v>-6.95</c:v>
                </c:pt>
                <c:pt idx="311">
                  <c:v>-4.63</c:v>
                </c:pt>
                <c:pt idx="312">
                  <c:v>-8.5</c:v>
                </c:pt>
                <c:pt idx="313">
                  <c:v>-10.039999999999999</c:v>
                </c:pt>
                <c:pt idx="314">
                  <c:v>-8.5</c:v>
                </c:pt>
                <c:pt idx="315">
                  <c:v>-6.18</c:v>
                </c:pt>
                <c:pt idx="316">
                  <c:v>-6.95</c:v>
                </c:pt>
                <c:pt idx="317">
                  <c:v>-8.5</c:v>
                </c:pt>
                <c:pt idx="318">
                  <c:v>-6.95</c:v>
                </c:pt>
                <c:pt idx="319">
                  <c:v>-6.18</c:v>
                </c:pt>
                <c:pt idx="320">
                  <c:v>-7.72</c:v>
                </c:pt>
                <c:pt idx="321">
                  <c:v>-6.95</c:v>
                </c:pt>
                <c:pt idx="322">
                  <c:v>-6.95</c:v>
                </c:pt>
                <c:pt idx="323">
                  <c:v>-5.41</c:v>
                </c:pt>
                <c:pt idx="324">
                  <c:v>-6.95</c:v>
                </c:pt>
                <c:pt idx="325">
                  <c:v>11.59</c:v>
                </c:pt>
                <c:pt idx="326">
                  <c:v>13.9</c:v>
                </c:pt>
                <c:pt idx="327">
                  <c:v>5.41</c:v>
                </c:pt>
                <c:pt idx="328">
                  <c:v>-13.13</c:v>
                </c:pt>
                <c:pt idx="329">
                  <c:v>-6.95</c:v>
                </c:pt>
                <c:pt idx="330">
                  <c:v>-16.22</c:v>
                </c:pt>
                <c:pt idx="331">
                  <c:v>-15.45</c:v>
                </c:pt>
                <c:pt idx="332">
                  <c:v>-7.72</c:v>
                </c:pt>
                <c:pt idx="333">
                  <c:v>-10.81</c:v>
                </c:pt>
                <c:pt idx="334">
                  <c:v>-13.13</c:v>
                </c:pt>
                <c:pt idx="335">
                  <c:v>-8.5</c:v>
                </c:pt>
                <c:pt idx="336">
                  <c:v>-7.72</c:v>
                </c:pt>
                <c:pt idx="337">
                  <c:v>-9.27</c:v>
                </c:pt>
                <c:pt idx="338">
                  <c:v>-4.63</c:v>
                </c:pt>
                <c:pt idx="339">
                  <c:v>-7.72</c:v>
                </c:pt>
                <c:pt idx="340">
                  <c:v>-6.95</c:v>
                </c:pt>
                <c:pt idx="341">
                  <c:v>-7.72</c:v>
                </c:pt>
                <c:pt idx="342">
                  <c:v>-6.95</c:v>
                </c:pt>
                <c:pt idx="343">
                  <c:v>-6.95</c:v>
                </c:pt>
                <c:pt idx="344">
                  <c:v>-5.41</c:v>
                </c:pt>
                <c:pt idx="345">
                  <c:v>-5.41</c:v>
                </c:pt>
                <c:pt idx="346">
                  <c:v>-6.18</c:v>
                </c:pt>
                <c:pt idx="347">
                  <c:v>2.3199999999999998</c:v>
                </c:pt>
                <c:pt idx="348">
                  <c:v>21.63</c:v>
                </c:pt>
                <c:pt idx="349">
                  <c:v>15.45</c:v>
                </c:pt>
                <c:pt idx="350">
                  <c:v>-6.95</c:v>
                </c:pt>
                <c:pt idx="351">
                  <c:v>-3.09</c:v>
                </c:pt>
                <c:pt idx="352">
                  <c:v>-7.72</c:v>
                </c:pt>
                <c:pt idx="353">
                  <c:v>-13.9</c:v>
                </c:pt>
                <c:pt idx="354">
                  <c:v>-7.72</c:v>
                </c:pt>
                <c:pt idx="355">
                  <c:v>-10.039999999999999</c:v>
                </c:pt>
                <c:pt idx="356">
                  <c:v>-12.36</c:v>
                </c:pt>
                <c:pt idx="357">
                  <c:v>-14.67</c:v>
                </c:pt>
                <c:pt idx="358">
                  <c:v>-11.59</c:v>
                </c:pt>
                <c:pt idx="359">
                  <c:v>-10.81</c:v>
                </c:pt>
                <c:pt idx="360">
                  <c:v>-11.59</c:v>
                </c:pt>
                <c:pt idx="361">
                  <c:v>-6.95</c:v>
                </c:pt>
                <c:pt idx="362">
                  <c:v>-6.95</c:v>
                </c:pt>
                <c:pt idx="363">
                  <c:v>-6.95</c:v>
                </c:pt>
                <c:pt idx="364">
                  <c:v>-4.63</c:v>
                </c:pt>
                <c:pt idx="365">
                  <c:v>-7.72</c:v>
                </c:pt>
                <c:pt idx="366">
                  <c:v>-6.18</c:v>
                </c:pt>
                <c:pt idx="367">
                  <c:v>-6.95</c:v>
                </c:pt>
                <c:pt idx="368">
                  <c:v>-6.18</c:v>
                </c:pt>
                <c:pt idx="369">
                  <c:v>2.3199999999999998</c:v>
                </c:pt>
                <c:pt idx="370">
                  <c:v>24.71</c:v>
                </c:pt>
                <c:pt idx="371">
                  <c:v>16.989999999999998</c:v>
                </c:pt>
                <c:pt idx="372">
                  <c:v>-2.3199999999999998</c:v>
                </c:pt>
                <c:pt idx="373">
                  <c:v>1.54</c:v>
                </c:pt>
                <c:pt idx="374">
                  <c:v>-1.54</c:v>
                </c:pt>
                <c:pt idx="375">
                  <c:v>-6.18</c:v>
                </c:pt>
                <c:pt idx="376">
                  <c:v>-6.95</c:v>
                </c:pt>
                <c:pt idx="377">
                  <c:v>-8.5</c:v>
                </c:pt>
                <c:pt idx="378">
                  <c:v>-12.36</c:v>
                </c:pt>
                <c:pt idx="379">
                  <c:v>-11.59</c:v>
                </c:pt>
                <c:pt idx="380">
                  <c:v>-14.67</c:v>
                </c:pt>
                <c:pt idx="381">
                  <c:v>-11.59</c:v>
                </c:pt>
                <c:pt idx="382">
                  <c:v>-11.59</c:v>
                </c:pt>
                <c:pt idx="383">
                  <c:v>-10.81</c:v>
                </c:pt>
                <c:pt idx="384">
                  <c:v>-8.5</c:v>
                </c:pt>
                <c:pt idx="385">
                  <c:v>-8.5</c:v>
                </c:pt>
                <c:pt idx="386">
                  <c:v>-9.27</c:v>
                </c:pt>
                <c:pt idx="387">
                  <c:v>-6.18</c:v>
                </c:pt>
                <c:pt idx="388">
                  <c:v>-6.95</c:v>
                </c:pt>
                <c:pt idx="389">
                  <c:v>9.27</c:v>
                </c:pt>
                <c:pt idx="390">
                  <c:v>27.03</c:v>
                </c:pt>
                <c:pt idx="391">
                  <c:v>11.59</c:v>
                </c:pt>
                <c:pt idx="392">
                  <c:v>5.41</c:v>
                </c:pt>
                <c:pt idx="393">
                  <c:v>-1.54</c:v>
                </c:pt>
                <c:pt idx="394">
                  <c:v>-12.36</c:v>
                </c:pt>
                <c:pt idx="395">
                  <c:v>-6.95</c:v>
                </c:pt>
                <c:pt idx="396">
                  <c:v>-8.5</c:v>
                </c:pt>
                <c:pt idx="397">
                  <c:v>-10.81</c:v>
                </c:pt>
                <c:pt idx="398">
                  <c:v>-10.039999999999999</c:v>
                </c:pt>
                <c:pt idx="399">
                  <c:v>-10.039999999999999</c:v>
                </c:pt>
                <c:pt idx="400">
                  <c:v>-10.81</c:v>
                </c:pt>
                <c:pt idx="401">
                  <c:v>-11.59</c:v>
                </c:pt>
                <c:pt idx="402">
                  <c:v>-8.5</c:v>
                </c:pt>
                <c:pt idx="403">
                  <c:v>-10.81</c:v>
                </c:pt>
                <c:pt idx="404">
                  <c:v>-8.5</c:v>
                </c:pt>
                <c:pt idx="405">
                  <c:v>-8.5</c:v>
                </c:pt>
                <c:pt idx="406">
                  <c:v>-8.5</c:v>
                </c:pt>
                <c:pt idx="407">
                  <c:v>-7.72</c:v>
                </c:pt>
                <c:pt idx="408">
                  <c:v>-6.95</c:v>
                </c:pt>
                <c:pt idx="409">
                  <c:v>12.36</c:v>
                </c:pt>
                <c:pt idx="410">
                  <c:v>30.12</c:v>
                </c:pt>
                <c:pt idx="411">
                  <c:v>12.36</c:v>
                </c:pt>
                <c:pt idx="412">
                  <c:v>-0.77</c:v>
                </c:pt>
                <c:pt idx="413">
                  <c:v>-5.41</c:v>
                </c:pt>
                <c:pt idx="414">
                  <c:v>-10.81</c:v>
                </c:pt>
                <c:pt idx="415">
                  <c:v>-9.27</c:v>
                </c:pt>
                <c:pt idx="416">
                  <c:v>-6.18</c:v>
                </c:pt>
                <c:pt idx="417">
                  <c:v>-7.72</c:v>
                </c:pt>
                <c:pt idx="418">
                  <c:v>-8.5</c:v>
                </c:pt>
                <c:pt idx="419">
                  <c:v>-8.5</c:v>
                </c:pt>
                <c:pt idx="420">
                  <c:v>-8.5</c:v>
                </c:pt>
                <c:pt idx="421">
                  <c:v>-7.72</c:v>
                </c:pt>
                <c:pt idx="422">
                  <c:v>-9.27</c:v>
                </c:pt>
                <c:pt idx="423">
                  <c:v>-8.5</c:v>
                </c:pt>
                <c:pt idx="424">
                  <c:v>-7.72</c:v>
                </c:pt>
                <c:pt idx="425">
                  <c:v>-6.18</c:v>
                </c:pt>
                <c:pt idx="426">
                  <c:v>-10.81</c:v>
                </c:pt>
                <c:pt idx="427">
                  <c:v>-6.18</c:v>
                </c:pt>
                <c:pt idx="428">
                  <c:v>-9.27</c:v>
                </c:pt>
                <c:pt idx="429">
                  <c:v>-6.18</c:v>
                </c:pt>
                <c:pt idx="430">
                  <c:v>13.9</c:v>
                </c:pt>
                <c:pt idx="431">
                  <c:v>25.49</c:v>
                </c:pt>
                <c:pt idx="432">
                  <c:v>3.09</c:v>
                </c:pt>
                <c:pt idx="433">
                  <c:v>-3.09</c:v>
                </c:pt>
                <c:pt idx="434">
                  <c:v>-6.18</c:v>
                </c:pt>
                <c:pt idx="435">
                  <c:v>-10.81</c:v>
                </c:pt>
                <c:pt idx="436">
                  <c:v>-6.18</c:v>
                </c:pt>
                <c:pt idx="437">
                  <c:v>-5.41</c:v>
                </c:pt>
                <c:pt idx="438">
                  <c:v>-5.41</c:v>
                </c:pt>
                <c:pt idx="439">
                  <c:v>-6.95</c:v>
                </c:pt>
                <c:pt idx="440">
                  <c:v>-7.72</c:v>
                </c:pt>
                <c:pt idx="441">
                  <c:v>-6.95</c:v>
                </c:pt>
                <c:pt idx="442">
                  <c:v>-6.95</c:v>
                </c:pt>
                <c:pt idx="443">
                  <c:v>-6.18</c:v>
                </c:pt>
                <c:pt idx="444">
                  <c:v>-6.18</c:v>
                </c:pt>
                <c:pt idx="445">
                  <c:v>-6.95</c:v>
                </c:pt>
                <c:pt idx="446">
                  <c:v>-6.95</c:v>
                </c:pt>
                <c:pt idx="447">
                  <c:v>-6.95</c:v>
                </c:pt>
                <c:pt idx="448">
                  <c:v>-6.95</c:v>
                </c:pt>
                <c:pt idx="449">
                  <c:v>-7.72</c:v>
                </c:pt>
                <c:pt idx="450">
                  <c:v>10.81</c:v>
                </c:pt>
                <c:pt idx="451">
                  <c:v>17.760000000000002</c:v>
                </c:pt>
                <c:pt idx="452">
                  <c:v>0.77</c:v>
                </c:pt>
                <c:pt idx="453">
                  <c:v>-3.86</c:v>
                </c:pt>
                <c:pt idx="454">
                  <c:v>-5.41</c:v>
                </c:pt>
                <c:pt idx="455">
                  <c:v>-9.27</c:v>
                </c:pt>
                <c:pt idx="456">
                  <c:v>-6.18</c:v>
                </c:pt>
                <c:pt idx="457">
                  <c:v>-2.3199999999999998</c:v>
                </c:pt>
                <c:pt idx="458">
                  <c:v>-8.5</c:v>
                </c:pt>
                <c:pt idx="459">
                  <c:v>-4.63</c:v>
                </c:pt>
                <c:pt idx="460">
                  <c:v>-6.18</c:v>
                </c:pt>
                <c:pt idx="461">
                  <c:v>-5.41</c:v>
                </c:pt>
                <c:pt idx="462">
                  <c:v>-5.41</c:v>
                </c:pt>
                <c:pt idx="463">
                  <c:v>-6.18</c:v>
                </c:pt>
                <c:pt idx="464">
                  <c:v>-6.95</c:v>
                </c:pt>
                <c:pt idx="465">
                  <c:v>-3.86</c:v>
                </c:pt>
                <c:pt idx="466">
                  <c:v>-4.63</c:v>
                </c:pt>
                <c:pt idx="467">
                  <c:v>-9.27</c:v>
                </c:pt>
                <c:pt idx="468">
                  <c:v>-1.54</c:v>
                </c:pt>
                <c:pt idx="469">
                  <c:v>14.67</c:v>
                </c:pt>
                <c:pt idx="470">
                  <c:v>3.09</c:v>
                </c:pt>
                <c:pt idx="471">
                  <c:v>-3.09</c:v>
                </c:pt>
                <c:pt idx="472">
                  <c:v>-3.09</c:v>
                </c:pt>
                <c:pt idx="473">
                  <c:v>-9.27</c:v>
                </c:pt>
                <c:pt idx="474">
                  <c:v>-3.86</c:v>
                </c:pt>
                <c:pt idx="475">
                  <c:v>-4.63</c:v>
                </c:pt>
                <c:pt idx="476">
                  <c:v>-4.63</c:v>
                </c:pt>
                <c:pt idx="477">
                  <c:v>-3.86</c:v>
                </c:pt>
                <c:pt idx="478">
                  <c:v>-6.95</c:v>
                </c:pt>
                <c:pt idx="479">
                  <c:v>-6.18</c:v>
                </c:pt>
                <c:pt idx="480">
                  <c:v>-4.63</c:v>
                </c:pt>
                <c:pt idx="481">
                  <c:v>-4.63</c:v>
                </c:pt>
                <c:pt idx="482">
                  <c:v>-4.63</c:v>
                </c:pt>
                <c:pt idx="483">
                  <c:v>-5.41</c:v>
                </c:pt>
                <c:pt idx="484">
                  <c:v>-5.41</c:v>
                </c:pt>
                <c:pt idx="485">
                  <c:v>-3.86</c:v>
                </c:pt>
                <c:pt idx="486">
                  <c:v>-6.18</c:v>
                </c:pt>
                <c:pt idx="487">
                  <c:v>-2.3199999999999998</c:v>
                </c:pt>
                <c:pt idx="488">
                  <c:v>11.59</c:v>
                </c:pt>
                <c:pt idx="489">
                  <c:v>3.09</c:v>
                </c:pt>
                <c:pt idx="490">
                  <c:v>-1.54</c:v>
                </c:pt>
                <c:pt idx="491">
                  <c:v>-3.09</c:v>
                </c:pt>
                <c:pt idx="492">
                  <c:v>-5.41</c:v>
                </c:pt>
                <c:pt idx="493">
                  <c:v>-5.41</c:v>
                </c:pt>
                <c:pt idx="494">
                  <c:v>-3.86</c:v>
                </c:pt>
                <c:pt idx="495">
                  <c:v>-5.41</c:v>
                </c:pt>
                <c:pt idx="496">
                  <c:v>-4.63</c:v>
                </c:pt>
                <c:pt idx="497">
                  <c:v>-3.86</c:v>
                </c:pt>
                <c:pt idx="498">
                  <c:v>-4.63</c:v>
                </c:pt>
                <c:pt idx="499">
                  <c:v>-4.63</c:v>
                </c:pt>
                <c:pt idx="500">
                  <c:v>-4.63</c:v>
                </c:pt>
                <c:pt idx="501">
                  <c:v>-4.63</c:v>
                </c:pt>
                <c:pt idx="502">
                  <c:v>-4.63</c:v>
                </c:pt>
                <c:pt idx="503">
                  <c:v>-4.63</c:v>
                </c:pt>
                <c:pt idx="504">
                  <c:v>-4.63</c:v>
                </c:pt>
                <c:pt idx="505">
                  <c:v>-5.41</c:v>
                </c:pt>
                <c:pt idx="506">
                  <c:v>-3.09</c:v>
                </c:pt>
                <c:pt idx="507">
                  <c:v>-5.41</c:v>
                </c:pt>
                <c:pt idx="508">
                  <c:v>-5.41</c:v>
                </c:pt>
                <c:pt idx="509">
                  <c:v>7.72</c:v>
                </c:pt>
                <c:pt idx="510">
                  <c:v>8.5</c:v>
                </c:pt>
                <c:pt idx="511">
                  <c:v>0</c:v>
                </c:pt>
                <c:pt idx="512">
                  <c:v>-4.63</c:v>
                </c:pt>
                <c:pt idx="513">
                  <c:v>-1.54</c:v>
                </c:pt>
                <c:pt idx="514">
                  <c:v>-5.41</c:v>
                </c:pt>
                <c:pt idx="515">
                  <c:v>-4.63</c:v>
                </c:pt>
                <c:pt idx="516">
                  <c:v>-3.09</c:v>
                </c:pt>
                <c:pt idx="517">
                  <c:v>-3.09</c:v>
                </c:pt>
                <c:pt idx="518">
                  <c:v>-6.18</c:v>
                </c:pt>
                <c:pt idx="519">
                  <c:v>-3.09</c:v>
                </c:pt>
                <c:pt idx="520">
                  <c:v>-4.63</c:v>
                </c:pt>
                <c:pt idx="521">
                  <c:v>-4.63</c:v>
                </c:pt>
                <c:pt idx="522">
                  <c:v>-3.09</c:v>
                </c:pt>
                <c:pt idx="523">
                  <c:v>-3.86</c:v>
                </c:pt>
                <c:pt idx="524">
                  <c:v>-6.18</c:v>
                </c:pt>
                <c:pt idx="525">
                  <c:v>-71.06</c:v>
                </c:pt>
                <c:pt idx="526">
                  <c:v>-138.25</c:v>
                </c:pt>
                <c:pt idx="527">
                  <c:v>-93.45</c:v>
                </c:pt>
                <c:pt idx="528">
                  <c:v>-77.23</c:v>
                </c:pt>
                <c:pt idx="529">
                  <c:v>-66.42</c:v>
                </c:pt>
                <c:pt idx="530">
                  <c:v>-55.61</c:v>
                </c:pt>
                <c:pt idx="531">
                  <c:v>-44.8</c:v>
                </c:pt>
                <c:pt idx="532">
                  <c:v>-39.39</c:v>
                </c:pt>
                <c:pt idx="533">
                  <c:v>-37.840000000000003</c:v>
                </c:pt>
                <c:pt idx="534">
                  <c:v>-32.44</c:v>
                </c:pt>
                <c:pt idx="535">
                  <c:v>-33.21</c:v>
                </c:pt>
                <c:pt idx="536">
                  <c:v>-28.58</c:v>
                </c:pt>
                <c:pt idx="537">
                  <c:v>-25.49</c:v>
                </c:pt>
                <c:pt idx="538">
                  <c:v>-23.17</c:v>
                </c:pt>
                <c:pt idx="539">
                  <c:v>-19.309999999999999</c:v>
                </c:pt>
                <c:pt idx="540">
                  <c:v>-19.309999999999999</c:v>
                </c:pt>
                <c:pt idx="541">
                  <c:v>-16.989999999999998</c:v>
                </c:pt>
                <c:pt idx="542">
                  <c:v>-15.45</c:v>
                </c:pt>
                <c:pt idx="543">
                  <c:v>-14.67</c:v>
                </c:pt>
                <c:pt idx="544">
                  <c:v>-12.36</c:v>
                </c:pt>
                <c:pt idx="545">
                  <c:v>-12.36</c:v>
                </c:pt>
                <c:pt idx="546">
                  <c:v>-8.5</c:v>
                </c:pt>
                <c:pt idx="547">
                  <c:v>-10.81</c:v>
                </c:pt>
                <c:pt idx="548">
                  <c:v>-7.72</c:v>
                </c:pt>
                <c:pt idx="549">
                  <c:v>-7.72</c:v>
                </c:pt>
                <c:pt idx="550">
                  <c:v>-7.72</c:v>
                </c:pt>
                <c:pt idx="551">
                  <c:v>-4.63</c:v>
                </c:pt>
                <c:pt idx="552">
                  <c:v>-6.18</c:v>
                </c:pt>
                <c:pt idx="553">
                  <c:v>-4.63</c:v>
                </c:pt>
                <c:pt idx="554">
                  <c:v>-3.86</c:v>
                </c:pt>
                <c:pt idx="555">
                  <c:v>-7.72</c:v>
                </c:pt>
                <c:pt idx="556">
                  <c:v>-2.3199999999999998</c:v>
                </c:pt>
                <c:pt idx="557">
                  <c:v>-4.63</c:v>
                </c:pt>
                <c:pt idx="558">
                  <c:v>-3.86</c:v>
                </c:pt>
                <c:pt idx="559">
                  <c:v>-4.63</c:v>
                </c:pt>
                <c:pt idx="560">
                  <c:v>-3.09</c:v>
                </c:pt>
                <c:pt idx="561">
                  <c:v>-4.63</c:v>
                </c:pt>
                <c:pt idx="562">
                  <c:v>-3.86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95-4300-9144-E0EB9E5FA2D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Hoja1!$AT$2:$AT$564</c:f>
              <c:numCache>
                <c:formatCode>General</c:formatCode>
                <c:ptCount val="5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</c:numCache>
            </c:numRef>
          </c:xVal>
          <c:yVal>
            <c:numRef>
              <c:f>Hoja1!$AX$2:$AX$564</c:f>
              <c:numCache>
                <c:formatCode>0.00</c:formatCode>
                <c:ptCount val="563"/>
                <c:pt idx="0">
                  <c:v>99.162000000000006</c:v>
                </c:pt>
                <c:pt idx="1">
                  <c:v>97.156000000000006</c:v>
                </c:pt>
                <c:pt idx="2">
                  <c:v>95.918000000000006</c:v>
                </c:pt>
                <c:pt idx="3">
                  <c:v>95.763999999999996</c:v>
                </c:pt>
                <c:pt idx="4">
                  <c:v>96.846000000000004</c:v>
                </c:pt>
                <c:pt idx="5">
                  <c:v>97</c:v>
                </c:pt>
                <c:pt idx="6">
                  <c:v>98.543999999999997</c:v>
                </c:pt>
                <c:pt idx="7">
                  <c:v>95.918000000000006</c:v>
                </c:pt>
                <c:pt idx="8">
                  <c:v>98.081999999999994</c:v>
                </c:pt>
                <c:pt idx="9">
                  <c:v>96.382000000000005</c:v>
                </c:pt>
                <c:pt idx="10">
                  <c:v>97.31</c:v>
                </c:pt>
                <c:pt idx="11">
                  <c:v>96.69</c:v>
                </c:pt>
                <c:pt idx="12">
                  <c:v>97.617999999999995</c:v>
                </c:pt>
                <c:pt idx="13">
                  <c:v>97.31</c:v>
                </c:pt>
                <c:pt idx="14">
                  <c:v>96.382000000000005</c:v>
                </c:pt>
                <c:pt idx="15">
                  <c:v>97.926000000000002</c:v>
                </c:pt>
                <c:pt idx="16">
                  <c:v>96.227999999999994</c:v>
                </c:pt>
                <c:pt idx="17">
                  <c:v>97.617999999999995</c:v>
                </c:pt>
                <c:pt idx="18">
                  <c:v>96.536000000000001</c:v>
                </c:pt>
                <c:pt idx="19">
                  <c:v>97.153999999999996</c:v>
                </c:pt>
                <c:pt idx="20">
                  <c:v>97.463999999999999</c:v>
                </c:pt>
                <c:pt idx="21">
                  <c:v>96.227999999999994</c:v>
                </c:pt>
                <c:pt idx="22">
                  <c:v>98.39</c:v>
                </c:pt>
                <c:pt idx="23">
                  <c:v>95.763999999999996</c:v>
                </c:pt>
                <c:pt idx="24">
                  <c:v>97.617999999999995</c:v>
                </c:pt>
                <c:pt idx="25">
                  <c:v>97.153999999999996</c:v>
                </c:pt>
                <c:pt idx="26">
                  <c:v>96.227999999999994</c:v>
                </c:pt>
                <c:pt idx="27">
                  <c:v>98.39</c:v>
                </c:pt>
                <c:pt idx="28">
                  <c:v>96.227999999999994</c:v>
                </c:pt>
                <c:pt idx="29">
                  <c:v>97.463999999999999</c:v>
                </c:pt>
                <c:pt idx="30">
                  <c:v>96.69</c:v>
                </c:pt>
                <c:pt idx="31">
                  <c:v>96.382000000000005</c:v>
                </c:pt>
                <c:pt idx="32">
                  <c:v>98.39</c:v>
                </c:pt>
                <c:pt idx="33">
                  <c:v>96.073999999999998</c:v>
                </c:pt>
                <c:pt idx="34">
                  <c:v>97.772000000000006</c:v>
                </c:pt>
                <c:pt idx="35">
                  <c:v>96.691999999999993</c:v>
                </c:pt>
                <c:pt idx="36">
                  <c:v>96.382000000000005</c:v>
                </c:pt>
                <c:pt idx="37">
                  <c:v>98.236000000000004</c:v>
                </c:pt>
                <c:pt idx="38">
                  <c:v>96.072000000000003</c:v>
                </c:pt>
                <c:pt idx="39">
                  <c:v>97.927999999999997</c:v>
                </c:pt>
                <c:pt idx="40">
                  <c:v>96.69</c:v>
                </c:pt>
                <c:pt idx="41">
                  <c:v>96.382000000000005</c:v>
                </c:pt>
                <c:pt idx="42">
                  <c:v>98.853999999999999</c:v>
                </c:pt>
                <c:pt idx="43">
                  <c:v>94.992000000000004</c:v>
                </c:pt>
                <c:pt idx="44">
                  <c:v>99.007999999999996</c:v>
                </c:pt>
                <c:pt idx="45">
                  <c:v>95.61</c:v>
                </c:pt>
                <c:pt idx="46">
                  <c:v>97.153999999999996</c:v>
                </c:pt>
                <c:pt idx="47">
                  <c:v>97.31</c:v>
                </c:pt>
                <c:pt idx="48">
                  <c:v>96.843999999999994</c:v>
                </c:pt>
                <c:pt idx="49">
                  <c:v>98.546000000000006</c:v>
                </c:pt>
                <c:pt idx="50">
                  <c:v>94.992000000000004</c:v>
                </c:pt>
                <c:pt idx="51">
                  <c:v>98.543999999999997</c:v>
                </c:pt>
                <c:pt idx="52">
                  <c:v>95.146000000000001</c:v>
                </c:pt>
                <c:pt idx="53">
                  <c:v>99.007999999999996</c:v>
                </c:pt>
                <c:pt idx="54">
                  <c:v>96.382000000000005</c:v>
                </c:pt>
                <c:pt idx="55">
                  <c:v>96.227999999999994</c:v>
                </c:pt>
                <c:pt idx="56">
                  <c:v>98.39</c:v>
                </c:pt>
                <c:pt idx="57">
                  <c:v>96.073999999999998</c:v>
                </c:pt>
                <c:pt idx="58">
                  <c:v>97.153999999999996</c:v>
                </c:pt>
                <c:pt idx="59">
                  <c:v>97.31</c:v>
                </c:pt>
                <c:pt idx="60">
                  <c:v>95.918000000000006</c:v>
                </c:pt>
                <c:pt idx="61">
                  <c:v>98.543999999999997</c:v>
                </c:pt>
                <c:pt idx="62">
                  <c:v>96.846000000000004</c:v>
                </c:pt>
                <c:pt idx="63">
                  <c:v>96.846000000000004</c:v>
                </c:pt>
                <c:pt idx="64">
                  <c:v>97.153999999999996</c:v>
                </c:pt>
                <c:pt idx="65">
                  <c:v>96.846000000000004</c:v>
                </c:pt>
                <c:pt idx="66">
                  <c:v>97.153999999999996</c:v>
                </c:pt>
                <c:pt idx="67">
                  <c:v>97</c:v>
                </c:pt>
                <c:pt idx="68">
                  <c:v>97</c:v>
                </c:pt>
                <c:pt idx="69">
                  <c:v>96.692000000000007</c:v>
                </c:pt>
                <c:pt idx="70">
                  <c:v>97.617999999999995</c:v>
                </c:pt>
                <c:pt idx="71">
                  <c:v>97.772000000000006</c:v>
                </c:pt>
                <c:pt idx="72">
                  <c:v>97.462000000000003</c:v>
                </c:pt>
                <c:pt idx="73">
                  <c:v>96.382000000000005</c:v>
                </c:pt>
                <c:pt idx="74">
                  <c:v>96.537999999999997</c:v>
                </c:pt>
                <c:pt idx="75">
                  <c:v>96.382000000000005</c:v>
                </c:pt>
                <c:pt idx="76">
                  <c:v>97</c:v>
                </c:pt>
                <c:pt idx="77">
                  <c:v>98.236000000000004</c:v>
                </c:pt>
                <c:pt idx="78">
                  <c:v>96.843999999999994</c:v>
                </c:pt>
                <c:pt idx="79">
                  <c:v>96.384</c:v>
                </c:pt>
                <c:pt idx="80">
                  <c:v>96.69</c:v>
                </c:pt>
                <c:pt idx="81">
                  <c:v>98.081999999999994</c:v>
                </c:pt>
                <c:pt idx="82">
                  <c:v>96.536000000000001</c:v>
                </c:pt>
                <c:pt idx="83">
                  <c:v>96.382000000000005</c:v>
                </c:pt>
                <c:pt idx="84">
                  <c:v>98.543999999999997</c:v>
                </c:pt>
                <c:pt idx="85">
                  <c:v>95.61</c:v>
                </c:pt>
                <c:pt idx="86">
                  <c:v>96.846000000000004</c:v>
                </c:pt>
                <c:pt idx="87">
                  <c:v>98.236000000000004</c:v>
                </c:pt>
                <c:pt idx="88">
                  <c:v>94.528000000000006</c:v>
                </c:pt>
                <c:pt idx="89">
                  <c:v>98.7</c:v>
                </c:pt>
                <c:pt idx="90">
                  <c:v>96.227999999999994</c:v>
                </c:pt>
                <c:pt idx="91">
                  <c:v>98.39</c:v>
                </c:pt>
                <c:pt idx="92">
                  <c:v>95.146000000000001</c:v>
                </c:pt>
                <c:pt idx="93">
                  <c:v>98.39</c:v>
                </c:pt>
                <c:pt idx="94">
                  <c:v>97.772000000000006</c:v>
                </c:pt>
                <c:pt idx="95">
                  <c:v>100.09</c:v>
                </c:pt>
                <c:pt idx="96">
                  <c:v>99.007999999999996</c:v>
                </c:pt>
                <c:pt idx="97">
                  <c:v>91.438000000000002</c:v>
                </c:pt>
                <c:pt idx="98">
                  <c:v>96.846000000000004</c:v>
                </c:pt>
                <c:pt idx="99">
                  <c:v>96.691999999999993</c:v>
                </c:pt>
                <c:pt idx="100">
                  <c:v>96.382000000000005</c:v>
                </c:pt>
                <c:pt idx="101">
                  <c:v>97.772000000000006</c:v>
                </c:pt>
                <c:pt idx="102">
                  <c:v>96.382000000000005</c:v>
                </c:pt>
                <c:pt idx="103">
                  <c:v>97.153999999999996</c:v>
                </c:pt>
                <c:pt idx="104">
                  <c:v>96.382000000000005</c:v>
                </c:pt>
                <c:pt idx="105">
                  <c:v>97</c:v>
                </c:pt>
                <c:pt idx="106">
                  <c:v>97.31</c:v>
                </c:pt>
                <c:pt idx="107">
                  <c:v>97.926000000000002</c:v>
                </c:pt>
                <c:pt idx="108">
                  <c:v>97.153999999999996</c:v>
                </c:pt>
                <c:pt idx="109">
                  <c:v>96.537999999999997</c:v>
                </c:pt>
                <c:pt idx="110">
                  <c:v>97.153999999999996</c:v>
                </c:pt>
                <c:pt idx="111">
                  <c:v>97</c:v>
                </c:pt>
                <c:pt idx="112">
                  <c:v>96.382000000000005</c:v>
                </c:pt>
                <c:pt idx="113">
                  <c:v>98.543999999999997</c:v>
                </c:pt>
                <c:pt idx="114">
                  <c:v>95.61</c:v>
                </c:pt>
                <c:pt idx="115">
                  <c:v>97.31</c:v>
                </c:pt>
                <c:pt idx="116">
                  <c:v>97.308000000000007</c:v>
                </c:pt>
                <c:pt idx="117">
                  <c:v>97.153999999999996</c:v>
                </c:pt>
                <c:pt idx="118">
                  <c:v>99.781999999999996</c:v>
                </c:pt>
                <c:pt idx="119">
                  <c:v>96.536000000000001</c:v>
                </c:pt>
                <c:pt idx="120">
                  <c:v>93.91</c:v>
                </c:pt>
                <c:pt idx="121">
                  <c:v>96.227999999999994</c:v>
                </c:pt>
                <c:pt idx="122">
                  <c:v>97.617999999999995</c:v>
                </c:pt>
                <c:pt idx="123">
                  <c:v>96.846000000000004</c:v>
                </c:pt>
                <c:pt idx="124">
                  <c:v>97.926000000000002</c:v>
                </c:pt>
                <c:pt idx="125">
                  <c:v>97.153999999999996</c:v>
                </c:pt>
                <c:pt idx="126">
                  <c:v>97</c:v>
                </c:pt>
                <c:pt idx="127">
                  <c:v>95.61</c:v>
                </c:pt>
                <c:pt idx="128">
                  <c:v>99.007999999999996</c:v>
                </c:pt>
                <c:pt idx="129">
                  <c:v>96.073999999999998</c:v>
                </c:pt>
                <c:pt idx="130">
                  <c:v>97.463999999999999</c:v>
                </c:pt>
                <c:pt idx="131">
                  <c:v>96.69</c:v>
                </c:pt>
                <c:pt idx="132">
                  <c:v>96.537999999999997</c:v>
                </c:pt>
                <c:pt idx="133">
                  <c:v>97.462000000000003</c:v>
                </c:pt>
                <c:pt idx="134">
                  <c:v>97.153999999999996</c:v>
                </c:pt>
                <c:pt idx="135">
                  <c:v>96.227999999999994</c:v>
                </c:pt>
                <c:pt idx="136">
                  <c:v>98.39</c:v>
                </c:pt>
                <c:pt idx="137">
                  <c:v>95.456000000000003</c:v>
                </c:pt>
                <c:pt idx="138">
                  <c:v>98.081999999999994</c:v>
                </c:pt>
                <c:pt idx="139">
                  <c:v>96.536000000000001</c:v>
                </c:pt>
                <c:pt idx="140">
                  <c:v>96.382000000000005</c:v>
                </c:pt>
                <c:pt idx="141">
                  <c:v>98.39</c:v>
                </c:pt>
                <c:pt idx="142">
                  <c:v>97.617999999999995</c:v>
                </c:pt>
                <c:pt idx="143">
                  <c:v>94.837999999999994</c:v>
                </c:pt>
                <c:pt idx="144">
                  <c:v>96.536000000000001</c:v>
                </c:pt>
                <c:pt idx="145">
                  <c:v>98.853999999999999</c:v>
                </c:pt>
                <c:pt idx="146">
                  <c:v>96.227999999999994</c:v>
                </c:pt>
                <c:pt idx="147">
                  <c:v>96.536000000000001</c:v>
                </c:pt>
                <c:pt idx="148">
                  <c:v>97</c:v>
                </c:pt>
                <c:pt idx="149">
                  <c:v>97.153999999999996</c:v>
                </c:pt>
                <c:pt idx="150">
                  <c:v>97.31</c:v>
                </c:pt>
                <c:pt idx="151">
                  <c:v>97.153999999999996</c:v>
                </c:pt>
                <c:pt idx="152">
                  <c:v>96.073999999999998</c:v>
                </c:pt>
                <c:pt idx="153">
                  <c:v>97.617999999999995</c:v>
                </c:pt>
                <c:pt idx="154">
                  <c:v>96.843999999999994</c:v>
                </c:pt>
                <c:pt idx="155">
                  <c:v>96.691999999999993</c:v>
                </c:pt>
                <c:pt idx="156">
                  <c:v>97.926000000000002</c:v>
                </c:pt>
                <c:pt idx="157">
                  <c:v>96.227999999999994</c:v>
                </c:pt>
                <c:pt idx="158">
                  <c:v>97.31</c:v>
                </c:pt>
                <c:pt idx="159">
                  <c:v>96.69</c:v>
                </c:pt>
                <c:pt idx="160">
                  <c:v>96.536000000000001</c:v>
                </c:pt>
                <c:pt idx="161">
                  <c:v>97.31</c:v>
                </c:pt>
                <c:pt idx="162">
                  <c:v>97.617999999999995</c:v>
                </c:pt>
                <c:pt idx="163">
                  <c:v>95.918000000000006</c:v>
                </c:pt>
                <c:pt idx="164">
                  <c:v>97.31</c:v>
                </c:pt>
                <c:pt idx="165">
                  <c:v>97.617999999999995</c:v>
                </c:pt>
                <c:pt idx="166">
                  <c:v>97.616</c:v>
                </c:pt>
                <c:pt idx="167">
                  <c:v>96.227999999999994</c:v>
                </c:pt>
                <c:pt idx="168">
                  <c:v>96.691999999999993</c:v>
                </c:pt>
                <c:pt idx="169">
                  <c:v>97.308000000000007</c:v>
                </c:pt>
                <c:pt idx="170">
                  <c:v>97</c:v>
                </c:pt>
                <c:pt idx="171">
                  <c:v>95.763999999999996</c:v>
                </c:pt>
                <c:pt idx="172">
                  <c:v>97.774000000000001</c:v>
                </c:pt>
                <c:pt idx="173">
                  <c:v>97.307999999999993</c:v>
                </c:pt>
                <c:pt idx="174">
                  <c:v>96.846000000000004</c:v>
                </c:pt>
                <c:pt idx="175">
                  <c:v>93.445999999999998</c:v>
                </c:pt>
                <c:pt idx="176">
                  <c:v>93.757999999999996</c:v>
                </c:pt>
                <c:pt idx="177">
                  <c:v>96.225999999999999</c:v>
                </c:pt>
                <c:pt idx="178">
                  <c:v>97.31</c:v>
                </c:pt>
                <c:pt idx="179">
                  <c:v>97</c:v>
                </c:pt>
                <c:pt idx="180">
                  <c:v>97.153999999999996</c:v>
                </c:pt>
                <c:pt idx="181">
                  <c:v>97.31</c:v>
                </c:pt>
                <c:pt idx="182">
                  <c:v>96.843999999999994</c:v>
                </c:pt>
                <c:pt idx="183">
                  <c:v>97.463999999999999</c:v>
                </c:pt>
                <c:pt idx="184">
                  <c:v>96.692000000000007</c:v>
                </c:pt>
                <c:pt idx="185">
                  <c:v>97</c:v>
                </c:pt>
                <c:pt idx="186">
                  <c:v>97.462000000000003</c:v>
                </c:pt>
                <c:pt idx="187">
                  <c:v>96.691999999999993</c:v>
                </c:pt>
                <c:pt idx="188">
                  <c:v>97.153999999999996</c:v>
                </c:pt>
                <c:pt idx="189">
                  <c:v>97.308000000000007</c:v>
                </c:pt>
                <c:pt idx="190">
                  <c:v>97.927999999999997</c:v>
                </c:pt>
                <c:pt idx="191">
                  <c:v>95.763999999999996</c:v>
                </c:pt>
                <c:pt idx="192">
                  <c:v>96.846000000000004</c:v>
                </c:pt>
                <c:pt idx="193">
                  <c:v>97.308000000000007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97.153999999999996</c:v>
                </c:pt>
                <c:pt idx="198">
                  <c:v>96.846000000000004</c:v>
                </c:pt>
                <c:pt idx="199">
                  <c:v>97</c:v>
                </c:pt>
                <c:pt idx="200">
                  <c:v>97.153999999999996</c:v>
                </c:pt>
                <c:pt idx="201">
                  <c:v>96.846000000000004</c:v>
                </c:pt>
                <c:pt idx="202">
                  <c:v>97.463999999999999</c:v>
                </c:pt>
                <c:pt idx="203">
                  <c:v>96.536000000000001</c:v>
                </c:pt>
                <c:pt idx="204">
                  <c:v>97.463999999999999</c:v>
                </c:pt>
                <c:pt idx="205">
                  <c:v>96.536000000000001</c:v>
                </c:pt>
                <c:pt idx="206">
                  <c:v>97.153999999999996</c:v>
                </c:pt>
                <c:pt idx="207">
                  <c:v>97.31</c:v>
                </c:pt>
                <c:pt idx="208">
                  <c:v>96.846000000000004</c:v>
                </c:pt>
                <c:pt idx="209">
                  <c:v>97.153999999999996</c:v>
                </c:pt>
                <c:pt idx="210">
                  <c:v>96.69</c:v>
                </c:pt>
                <c:pt idx="211">
                  <c:v>97.156000000000006</c:v>
                </c:pt>
                <c:pt idx="212">
                  <c:v>96.69</c:v>
                </c:pt>
                <c:pt idx="213">
                  <c:v>97.772000000000006</c:v>
                </c:pt>
                <c:pt idx="214">
                  <c:v>97.463999999999999</c:v>
                </c:pt>
                <c:pt idx="215">
                  <c:v>96.536000000000001</c:v>
                </c:pt>
                <c:pt idx="216">
                  <c:v>96.227999999999994</c:v>
                </c:pt>
                <c:pt idx="217">
                  <c:v>97.617999999999995</c:v>
                </c:pt>
                <c:pt idx="218">
                  <c:v>96.382000000000005</c:v>
                </c:pt>
                <c:pt idx="219">
                  <c:v>97.463999999999999</c:v>
                </c:pt>
                <c:pt idx="220">
                  <c:v>97</c:v>
                </c:pt>
                <c:pt idx="221">
                  <c:v>97.463999999999999</c:v>
                </c:pt>
                <c:pt idx="222">
                  <c:v>96.072000000000003</c:v>
                </c:pt>
                <c:pt idx="223">
                  <c:v>97.31</c:v>
                </c:pt>
                <c:pt idx="224">
                  <c:v>97.308000000000007</c:v>
                </c:pt>
                <c:pt idx="225">
                  <c:v>96.536000000000001</c:v>
                </c:pt>
                <c:pt idx="226">
                  <c:v>97.774000000000001</c:v>
                </c:pt>
                <c:pt idx="227">
                  <c:v>96.225999999999999</c:v>
                </c:pt>
                <c:pt idx="228">
                  <c:v>97.31</c:v>
                </c:pt>
                <c:pt idx="229">
                  <c:v>97.307999999999993</c:v>
                </c:pt>
                <c:pt idx="230">
                  <c:v>96.846000000000004</c:v>
                </c:pt>
                <c:pt idx="231">
                  <c:v>96.691999999999993</c:v>
                </c:pt>
                <c:pt idx="232">
                  <c:v>97.308000000000007</c:v>
                </c:pt>
                <c:pt idx="233">
                  <c:v>97.153999999999996</c:v>
                </c:pt>
                <c:pt idx="234">
                  <c:v>96.537999999999997</c:v>
                </c:pt>
                <c:pt idx="235">
                  <c:v>97.462000000000003</c:v>
                </c:pt>
                <c:pt idx="236">
                  <c:v>96.692000000000007</c:v>
                </c:pt>
                <c:pt idx="237">
                  <c:v>97.307999999999993</c:v>
                </c:pt>
                <c:pt idx="238">
                  <c:v>98.236000000000004</c:v>
                </c:pt>
                <c:pt idx="239">
                  <c:v>96.073999999999998</c:v>
                </c:pt>
                <c:pt idx="240">
                  <c:v>96.073999999999998</c:v>
                </c:pt>
                <c:pt idx="241">
                  <c:v>97.153999999999996</c:v>
                </c:pt>
                <c:pt idx="242">
                  <c:v>97.308000000000007</c:v>
                </c:pt>
                <c:pt idx="243">
                  <c:v>96.691999999999993</c:v>
                </c:pt>
                <c:pt idx="244">
                  <c:v>97.617999999999995</c:v>
                </c:pt>
                <c:pt idx="245">
                  <c:v>97</c:v>
                </c:pt>
                <c:pt idx="246">
                  <c:v>96.227999999999994</c:v>
                </c:pt>
                <c:pt idx="247">
                  <c:v>97.462000000000003</c:v>
                </c:pt>
                <c:pt idx="248">
                  <c:v>97</c:v>
                </c:pt>
                <c:pt idx="249">
                  <c:v>97</c:v>
                </c:pt>
                <c:pt idx="250">
                  <c:v>97.31</c:v>
                </c:pt>
                <c:pt idx="251">
                  <c:v>96.536000000000001</c:v>
                </c:pt>
                <c:pt idx="252">
                  <c:v>97.153999999999996</c:v>
                </c:pt>
                <c:pt idx="253">
                  <c:v>96.846000000000004</c:v>
                </c:pt>
                <c:pt idx="254">
                  <c:v>97.463999999999999</c:v>
                </c:pt>
                <c:pt idx="255">
                  <c:v>96.69</c:v>
                </c:pt>
                <c:pt idx="256">
                  <c:v>97.31</c:v>
                </c:pt>
                <c:pt idx="257">
                  <c:v>96.69</c:v>
                </c:pt>
                <c:pt idx="258">
                  <c:v>97.153999999999996</c:v>
                </c:pt>
                <c:pt idx="259">
                  <c:v>97.31</c:v>
                </c:pt>
                <c:pt idx="260">
                  <c:v>96.536000000000001</c:v>
                </c:pt>
                <c:pt idx="261">
                  <c:v>97.617999999999995</c:v>
                </c:pt>
                <c:pt idx="262">
                  <c:v>98.39</c:v>
                </c:pt>
                <c:pt idx="263">
                  <c:v>95.61</c:v>
                </c:pt>
                <c:pt idx="264">
                  <c:v>95.61</c:v>
                </c:pt>
                <c:pt idx="265">
                  <c:v>97.772000000000006</c:v>
                </c:pt>
                <c:pt idx="266">
                  <c:v>96.846000000000004</c:v>
                </c:pt>
                <c:pt idx="267">
                  <c:v>97.307999999999993</c:v>
                </c:pt>
                <c:pt idx="268">
                  <c:v>97</c:v>
                </c:pt>
                <c:pt idx="269">
                  <c:v>97</c:v>
                </c:pt>
                <c:pt idx="270">
                  <c:v>96.846000000000004</c:v>
                </c:pt>
                <c:pt idx="271">
                  <c:v>97.31</c:v>
                </c:pt>
                <c:pt idx="272">
                  <c:v>96.843999999999994</c:v>
                </c:pt>
                <c:pt idx="273">
                  <c:v>97</c:v>
                </c:pt>
                <c:pt idx="274">
                  <c:v>97.156000000000006</c:v>
                </c:pt>
                <c:pt idx="275">
                  <c:v>96.69</c:v>
                </c:pt>
                <c:pt idx="276">
                  <c:v>97.153999999999996</c:v>
                </c:pt>
                <c:pt idx="277">
                  <c:v>97.31</c:v>
                </c:pt>
                <c:pt idx="278">
                  <c:v>96.69</c:v>
                </c:pt>
                <c:pt idx="279">
                  <c:v>97.31</c:v>
                </c:pt>
                <c:pt idx="280">
                  <c:v>97</c:v>
                </c:pt>
                <c:pt idx="281">
                  <c:v>96.536000000000001</c:v>
                </c:pt>
                <c:pt idx="282">
                  <c:v>97.463999999999999</c:v>
                </c:pt>
                <c:pt idx="283">
                  <c:v>97.463999999999999</c:v>
                </c:pt>
                <c:pt idx="284">
                  <c:v>98.543999999999997</c:v>
                </c:pt>
                <c:pt idx="285">
                  <c:v>95.3</c:v>
                </c:pt>
                <c:pt idx="286">
                  <c:v>94.992000000000004</c:v>
                </c:pt>
                <c:pt idx="287">
                  <c:v>98.39</c:v>
                </c:pt>
                <c:pt idx="288">
                  <c:v>96.846000000000004</c:v>
                </c:pt>
                <c:pt idx="289">
                  <c:v>97.153999999999996</c:v>
                </c:pt>
                <c:pt idx="290">
                  <c:v>97.774000000000001</c:v>
                </c:pt>
                <c:pt idx="291">
                  <c:v>96.072000000000003</c:v>
                </c:pt>
                <c:pt idx="292">
                  <c:v>97.31</c:v>
                </c:pt>
                <c:pt idx="293">
                  <c:v>96.843999999999994</c:v>
                </c:pt>
                <c:pt idx="294">
                  <c:v>97.31</c:v>
                </c:pt>
                <c:pt idx="295">
                  <c:v>96.846000000000004</c:v>
                </c:pt>
                <c:pt idx="296">
                  <c:v>97</c:v>
                </c:pt>
                <c:pt idx="297">
                  <c:v>97.308000000000007</c:v>
                </c:pt>
                <c:pt idx="298">
                  <c:v>96.382000000000005</c:v>
                </c:pt>
                <c:pt idx="299">
                  <c:v>97.772000000000006</c:v>
                </c:pt>
                <c:pt idx="300">
                  <c:v>96.691999999999993</c:v>
                </c:pt>
                <c:pt idx="301">
                  <c:v>96.536000000000001</c:v>
                </c:pt>
                <c:pt idx="302">
                  <c:v>97.31</c:v>
                </c:pt>
                <c:pt idx="303">
                  <c:v>97.462000000000003</c:v>
                </c:pt>
                <c:pt idx="304">
                  <c:v>99.007999999999996</c:v>
                </c:pt>
                <c:pt idx="305">
                  <c:v>97.156000000000006</c:v>
                </c:pt>
                <c:pt idx="306">
                  <c:v>94.528000000000006</c:v>
                </c:pt>
                <c:pt idx="307">
                  <c:v>95.61</c:v>
                </c:pt>
                <c:pt idx="308">
                  <c:v>97.772000000000006</c:v>
                </c:pt>
                <c:pt idx="309">
                  <c:v>96.382000000000005</c:v>
                </c:pt>
                <c:pt idx="310">
                  <c:v>98.236000000000004</c:v>
                </c:pt>
                <c:pt idx="311">
                  <c:v>97.463999999999999</c:v>
                </c:pt>
                <c:pt idx="312">
                  <c:v>96.225999999999999</c:v>
                </c:pt>
                <c:pt idx="313">
                  <c:v>96.692000000000007</c:v>
                </c:pt>
                <c:pt idx="314">
                  <c:v>97.307999999999993</c:v>
                </c:pt>
                <c:pt idx="315">
                  <c:v>97.463999999999999</c:v>
                </c:pt>
                <c:pt idx="316">
                  <c:v>96.846000000000004</c:v>
                </c:pt>
                <c:pt idx="317">
                  <c:v>96.69</c:v>
                </c:pt>
                <c:pt idx="318">
                  <c:v>97.31</c:v>
                </c:pt>
                <c:pt idx="319">
                  <c:v>97.153999999999996</c:v>
                </c:pt>
                <c:pt idx="320">
                  <c:v>96.691999999999993</c:v>
                </c:pt>
                <c:pt idx="321">
                  <c:v>97.153999999999996</c:v>
                </c:pt>
                <c:pt idx="322">
                  <c:v>97</c:v>
                </c:pt>
                <c:pt idx="323">
                  <c:v>97.308000000000007</c:v>
                </c:pt>
                <c:pt idx="324">
                  <c:v>96.691999999999993</c:v>
                </c:pt>
                <c:pt idx="325">
                  <c:v>100.708</c:v>
                </c:pt>
                <c:pt idx="326">
                  <c:v>97.462000000000003</c:v>
                </c:pt>
                <c:pt idx="327">
                  <c:v>95.302000000000007</c:v>
                </c:pt>
                <c:pt idx="328">
                  <c:v>93.292000000000002</c:v>
                </c:pt>
                <c:pt idx="329">
                  <c:v>98.236000000000004</c:v>
                </c:pt>
                <c:pt idx="330">
                  <c:v>95.146000000000001</c:v>
                </c:pt>
                <c:pt idx="331">
                  <c:v>97.153999999999996</c:v>
                </c:pt>
                <c:pt idx="332">
                  <c:v>98.546000000000006</c:v>
                </c:pt>
                <c:pt idx="333">
                  <c:v>96.382000000000005</c:v>
                </c:pt>
                <c:pt idx="334">
                  <c:v>96.536000000000001</c:v>
                </c:pt>
                <c:pt idx="335">
                  <c:v>97.926000000000002</c:v>
                </c:pt>
                <c:pt idx="336">
                  <c:v>97.156000000000006</c:v>
                </c:pt>
                <c:pt idx="337">
                  <c:v>96.69</c:v>
                </c:pt>
                <c:pt idx="338">
                  <c:v>97.927999999999997</c:v>
                </c:pt>
                <c:pt idx="339">
                  <c:v>96.382000000000005</c:v>
                </c:pt>
                <c:pt idx="340">
                  <c:v>97.153999999999996</c:v>
                </c:pt>
                <c:pt idx="341">
                  <c:v>96.846000000000004</c:v>
                </c:pt>
                <c:pt idx="342">
                  <c:v>97.153999999999996</c:v>
                </c:pt>
                <c:pt idx="343">
                  <c:v>97</c:v>
                </c:pt>
                <c:pt idx="344">
                  <c:v>97.308000000000007</c:v>
                </c:pt>
                <c:pt idx="345">
                  <c:v>97</c:v>
                </c:pt>
                <c:pt idx="346">
                  <c:v>96.846000000000004</c:v>
                </c:pt>
                <c:pt idx="347">
                  <c:v>98.7</c:v>
                </c:pt>
                <c:pt idx="348">
                  <c:v>100.86199999999999</c:v>
                </c:pt>
                <c:pt idx="349">
                  <c:v>95.763999999999996</c:v>
                </c:pt>
                <c:pt idx="350">
                  <c:v>92.52</c:v>
                </c:pt>
                <c:pt idx="351">
                  <c:v>97.772000000000006</c:v>
                </c:pt>
                <c:pt idx="352">
                  <c:v>96.073999999999998</c:v>
                </c:pt>
                <c:pt idx="353">
                  <c:v>95.763999999999996</c:v>
                </c:pt>
                <c:pt idx="354">
                  <c:v>98.236000000000004</c:v>
                </c:pt>
                <c:pt idx="355">
                  <c:v>96.536000000000001</c:v>
                </c:pt>
                <c:pt idx="356">
                  <c:v>96.536000000000001</c:v>
                </c:pt>
                <c:pt idx="357">
                  <c:v>96.537999999999997</c:v>
                </c:pt>
                <c:pt idx="358">
                  <c:v>97.616</c:v>
                </c:pt>
                <c:pt idx="359">
                  <c:v>97.156000000000006</c:v>
                </c:pt>
                <c:pt idx="360">
                  <c:v>96.843999999999994</c:v>
                </c:pt>
                <c:pt idx="361">
                  <c:v>97.927999999999997</c:v>
                </c:pt>
                <c:pt idx="362">
                  <c:v>97</c:v>
                </c:pt>
                <c:pt idx="363">
                  <c:v>97</c:v>
                </c:pt>
                <c:pt idx="364">
                  <c:v>97.463999999999999</c:v>
                </c:pt>
                <c:pt idx="365">
                  <c:v>96.382000000000005</c:v>
                </c:pt>
                <c:pt idx="366">
                  <c:v>97.308000000000007</c:v>
                </c:pt>
                <c:pt idx="367">
                  <c:v>96.846000000000004</c:v>
                </c:pt>
                <c:pt idx="368">
                  <c:v>97.153999999999996</c:v>
                </c:pt>
                <c:pt idx="369">
                  <c:v>98.7</c:v>
                </c:pt>
                <c:pt idx="370">
                  <c:v>101.47799999999999</c:v>
                </c:pt>
                <c:pt idx="371">
                  <c:v>95.456000000000003</c:v>
                </c:pt>
                <c:pt idx="372">
                  <c:v>93.138000000000005</c:v>
                </c:pt>
                <c:pt idx="373">
                  <c:v>97.772000000000006</c:v>
                </c:pt>
                <c:pt idx="374">
                  <c:v>96.384</c:v>
                </c:pt>
                <c:pt idx="375">
                  <c:v>96.072000000000003</c:v>
                </c:pt>
                <c:pt idx="376">
                  <c:v>96.846000000000004</c:v>
                </c:pt>
                <c:pt idx="377">
                  <c:v>96.69</c:v>
                </c:pt>
                <c:pt idx="378">
                  <c:v>96.227999999999994</c:v>
                </c:pt>
                <c:pt idx="379">
                  <c:v>97.153999999999996</c:v>
                </c:pt>
                <c:pt idx="380">
                  <c:v>96.384</c:v>
                </c:pt>
                <c:pt idx="381">
                  <c:v>97.616</c:v>
                </c:pt>
                <c:pt idx="382">
                  <c:v>97</c:v>
                </c:pt>
                <c:pt idx="383">
                  <c:v>97.156000000000006</c:v>
                </c:pt>
                <c:pt idx="384">
                  <c:v>97.462000000000003</c:v>
                </c:pt>
                <c:pt idx="385">
                  <c:v>97</c:v>
                </c:pt>
                <c:pt idx="386">
                  <c:v>96.846000000000004</c:v>
                </c:pt>
                <c:pt idx="387">
                  <c:v>97.617999999999995</c:v>
                </c:pt>
                <c:pt idx="388">
                  <c:v>96.846000000000004</c:v>
                </c:pt>
                <c:pt idx="389">
                  <c:v>100.244</c:v>
                </c:pt>
                <c:pt idx="390">
                  <c:v>100.55200000000001</c:v>
                </c:pt>
                <c:pt idx="391">
                  <c:v>93.912000000000006</c:v>
                </c:pt>
                <c:pt idx="392">
                  <c:v>95.763999999999996</c:v>
                </c:pt>
                <c:pt idx="393">
                  <c:v>95.61</c:v>
                </c:pt>
                <c:pt idx="394">
                  <c:v>94.835999999999999</c:v>
                </c:pt>
                <c:pt idx="395">
                  <c:v>98.081999999999994</c:v>
                </c:pt>
                <c:pt idx="396">
                  <c:v>96.69</c:v>
                </c:pt>
                <c:pt idx="397">
                  <c:v>96.537999999999997</c:v>
                </c:pt>
                <c:pt idx="398">
                  <c:v>97.153999999999996</c:v>
                </c:pt>
                <c:pt idx="399">
                  <c:v>97</c:v>
                </c:pt>
                <c:pt idx="400">
                  <c:v>96.846000000000004</c:v>
                </c:pt>
                <c:pt idx="401">
                  <c:v>96.843999999999994</c:v>
                </c:pt>
                <c:pt idx="402">
                  <c:v>97.617999999999995</c:v>
                </c:pt>
                <c:pt idx="403">
                  <c:v>96.537999999999997</c:v>
                </c:pt>
                <c:pt idx="404">
                  <c:v>97.462000000000003</c:v>
                </c:pt>
                <c:pt idx="405">
                  <c:v>97</c:v>
                </c:pt>
                <c:pt idx="406">
                  <c:v>97</c:v>
                </c:pt>
                <c:pt idx="407">
                  <c:v>97.156000000000006</c:v>
                </c:pt>
                <c:pt idx="408">
                  <c:v>97.153999999999996</c:v>
                </c:pt>
                <c:pt idx="409">
                  <c:v>100.86199999999999</c:v>
                </c:pt>
                <c:pt idx="410">
                  <c:v>100.55200000000001</c:v>
                </c:pt>
                <c:pt idx="411">
                  <c:v>93.447999999999993</c:v>
                </c:pt>
                <c:pt idx="412">
                  <c:v>94.373999999999995</c:v>
                </c:pt>
                <c:pt idx="413">
                  <c:v>96.072000000000003</c:v>
                </c:pt>
                <c:pt idx="414">
                  <c:v>95.92</c:v>
                </c:pt>
                <c:pt idx="415">
                  <c:v>97.308000000000007</c:v>
                </c:pt>
                <c:pt idx="416">
                  <c:v>97.617999999999995</c:v>
                </c:pt>
                <c:pt idx="417">
                  <c:v>96.691999999999993</c:v>
                </c:pt>
                <c:pt idx="418">
                  <c:v>96.843999999999994</c:v>
                </c:pt>
                <c:pt idx="419">
                  <c:v>97</c:v>
                </c:pt>
                <c:pt idx="420">
                  <c:v>97</c:v>
                </c:pt>
                <c:pt idx="421">
                  <c:v>97.156000000000006</c:v>
                </c:pt>
                <c:pt idx="422">
                  <c:v>96.69</c:v>
                </c:pt>
                <c:pt idx="423">
                  <c:v>97.153999999999996</c:v>
                </c:pt>
                <c:pt idx="424">
                  <c:v>97.156000000000006</c:v>
                </c:pt>
                <c:pt idx="425">
                  <c:v>97.308000000000007</c:v>
                </c:pt>
                <c:pt idx="426">
                  <c:v>96.073999999999998</c:v>
                </c:pt>
                <c:pt idx="427">
                  <c:v>97.926000000000002</c:v>
                </c:pt>
                <c:pt idx="428">
                  <c:v>96.382000000000005</c:v>
                </c:pt>
                <c:pt idx="429">
                  <c:v>97.617999999999995</c:v>
                </c:pt>
                <c:pt idx="430">
                  <c:v>101.01600000000001</c:v>
                </c:pt>
                <c:pt idx="431">
                  <c:v>99.317999999999998</c:v>
                </c:pt>
                <c:pt idx="432">
                  <c:v>92.52</c:v>
                </c:pt>
                <c:pt idx="433">
                  <c:v>95.763999999999996</c:v>
                </c:pt>
                <c:pt idx="434">
                  <c:v>96.382000000000005</c:v>
                </c:pt>
                <c:pt idx="435">
                  <c:v>96.073999999999998</c:v>
                </c:pt>
                <c:pt idx="436">
                  <c:v>97.926000000000002</c:v>
                </c:pt>
                <c:pt idx="437">
                  <c:v>97.153999999999996</c:v>
                </c:pt>
                <c:pt idx="438">
                  <c:v>97</c:v>
                </c:pt>
                <c:pt idx="439">
                  <c:v>96.691999999999993</c:v>
                </c:pt>
                <c:pt idx="440">
                  <c:v>96.846000000000004</c:v>
                </c:pt>
                <c:pt idx="441">
                  <c:v>97.153999999999996</c:v>
                </c:pt>
                <c:pt idx="442">
                  <c:v>97</c:v>
                </c:pt>
                <c:pt idx="443">
                  <c:v>97.153999999999996</c:v>
                </c:pt>
                <c:pt idx="444">
                  <c:v>97</c:v>
                </c:pt>
                <c:pt idx="445">
                  <c:v>96.846000000000004</c:v>
                </c:pt>
                <c:pt idx="446">
                  <c:v>97</c:v>
                </c:pt>
                <c:pt idx="447">
                  <c:v>97</c:v>
                </c:pt>
                <c:pt idx="448">
                  <c:v>97</c:v>
                </c:pt>
                <c:pt idx="449">
                  <c:v>96.846000000000004</c:v>
                </c:pt>
                <c:pt idx="450">
                  <c:v>100.706</c:v>
                </c:pt>
                <c:pt idx="451">
                  <c:v>98.39</c:v>
                </c:pt>
                <c:pt idx="452">
                  <c:v>93.602000000000004</c:v>
                </c:pt>
                <c:pt idx="453">
                  <c:v>96.073999999999998</c:v>
                </c:pt>
                <c:pt idx="454">
                  <c:v>96.69</c:v>
                </c:pt>
                <c:pt idx="455">
                  <c:v>96.227999999999994</c:v>
                </c:pt>
                <c:pt idx="456">
                  <c:v>97.617999999999995</c:v>
                </c:pt>
                <c:pt idx="457">
                  <c:v>97.772000000000006</c:v>
                </c:pt>
                <c:pt idx="458">
                  <c:v>95.763999999999996</c:v>
                </c:pt>
                <c:pt idx="459">
                  <c:v>97.774000000000001</c:v>
                </c:pt>
                <c:pt idx="460">
                  <c:v>96.69</c:v>
                </c:pt>
                <c:pt idx="461">
                  <c:v>97.153999999999996</c:v>
                </c:pt>
                <c:pt idx="462">
                  <c:v>97</c:v>
                </c:pt>
                <c:pt idx="463">
                  <c:v>96.846000000000004</c:v>
                </c:pt>
                <c:pt idx="464">
                  <c:v>96.846000000000004</c:v>
                </c:pt>
                <c:pt idx="465">
                  <c:v>97.617999999999995</c:v>
                </c:pt>
                <c:pt idx="466">
                  <c:v>96.846000000000004</c:v>
                </c:pt>
                <c:pt idx="467">
                  <c:v>96.072000000000003</c:v>
                </c:pt>
                <c:pt idx="468">
                  <c:v>98.546000000000006</c:v>
                </c:pt>
                <c:pt idx="469">
                  <c:v>100.242</c:v>
                </c:pt>
                <c:pt idx="470">
                  <c:v>94.683999999999997</c:v>
                </c:pt>
                <c:pt idx="471">
                  <c:v>95.763999999999996</c:v>
                </c:pt>
                <c:pt idx="472">
                  <c:v>97</c:v>
                </c:pt>
                <c:pt idx="473">
                  <c:v>95.763999999999996</c:v>
                </c:pt>
                <c:pt idx="474">
                  <c:v>98.081999999999994</c:v>
                </c:pt>
                <c:pt idx="475">
                  <c:v>96.846000000000004</c:v>
                </c:pt>
                <c:pt idx="476">
                  <c:v>97</c:v>
                </c:pt>
                <c:pt idx="477">
                  <c:v>97.153999999999996</c:v>
                </c:pt>
                <c:pt idx="478">
                  <c:v>96.382000000000005</c:v>
                </c:pt>
                <c:pt idx="479">
                  <c:v>97.153999999999996</c:v>
                </c:pt>
                <c:pt idx="480">
                  <c:v>97.31</c:v>
                </c:pt>
                <c:pt idx="481">
                  <c:v>97</c:v>
                </c:pt>
                <c:pt idx="482">
                  <c:v>97</c:v>
                </c:pt>
                <c:pt idx="483">
                  <c:v>96.843999999999994</c:v>
                </c:pt>
                <c:pt idx="484">
                  <c:v>97</c:v>
                </c:pt>
                <c:pt idx="485">
                  <c:v>97.31</c:v>
                </c:pt>
                <c:pt idx="486">
                  <c:v>96.536000000000001</c:v>
                </c:pt>
                <c:pt idx="487">
                  <c:v>97.772000000000006</c:v>
                </c:pt>
                <c:pt idx="488">
                  <c:v>99.781999999999996</c:v>
                </c:pt>
                <c:pt idx="489">
                  <c:v>95.3</c:v>
                </c:pt>
                <c:pt idx="490">
                  <c:v>96.073999999999998</c:v>
                </c:pt>
                <c:pt idx="491">
                  <c:v>96.69</c:v>
                </c:pt>
                <c:pt idx="492">
                  <c:v>96.536000000000001</c:v>
                </c:pt>
                <c:pt idx="493">
                  <c:v>97</c:v>
                </c:pt>
                <c:pt idx="494">
                  <c:v>97.31</c:v>
                </c:pt>
                <c:pt idx="495">
                  <c:v>96.69</c:v>
                </c:pt>
                <c:pt idx="496">
                  <c:v>97.156000000000006</c:v>
                </c:pt>
                <c:pt idx="497">
                  <c:v>97.153999999999996</c:v>
                </c:pt>
                <c:pt idx="498">
                  <c:v>96.846000000000004</c:v>
                </c:pt>
                <c:pt idx="499">
                  <c:v>97</c:v>
                </c:pt>
                <c:pt idx="500">
                  <c:v>97</c:v>
                </c:pt>
                <c:pt idx="501">
                  <c:v>97</c:v>
                </c:pt>
                <c:pt idx="502">
                  <c:v>97</c:v>
                </c:pt>
                <c:pt idx="503">
                  <c:v>97</c:v>
                </c:pt>
                <c:pt idx="504">
                  <c:v>97</c:v>
                </c:pt>
                <c:pt idx="505">
                  <c:v>96.843999999999994</c:v>
                </c:pt>
                <c:pt idx="506">
                  <c:v>97.463999999999999</c:v>
                </c:pt>
                <c:pt idx="507">
                  <c:v>96.536000000000001</c:v>
                </c:pt>
                <c:pt idx="508">
                  <c:v>97</c:v>
                </c:pt>
                <c:pt idx="509">
                  <c:v>99.626000000000005</c:v>
                </c:pt>
                <c:pt idx="510">
                  <c:v>97.156000000000006</c:v>
                </c:pt>
                <c:pt idx="511">
                  <c:v>95.3</c:v>
                </c:pt>
                <c:pt idx="512">
                  <c:v>96.073999999999998</c:v>
                </c:pt>
                <c:pt idx="513">
                  <c:v>97.617999999999995</c:v>
                </c:pt>
                <c:pt idx="514">
                  <c:v>96.225999999999999</c:v>
                </c:pt>
                <c:pt idx="515">
                  <c:v>97.156000000000006</c:v>
                </c:pt>
                <c:pt idx="516">
                  <c:v>97.308000000000007</c:v>
                </c:pt>
                <c:pt idx="517">
                  <c:v>97</c:v>
                </c:pt>
                <c:pt idx="518">
                  <c:v>96.382000000000005</c:v>
                </c:pt>
                <c:pt idx="519">
                  <c:v>97.617999999999995</c:v>
                </c:pt>
                <c:pt idx="520">
                  <c:v>96.691999999999993</c:v>
                </c:pt>
                <c:pt idx="521">
                  <c:v>97</c:v>
                </c:pt>
                <c:pt idx="522">
                  <c:v>97.308000000000007</c:v>
                </c:pt>
                <c:pt idx="523">
                  <c:v>96.846000000000004</c:v>
                </c:pt>
                <c:pt idx="524">
                  <c:v>96.536000000000001</c:v>
                </c:pt>
                <c:pt idx="525">
                  <c:v>84.024000000000001</c:v>
                </c:pt>
                <c:pt idx="526">
                  <c:v>83.561999999999998</c:v>
                </c:pt>
                <c:pt idx="527">
                  <c:v>105.96</c:v>
                </c:pt>
                <c:pt idx="528">
                  <c:v>100.244</c:v>
                </c:pt>
                <c:pt idx="529">
                  <c:v>99.162000000000006</c:v>
                </c:pt>
                <c:pt idx="530">
                  <c:v>99.162000000000006</c:v>
                </c:pt>
                <c:pt idx="531">
                  <c:v>99.162000000000006</c:v>
                </c:pt>
                <c:pt idx="532">
                  <c:v>98.081999999999994</c:v>
                </c:pt>
                <c:pt idx="533">
                  <c:v>97.31</c:v>
                </c:pt>
                <c:pt idx="534">
                  <c:v>98.08</c:v>
                </c:pt>
                <c:pt idx="535">
                  <c:v>96.846000000000004</c:v>
                </c:pt>
                <c:pt idx="536">
                  <c:v>97.926000000000002</c:v>
                </c:pt>
                <c:pt idx="537">
                  <c:v>97.617999999999995</c:v>
                </c:pt>
                <c:pt idx="538">
                  <c:v>97.463999999999999</c:v>
                </c:pt>
                <c:pt idx="539">
                  <c:v>97.772000000000006</c:v>
                </c:pt>
                <c:pt idx="540">
                  <c:v>97</c:v>
                </c:pt>
                <c:pt idx="541">
                  <c:v>97.463999999999999</c:v>
                </c:pt>
                <c:pt idx="542">
                  <c:v>97.307999999999993</c:v>
                </c:pt>
                <c:pt idx="543">
                  <c:v>97.156000000000006</c:v>
                </c:pt>
                <c:pt idx="544">
                  <c:v>97.462000000000003</c:v>
                </c:pt>
                <c:pt idx="545">
                  <c:v>97</c:v>
                </c:pt>
                <c:pt idx="546">
                  <c:v>97.772000000000006</c:v>
                </c:pt>
                <c:pt idx="547">
                  <c:v>96.537999999999997</c:v>
                </c:pt>
                <c:pt idx="548">
                  <c:v>97.617999999999995</c:v>
                </c:pt>
                <c:pt idx="549">
                  <c:v>97</c:v>
                </c:pt>
                <c:pt idx="550">
                  <c:v>97</c:v>
                </c:pt>
                <c:pt idx="551">
                  <c:v>97.617999999999995</c:v>
                </c:pt>
                <c:pt idx="552">
                  <c:v>96.69</c:v>
                </c:pt>
                <c:pt idx="553">
                  <c:v>97.31</c:v>
                </c:pt>
                <c:pt idx="554">
                  <c:v>97.153999999999996</c:v>
                </c:pt>
                <c:pt idx="555">
                  <c:v>96.227999999999994</c:v>
                </c:pt>
                <c:pt idx="556">
                  <c:v>98.08</c:v>
                </c:pt>
                <c:pt idx="557">
                  <c:v>96.537999999999997</c:v>
                </c:pt>
                <c:pt idx="558">
                  <c:v>97.153999999999996</c:v>
                </c:pt>
                <c:pt idx="559">
                  <c:v>96.846000000000004</c:v>
                </c:pt>
                <c:pt idx="560">
                  <c:v>97.308000000000007</c:v>
                </c:pt>
                <c:pt idx="561">
                  <c:v>96.691999999999993</c:v>
                </c:pt>
                <c:pt idx="562">
                  <c:v>97.153999999999996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95-4300-9144-E0EB9E5FA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955920"/>
        <c:axId val="313953424"/>
      </c:scatterChart>
      <c:valAx>
        <c:axId val="313955920"/>
        <c:scaling>
          <c:orientation val="minMax"/>
          <c:max val="550"/>
          <c:min val="2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3953424"/>
        <c:crosses val="autoZero"/>
        <c:crossBetween val="midCat"/>
      </c:valAx>
      <c:valAx>
        <c:axId val="313953424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395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Gandy 140/90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Hoja1!$BH$2:$BH$696</c:f>
              <c:numCache>
                <c:formatCode>General</c:formatCode>
                <c:ptCount val="6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</c:numCache>
            </c:numRef>
          </c:xVal>
          <c:yVal>
            <c:numRef>
              <c:f>Hoja1!$BI$2:$BI$696</c:f>
              <c:numCache>
                <c:formatCode>General</c:formatCode>
                <c:ptCount val="695"/>
                <c:pt idx="0">
                  <c:v>0.62</c:v>
                </c:pt>
                <c:pt idx="1">
                  <c:v>1.04</c:v>
                </c:pt>
                <c:pt idx="2">
                  <c:v>1.2</c:v>
                </c:pt>
                <c:pt idx="3">
                  <c:v>1.2</c:v>
                </c:pt>
                <c:pt idx="4">
                  <c:v>1.27</c:v>
                </c:pt>
                <c:pt idx="5">
                  <c:v>1.27</c:v>
                </c:pt>
                <c:pt idx="6">
                  <c:v>1.51</c:v>
                </c:pt>
                <c:pt idx="7">
                  <c:v>1.66</c:v>
                </c:pt>
                <c:pt idx="8">
                  <c:v>1.74</c:v>
                </c:pt>
                <c:pt idx="9">
                  <c:v>1.97</c:v>
                </c:pt>
                <c:pt idx="10">
                  <c:v>2.09</c:v>
                </c:pt>
                <c:pt idx="11">
                  <c:v>2.3199999999999998</c:v>
                </c:pt>
                <c:pt idx="12">
                  <c:v>2.5499999999999998</c:v>
                </c:pt>
                <c:pt idx="13">
                  <c:v>2.74</c:v>
                </c:pt>
                <c:pt idx="14">
                  <c:v>2.93</c:v>
                </c:pt>
                <c:pt idx="15">
                  <c:v>3.17</c:v>
                </c:pt>
                <c:pt idx="16">
                  <c:v>3.36</c:v>
                </c:pt>
                <c:pt idx="17">
                  <c:v>3.59</c:v>
                </c:pt>
                <c:pt idx="18">
                  <c:v>3.82</c:v>
                </c:pt>
                <c:pt idx="19">
                  <c:v>4.13</c:v>
                </c:pt>
                <c:pt idx="20">
                  <c:v>4.3600000000000003</c:v>
                </c:pt>
                <c:pt idx="21">
                  <c:v>4.63</c:v>
                </c:pt>
                <c:pt idx="22">
                  <c:v>4.79</c:v>
                </c:pt>
                <c:pt idx="23">
                  <c:v>5.21</c:v>
                </c:pt>
                <c:pt idx="24">
                  <c:v>5.48</c:v>
                </c:pt>
                <c:pt idx="25">
                  <c:v>5.72</c:v>
                </c:pt>
                <c:pt idx="26">
                  <c:v>6.06</c:v>
                </c:pt>
                <c:pt idx="27">
                  <c:v>6.18</c:v>
                </c:pt>
                <c:pt idx="28">
                  <c:v>6.49</c:v>
                </c:pt>
                <c:pt idx="29">
                  <c:v>6.64</c:v>
                </c:pt>
                <c:pt idx="30">
                  <c:v>7.03</c:v>
                </c:pt>
                <c:pt idx="31">
                  <c:v>7.26</c:v>
                </c:pt>
                <c:pt idx="32">
                  <c:v>7.57</c:v>
                </c:pt>
                <c:pt idx="33">
                  <c:v>7.8</c:v>
                </c:pt>
                <c:pt idx="34">
                  <c:v>7.96</c:v>
                </c:pt>
                <c:pt idx="35">
                  <c:v>8.3800000000000008</c:v>
                </c:pt>
                <c:pt idx="36">
                  <c:v>8.57</c:v>
                </c:pt>
                <c:pt idx="37">
                  <c:v>9</c:v>
                </c:pt>
                <c:pt idx="38">
                  <c:v>9.23</c:v>
                </c:pt>
                <c:pt idx="39">
                  <c:v>9.5</c:v>
                </c:pt>
                <c:pt idx="40">
                  <c:v>9.77</c:v>
                </c:pt>
                <c:pt idx="41">
                  <c:v>10.08</c:v>
                </c:pt>
                <c:pt idx="42">
                  <c:v>10.43</c:v>
                </c:pt>
                <c:pt idx="43">
                  <c:v>10.58</c:v>
                </c:pt>
                <c:pt idx="44">
                  <c:v>11.04</c:v>
                </c:pt>
                <c:pt idx="45">
                  <c:v>11.24</c:v>
                </c:pt>
                <c:pt idx="46">
                  <c:v>11.59</c:v>
                </c:pt>
                <c:pt idx="47">
                  <c:v>11.89</c:v>
                </c:pt>
                <c:pt idx="48">
                  <c:v>12.13</c:v>
                </c:pt>
                <c:pt idx="49">
                  <c:v>12.67</c:v>
                </c:pt>
                <c:pt idx="50">
                  <c:v>12.94</c:v>
                </c:pt>
                <c:pt idx="51">
                  <c:v>13.36</c:v>
                </c:pt>
                <c:pt idx="52">
                  <c:v>13.67</c:v>
                </c:pt>
                <c:pt idx="53">
                  <c:v>14.02</c:v>
                </c:pt>
                <c:pt idx="54">
                  <c:v>14.48</c:v>
                </c:pt>
                <c:pt idx="55">
                  <c:v>14.79</c:v>
                </c:pt>
                <c:pt idx="56">
                  <c:v>15.29</c:v>
                </c:pt>
                <c:pt idx="57">
                  <c:v>15.64</c:v>
                </c:pt>
                <c:pt idx="58">
                  <c:v>16.100000000000001</c:v>
                </c:pt>
                <c:pt idx="59">
                  <c:v>16.53</c:v>
                </c:pt>
                <c:pt idx="60">
                  <c:v>16.989999999999998</c:v>
                </c:pt>
                <c:pt idx="61">
                  <c:v>17.489999999999998</c:v>
                </c:pt>
                <c:pt idx="62">
                  <c:v>18.07</c:v>
                </c:pt>
                <c:pt idx="63">
                  <c:v>18.61</c:v>
                </c:pt>
                <c:pt idx="64">
                  <c:v>18.920000000000002</c:v>
                </c:pt>
                <c:pt idx="65">
                  <c:v>19.46</c:v>
                </c:pt>
                <c:pt idx="66">
                  <c:v>19.850000000000001</c:v>
                </c:pt>
                <c:pt idx="67">
                  <c:v>20.51</c:v>
                </c:pt>
                <c:pt idx="68">
                  <c:v>20.85</c:v>
                </c:pt>
                <c:pt idx="69">
                  <c:v>21.47</c:v>
                </c:pt>
                <c:pt idx="70">
                  <c:v>21.78</c:v>
                </c:pt>
                <c:pt idx="71">
                  <c:v>22.28</c:v>
                </c:pt>
                <c:pt idx="72">
                  <c:v>22.9</c:v>
                </c:pt>
                <c:pt idx="73">
                  <c:v>23.32</c:v>
                </c:pt>
                <c:pt idx="74">
                  <c:v>23.98</c:v>
                </c:pt>
                <c:pt idx="75">
                  <c:v>24.41</c:v>
                </c:pt>
                <c:pt idx="76">
                  <c:v>25.02</c:v>
                </c:pt>
                <c:pt idx="77">
                  <c:v>25.41</c:v>
                </c:pt>
                <c:pt idx="78">
                  <c:v>25.87</c:v>
                </c:pt>
                <c:pt idx="79">
                  <c:v>26.3</c:v>
                </c:pt>
                <c:pt idx="80">
                  <c:v>26.95</c:v>
                </c:pt>
                <c:pt idx="81">
                  <c:v>27.38</c:v>
                </c:pt>
                <c:pt idx="82">
                  <c:v>28.11</c:v>
                </c:pt>
                <c:pt idx="83">
                  <c:v>28.58</c:v>
                </c:pt>
                <c:pt idx="84">
                  <c:v>29.08</c:v>
                </c:pt>
                <c:pt idx="85">
                  <c:v>29.54</c:v>
                </c:pt>
                <c:pt idx="86">
                  <c:v>30.04</c:v>
                </c:pt>
                <c:pt idx="87">
                  <c:v>30.66</c:v>
                </c:pt>
                <c:pt idx="88">
                  <c:v>31.28</c:v>
                </c:pt>
                <c:pt idx="89">
                  <c:v>31.82</c:v>
                </c:pt>
                <c:pt idx="90">
                  <c:v>32.25</c:v>
                </c:pt>
                <c:pt idx="91">
                  <c:v>32.75</c:v>
                </c:pt>
                <c:pt idx="92">
                  <c:v>33.25</c:v>
                </c:pt>
                <c:pt idx="93">
                  <c:v>33.71</c:v>
                </c:pt>
                <c:pt idx="94">
                  <c:v>34.18</c:v>
                </c:pt>
                <c:pt idx="95">
                  <c:v>34.64</c:v>
                </c:pt>
                <c:pt idx="96">
                  <c:v>35.06</c:v>
                </c:pt>
                <c:pt idx="97">
                  <c:v>35.68</c:v>
                </c:pt>
                <c:pt idx="98">
                  <c:v>36.11</c:v>
                </c:pt>
                <c:pt idx="99">
                  <c:v>36.72</c:v>
                </c:pt>
                <c:pt idx="100">
                  <c:v>37.270000000000003</c:v>
                </c:pt>
                <c:pt idx="101">
                  <c:v>38.04</c:v>
                </c:pt>
                <c:pt idx="102">
                  <c:v>38.659999999999997</c:v>
                </c:pt>
                <c:pt idx="103">
                  <c:v>39.35</c:v>
                </c:pt>
                <c:pt idx="104">
                  <c:v>39.93</c:v>
                </c:pt>
                <c:pt idx="105">
                  <c:v>40.619999999999997</c:v>
                </c:pt>
                <c:pt idx="106">
                  <c:v>41.36</c:v>
                </c:pt>
                <c:pt idx="107">
                  <c:v>41.94</c:v>
                </c:pt>
                <c:pt idx="108">
                  <c:v>42.56</c:v>
                </c:pt>
                <c:pt idx="109">
                  <c:v>43.21</c:v>
                </c:pt>
                <c:pt idx="110">
                  <c:v>43.75</c:v>
                </c:pt>
                <c:pt idx="111">
                  <c:v>44.45</c:v>
                </c:pt>
                <c:pt idx="112">
                  <c:v>45.18</c:v>
                </c:pt>
                <c:pt idx="113">
                  <c:v>46.26</c:v>
                </c:pt>
                <c:pt idx="114">
                  <c:v>47.11</c:v>
                </c:pt>
                <c:pt idx="115">
                  <c:v>47.88</c:v>
                </c:pt>
                <c:pt idx="116">
                  <c:v>48.54</c:v>
                </c:pt>
                <c:pt idx="117">
                  <c:v>49.28</c:v>
                </c:pt>
                <c:pt idx="118">
                  <c:v>50.01</c:v>
                </c:pt>
                <c:pt idx="119">
                  <c:v>50.94</c:v>
                </c:pt>
                <c:pt idx="120">
                  <c:v>51.75</c:v>
                </c:pt>
                <c:pt idx="121">
                  <c:v>52.44</c:v>
                </c:pt>
                <c:pt idx="122">
                  <c:v>53.06</c:v>
                </c:pt>
                <c:pt idx="123">
                  <c:v>53.75</c:v>
                </c:pt>
                <c:pt idx="124">
                  <c:v>54.57</c:v>
                </c:pt>
                <c:pt idx="125">
                  <c:v>55.49</c:v>
                </c:pt>
                <c:pt idx="126">
                  <c:v>56.54</c:v>
                </c:pt>
                <c:pt idx="127">
                  <c:v>57.35</c:v>
                </c:pt>
                <c:pt idx="128">
                  <c:v>58.12</c:v>
                </c:pt>
                <c:pt idx="129">
                  <c:v>58.77</c:v>
                </c:pt>
                <c:pt idx="130">
                  <c:v>59.62</c:v>
                </c:pt>
                <c:pt idx="131">
                  <c:v>60.47</c:v>
                </c:pt>
                <c:pt idx="132">
                  <c:v>61.36</c:v>
                </c:pt>
                <c:pt idx="133">
                  <c:v>61.98</c:v>
                </c:pt>
                <c:pt idx="134">
                  <c:v>62.68</c:v>
                </c:pt>
                <c:pt idx="135">
                  <c:v>63.41</c:v>
                </c:pt>
                <c:pt idx="136">
                  <c:v>64.260000000000005</c:v>
                </c:pt>
                <c:pt idx="137">
                  <c:v>65.03</c:v>
                </c:pt>
                <c:pt idx="138">
                  <c:v>66.11</c:v>
                </c:pt>
                <c:pt idx="139">
                  <c:v>67.23</c:v>
                </c:pt>
                <c:pt idx="140">
                  <c:v>68</c:v>
                </c:pt>
                <c:pt idx="141">
                  <c:v>68.78</c:v>
                </c:pt>
                <c:pt idx="142">
                  <c:v>69.510000000000005</c:v>
                </c:pt>
                <c:pt idx="143">
                  <c:v>70.13</c:v>
                </c:pt>
                <c:pt idx="144">
                  <c:v>71.06</c:v>
                </c:pt>
                <c:pt idx="145">
                  <c:v>71.87</c:v>
                </c:pt>
                <c:pt idx="146">
                  <c:v>72.599999999999994</c:v>
                </c:pt>
                <c:pt idx="147">
                  <c:v>73.33</c:v>
                </c:pt>
                <c:pt idx="148">
                  <c:v>73.95</c:v>
                </c:pt>
                <c:pt idx="149">
                  <c:v>74.8</c:v>
                </c:pt>
                <c:pt idx="150">
                  <c:v>75.650000000000006</c:v>
                </c:pt>
                <c:pt idx="151">
                  <c:v>76.62</c:v>
                </c:pt>
                <c:pt idx="152">
                  <c:v>78.2</c:v>
                </c:pt>
                <c:pt idx="153">
                  <c:v>79.2</c:v>
                </c:pt>
                <c:pt idx="154">
                  <c:v>79.86</c:v>
                </c:pt>
                <c:pt idx="155">
                  <c:v>80.52</c:v>
                </c:pt>
                <c:pt idx="156">
                  <c:v>81.25</c:v>
                </c:pt>
                <c:pt idx="157">
                  <c:v>82.1</c:v>
                </c:pt>
                <c:pt idx="158">
                  <c:v>82.95</c:v>
                </c:pt>
                <c:pt idx="159">
                  <c:v>83.64</c:v>
                </c:pt>
                <c:pt idx="160">
                  <c:v>84.42</c:v>
                </c:pt>
                <c:pt idx="161">
                  <c:v>85.07</c:v>
                </c:pt>
                <c:pt idx="162">
                  <c:v>85.73</c:v>
                </c:pt>
                <c:pt idx="163">
                  <c:v>86.27</c:v>
                </c:pt>
                <c:pt idx="164">
                  <c:v>86.89</c:v>
                </c:pt>
                <c:pt idx="165">
                  <c:v>88.63</c:v>
                </c:pt>
                <c:pt idx="166">
                  <c:v>90.21</c:v>
                </c:pt>
                <c:pt idx="167">
                  <c:v>91.1</c:v>
                </c:pt>
                <c:pt idx="168">
                  <c:v>91.83</c:v>
                </c:pt>
                <c:pt idx="169">
                  <c:v>92.33</c:v>
                </c:pt>
                <c:pt idx="170">
                  <c:v>92.99</c:v>
                </c:pt>
                <c:pt idx="171">
                  <c:v>93.72</c:v>
                </c:pt>
                <c:pt idx="172">
                  <c:v>94.38</c:v>
                </c:pt>
                <c:pt idx="173">
                  <c:v>94.92</c:v>
                </c:pt>
                <c:pt idx="174">
                  <c:v>95.58</c:v>
                </c:pt>
                <c:pt idx="175">
                  <c:v>96</c:v>
                </c:pt>
                <c:pt idx="176">
                  <c:v>96.74</c:v>
                </c:pt>
                <c:pt idx="177">
                  <c:v>97.55</c:v>
                </c:pt>
                <c:pt idx="178">
                  <c:v>99.4</c:v>
                </c:pt>
                <c:pt idx="179">
                  <c:v>101.1</c:v>
                </c:pt>
                <c:pt idx="180">
                  <c:v>102.3</c:v>
                </c:pt>
                <c:pt idx="181">
                  <c:v>102.95</c:v>
                </c:pt>
                <c:pt idx="182">
                  <c:v>103.38</c:v>
                </c:pt>
                <c:pt idx="183">
                  <c:v>103.84</c:v>
                </c:pt>
                <c:pt idx="184">
                  <c:v>104.34</c:v>
                </c:pt>
                <c:pt idx="185">
                  <c:v>104.77</c:v>
                </c:pt>
                <c:pt idx="186">
                  <c:v>105.42</c:v>
                </c:pt>
                <c:pt idx="187">
                  <c:v>106.2</c:v>
                </c:pt>
                <c:pt idx="188">
                  <c:v>106.97</c:v>
                </c:pt>
                <c:pt idx="189">
                  <c:v>107.66</c:v>
                </c:pt>
                <c:pt idx="190">
                  <c:v>108.59</c:v>
                </c:pt>
                <c:pt idx="191">
                  <c:v>110.52</c:v>
                </c:pt>
                <c:pt idx="192">
                  <c:v>112.07</c:v>
                </c:pt>
                <c:pt idx="193">
                  <c:v>113.26</c:v>
                </c:pt>
                <c:pt idx="194">
                  <c:v>114.11</c:v>
                </c:pt>
                <c:pt idx="195">
                  <c:v>114.38</c:v>
                </c:pt>
                <c:pt idx="196">
                  <c:v>114.65</c:v>
                </c:pt>
                <c:pt idx="197">
                  <c:v>114.96</c:v>
                </c:pt>
                <c:pt idx="198">
                  <c:v>115.54</c:v>
                </c:pt>
                <c:pt idx="199">
                  <c:v>116.39</c:v>
                </c:pt>
                <c:pt idx="200">
                  <c:v>117.16</c:v>
                </c:pt>
                <c:pt idx="201">
                  <c:v>117.9</c:v>
                </c:pt>
                <c:pt idx="202">
                  <c:v>118.59</c:v>
                </c:pt>
                <c:pt idx="203">
                  <c:v>119.4</c:v>
                </c:pt>
                <c:pt idx="204">
                  <c:v>121.06</c:v>
                </c:pt>
                <c:pt idx="205">
                  <c:v>122.49</c:v>
                </c:pt>
                <c:pt idx="206">
                  <c:v>123.27</c:v>
                </c:pt>
                <c:pt idx="207">
                  <c:v>123.88</c:v>
                </c:pt>
                <c:pt idx="208">
                  <c:v>124.08</c:v>
                </c:pt>
                <c:pt idx="209">
                  <c:v>124.69</c:v>
                </c:pt>
                <c:pt idx="210">
                  <c:v>125.43</c:v>
                </c:pt>
                <c:pt idx="211">
                  <c:v>126.16</c:v>
                </c:pt>
                <c:pt idx="212">
                  <c:v>126.9</c:v>
                </c:pt>
                <c:pt idx="213">
                  <c:v>127.71</c:v>
                </c:pt>
                <c:pt idx="214">
                  <c:v>128.4</c:v>
                </c:pt>
                <c:pt idx="215">
                  <c:v>129.06</c:v>
                </c:pt>
                <c:pt idx="216">
                  <c:v>129.75</c:v>
                </c:pt>
                <c:pt idx="217">
                  <c:v>130.94999999999999</c:v>
                </c:pt>
                <c:pt idx="218">
                  <c:v>132.22</c:v>
                </c:pt>
                <c:pt idx="219">
                  <c:v>132.88</c:v>
                </c:pt>
                <c:pt idx="220">
                  <c:v>133.27000000000001</c:v>
                </c:pt>
                <c:pt idx="221">
                  <c:v>133.46</c:v>
                </c:pt>
                <c:pt idx="222">
                  <c:v>134.35</c:v>
                </c:pt>
                <c:pt idx="223">
                  <c:v>135.16</c:v>
                </c:pt>
                <c:pt idx="224">
                  <c:v>135.78</c:v>
                </c:pt>
                <c:pt idx="225">
                  <c:v>136.55000000000001</c:v>
                </c:pt>
                <c:pt idx="226">
                  <c:v>137.13</c:v>
                </c:pt>
                <c:pt idx="227">
                  <c:v>137.97999999999999</c:v>
                </c:pt>
                <c:pt idx="228">
                  <c:v>138.75</c:v>
                </c:pt>
                <c:pt idx="229">
                  <c:v>139.68</c:v>
                </c:pt>
                <c:pt idx="230">
                  <c:v>140.91</c:v>
                </c:pt>
                <c:pt idx="231">
                  <c:v>141.99</c:v>
                </c:pt>
                <c:pt idx="232">
                  <c:v>142.41999999999999</c:v>
                </c:pt>
                <c:pt idx="233">
                  <c:v>142.81</c:v>
                </c:pt>
                <c:pt idx="234">
                  <c:v>143.19</c:v>
                </c:pt>
                <c:pt idx="235">
                  <c:v>144.08000000000001</c:v>
                </c:pt>
                <c:pt idx="236">
                  <c:v>145.01</c:v>
                </c:pt>
                <c:pt idx="237">
                  <c:v>145.69999999999999</c:v>
                </c:pt>
                <c:pt idx="238">
                  <c:v>146.36000000000001</c:v>
                </c:pt>
                <c:pt idx="239">
                  <c:v>146.86000000000001</c:v>
                </c:pt>
                <c:pt idx="240">
                  <c:v>147.47999999999999</c:v>
                </c:pt>
                <c:pt idx="241">
                  <c:v>148.29</c:v>
                </c:pt>
                <c:pt idx="242">
                  <c:v>149.1</c:v>
                </c:pt>
                <c:pt idx="243">
                  <c:v>150.30000000000001</c:v>
                </c:pt>
                <c:pt idx="244">
                  <c:v>151.03</c:v>
                </c:pt>
                <c:pt idx="245">
                  <c:v>151.61000000000001</c:v>
                </c:pt>
                <c:pt idx="246">
                  <c:v>152.34</c:v>
                </c:pt>
                <c:pt idx="247">
                  <c:v>152.91999999999999</c:v>
                </c:pt>
                <c:pt idx="248">
                  <c:v>153.5</c:v>
                </c:pt>
                <c:pt idx="249">
                  <c:v>154.04</c:v>
                </c:pt>
                <c:pt idx="250">
                  <c:v>154.88999999999999</c:v>
                </c:pt>
                <c:pt idx="251">
                  <c:v>155.69999999999999</c:v>
                </c:pt>
                <c:pt idx="252">
                  <c:v>156.28</c:v>
                </c:pt>
                <c:pt idx="253">
                  <c:v>156.94</c:v>
                </c:pt>
                <c:pt idx="254">
                  <c:v>157.87</c:v>
                </c:pt>
                <c:pt idx="255">
                  <c:v>158.68</c:v>
                </c:pt>
                <c:pt idx="256">
                  <c:v>159.49</c:v>
                </c:pt>
                <c:pt idx="257">
                  <c:v>160.65</c:v>
                </c:pt>
                <c:pt idx="258">
                  <c:v>161.30000000000001</c:v>
                </c:pt>
                <c:pt idx="259">
                  <c:v>161.72999999999999</c:v>
                </c:pt>
                <c:pt idx="260">
                  <c:v>162.27000000000001</c:v>
                </c:pt>
                <c:pt idx="261">
                  <c:v>163.22999999999999</c:v>
                </c:pt>
                <c:pt idx="262">
                  <c:v>163.69999999999999</c:v>
                </c:pt>
                <c:pt idx="263">
                  <c:v>164.35</c:v>
                </c:pt>
                <c:pt idx="264">
                  <c:v>165.32</c:v>
                </c:pt>
                <c:pt idx="265">
                  <c:v>165.74</c:v>
                </c:pt>
                <c:pt idx="266">
                  <c:v>166.52</c:v>
                </c:pt>
                <c:pt idx="267">
                  <c:v>167.33</c:v>
                </c:pt>
                <c:pt idx="268">
                  <c:v>167.71</c:v>
                </c:pt>
                <c:pt idx="269">
                  <c:v>168.64</c:v>
                </c:pt>
                <c:pt idx="270">
                  <c:v>168.72</c:v>
                </c:pt>
                <c:pt idx="271">
                  <c:v>168.02</c:v>
                </c:pt>
                <c:pt idx="272">
                  <c:v>167.21</c:v>
                </c:pt>
                <c:pt idx="273">
                  <c:v>166.25</c:v>
                </c:pt>
                <c:pt idx="274">
                  <c:v>165.67</c:v>
                </c:pt>
                <c:pt idx="275">
                  <c:v>164.93</c:v>
                </c:pt>
                <c:pt idx="276">
                  <c:v>164.28</c:v>
                </c:pt>
                <c:pt idx="277">
                  <c:v>163.66</c:v>
                </c:pt>
                <c:pt idx="278">
                  <c:v>163.08000000000001</c:v>
                </c:pt>
                <c:pt idx="279">
                  <c:v>162.46</c:v>
                </c:pt>
                <c:pt idx="280">
                  <c:v>161.91999999999999</c:v>
                </c:pt>
                <c:pt idx="281">
                  <c:v>161.34</c:v>
                </c:pt>
                <c:pt idx="282">
                  <c:v>161.26</c:v>
                </c:pt>
                <c:pt idx="283">
                  <c:v>160.88</c:v>
                </c:pt>
                <c:pt idx="284">
                  <c:v>160.26</c:v>
                </c:pt>
                <c:pt idx="285">
                  <c:v>159.76</c:v>
                </c:pt>
                <c:pt idx="286">
                  <c:v>159.13999999999999</c:v>
                </c:pt>
                <c:pt idx="287">
                  <c:v>158.72</c:v>
                </c:pt>
                <c:pt idx="288">
                  <c:v>158.16999999999999</c:v>
                </c:pt>
                <c:pt idx="289">
                  <c:v>157.63</c:v>
                </c:pt>
                <c:pt idx="290">
                  <c:v>157.25</c:v>
                </c:pt>
                <c:pt idx="291">
                  <c:v>156.66999999999999</c:v>
                </c:pt>
                <c:pt idx="292">
                  <c:v>156.21</c:v>
                </c:pt>
                <c:pt idx="293">
                  <c:v>155.82</c:v>
                </c:pt>
                <c:pt idx="294">
                  <c:v>155.43</c:v>
                </c:pt>
                <c:pt idx="295">
                  <c:v>155.47</c:v>
                </c:pt>
                <c:pt idx="296">
                  <c:v>155.19999999999999</c:v>
                </c:pt>
                <c:pt idx="297">
                  <c:v>154.69999999999999</c:v>
                </c:pt>
                <c:pt idx="298">
                  <c:v>154.19999999999999</c:v>
                </c:pt>
                <c:pt idx="299">
                  <c:v>153.54</c:v>
                </c:pt>
                <c:pt idx="300">
                  <c:v>153.12</c:v>
                </c:pt>
                <c:pt idx="301">
                  <c:v>152.69</c:v>
                </c:pt>
                <c:pt idx="302">
                  <c:v>152.27000000000001</c:v>
                </c:pt>
                <c:pt idx="303">
                  <c:v>151.72999999999999</c:v>
                </c:pt>
                <c:pt idx="304">
                  <c:v>151.34</c:v>
                </c:pt>
                <c:pt idx="305">
                  <c:v>150.91</c:v>
                </c:pt>
                <c:pt idx="306">
                  <c:v>150.49</c:v>
                </c:pt>
                <c:pt idx="307">
                  <c:v>150.13999999999999</c:v>
                </c:pt>
                <c:pt idx="308">
                  <c:v>150.30000000000001</c:v>
                </c:pt>
                <c:pt idx="309">
                  <c:v>150.1</c:v>
                </c:pt>
                <c:pt idx="310">
                  <c:v>149.6</c:v>
                </c:pt>
                <c:pt idx="311">
                  <c:v>148.94999999999999</c:v>
                </c:pt>
                <c:pt idx="312">
                  <c:v>148.29</c:v>
                </c:pt>
                <c:pt idx="313">
                  <c:v>148.1</c:v>
                </c:pt>
                <c:pt idx="314">
                  <c:v>147.63</c:v>
                </c:pt>
                <c:pt idx="315">
                  <c:v>147.13</c:v>
                </c:pt>
                <c:pt idx="316">
                  <c:v>146.78</c:v>
                </c:pt>
                <c:pt idx="317">
                  <c:v>146.44</c:v>
                </c:pt>
                <c:pt idx="318">
                  <c:v>146.16</c:v>
                </c:pt>
                <c:pt idx="319">
                  <c:v>145.69999999999999</c:v>
                </c:pt>
                <c:pt idx="320">
                  <c:v>145.55000000000001</c:v>
                </c:pt>
                <c:pt idx="321">
                  <c:v>145.78</c:v>
                </c:pt>
                <c:pt idx="322">
                  <c:v>145.66</c:v>
                </c:pt>
                <c:pt idx="323">
                  <c:v>145.16</c:v>
                </c:pt>
                <c:pt idx="324">
                  <c:v>144.35</c:v>
                </c:pt>
                <c:pt idx="325">
                  <c:v>144</c:v>
                </c:pt>
                <c:pt idx="326">
                  <c:v>143.69</c:v>
                </c:pt>
                <c:pt idx="327">
                  <c:v>143.31</c:v>
                </c:pt>
                <c:pt idx="328">
                  <c:v>142.84</c:v>
                </c:pt>
                <c:pt idx="329">
                  <c:v>142.34</c:v>
                </c:pt>
                <c:pt idx="330">
                  <c:v>142.11000000000001</c:v>
                </c:pt>
                <c:pt idx="331">
                  <c:v>141.72</c:v>
                </c:pt>
                <c:pt idx="332">
                  <c:v>141.44999999999999</c:v>
                </c:pt>
                <c:pt idx="333">
                  <c:v>141.57</c:v>
                </c:pt>
                <c:pt idx="334">
                  <c:v>141.84</c:v>
                </c:pt>
                <c:pt idx="335">
                  <c:v>141.69</c:v>
                </c:pt>
                <c:pt idx="336">
                  <c:v>141.11000000000001</c:v>
                </c:pt>
                <c:pt idx="337">
                  <c:v>140.30000000000001</c:v>
                </c:pt>
                <c:pt idx="338">
                  <c:v>139.83000000000001</c:v>
                </c:pt>
                <c:pt idx="339">
                  <c:v>139.44999999999999</c:v>
                </c:pt>
                <c:pt idx="340">
                  <c:v>139.02000000000001</c:v>
                </c:pt>
                <c:pt idx="341">
                  <c:v>138.6</c:v>
                </c:pt>
                <c:pt idx="342">
                  <c:v>138.29</c:v>
                </c:pt>
                <c:pt idx="343">
                  <c:v>137.86000000000001</c:v>
                </c:pt>
                <c:pt idx="344">
                  <c:v>137.55000000000001</c:v>
                </c:pt>
                <c:pt idx="345">
                  <c:v>137.21</c:v>
                </c:pt>
                <c:pt idx="346">
                  <c:v>137.55000000000001</c:v>
                </c:pt>
                <c:pt idx="347">
                  <c:v>137.9</c:v>
                </c:pt>
                <c:pt idx="348">
                  <c:v>137.71</c:v>
                </c:pt>
                <c:pt idx="349">
                  <c:v>137.09</c:v>
                </c:pt>
                <c:pt idx="350">
                  <c:v>136.12</c:v>
                </c:pt>
                <c:pt idx="351">
                  <c:v>135.66</c:v>
                </c:pt>
                <c:pt idx="352">
                  <c:v>135.28</c:v>
                </c:pt>
                <c:pt idx="353">
                  <c:v>134.85</c:v>
                </c:pt>
                <c:pt idx="354">
                  <c:v>134.38999999999999</c:v>
                </c:pt>
                <c:pt idx="355">
                  <c:v>134.08000000000001</c:v>
                </c:pt>
                <c:pt idx="356">
                  <c:v>133.72999999999999</c:v>
                </c:pt>
                <c:pt idx="357">
                  <c:v>133.38</c:v>
                </c:pt>
                <c:pt idx="358">
                  <c:v>133.27000000000001</c:v>
                </c:pt>
                <c:pt idx="359">
                  <c:v>133.72999999999999</c:v>
                </c:pt>
                <c:pt idx="360">
                  <c:v>134.12</c:v>
                </c:pt>
                <c:pt idx="361">
                  <c:v>133.88</c:v>
                </c:pt>
                <c:pt idx="362">
                  <c:v>133.27000000000001</c:v>
                </c:pt>
                <c:pt idx="363">
                  <c:v>132.34</c:v>
                </c:pt>
                <c:pt idx="364">
                  <c:v>131.88</c:v>
                </c:pt>
                <c:pt idx="365">
                  <c:v>131.44999999999999</c:v>
                </c:pt>
                <c:pt idx="366">
                  <c:v>131.07</c:v>
                </c:pt>
                <c:pt idx="367">
                  <c:v>130.72</c:v>
                </c:pt>
                <c:pt idx="368">
                  <c:v>130.41</c:v>
                </c:pt>
                <c:pt idx="369">
                  <c:v>130.06</c:v>
                </c:pt>
                <c:pt idx="370">
                  <c:v>129.75</c:v>
                </c:pt>
                <c:pt idx="371">
                  <c:v>129.94999999999999</c:v>
                </c:pt>
                <c:pt idx="372">
                  <c:v>130.68</c:v>
                </c:pt>
                <c:pt idx="373">
                  <c:v>130.72</c:v>
                </c:pt>
                <c:pt idx="374">
                  <c:v>130.44999999999999</c:v>
                </c:pt>
                <c:pt idx="375">
                  <c:v>129.63999999999999</c:v>
                </c:pt>
                <c:pt idx="376">
                  <c:v>128.83000000000001</c:v>
                </c:pt>
                <c:pt idx="377">
                  <c:v>128.32</c:v>
                </c:pt>
                <c:pt idx="378">
                  <c:v>127.82</c:v>
                </c:pt>
                <c:pt idx="379">
                  <c:v>127.51</c:v>
                </c:pt>
                <c:pt idx="380">
                  <c:v>127.13</c:v>
                </c:pt>
                <c:pt idx="381">
                  <c:v>126.82</c:v>
                </c:pt>
                <c:pt idx="382">
                  <c:v>126.39</c:v>
                </c:pt>
                <c:pt idx="383">
                  <c:v>126.24</c:v>
                </c:pt>
                <c:pt idx="384">
                  <c:v>126.97</c:v>
                </c:pt>
                <c:pt idx="385">
                  <c:v>127.47</c:v>
                </c:pt>
                <c:pt idx="386">
                  <c:v>127.36</c:v>
                </c:pt>
                <c:pt idx="387">
                  <c:v>127.01</c:v>
                </c:pt>
                <c:pt idx="388">
                  <c:v>126.16</c:v>
                </c:pt>
                <c:pt idx="389">
                  <c:v>125.5</c:v>
                </c:pt>
                <c:pt idx="390">
                  <c:v>125</c:v>
                </c:pt>
                <c:pt idx="391">
                  <c:v>124.54</c:v>
                </c:pt>
                <c:pt idx="392">
                  <c:v>124.11</c:v>
                </c:pt>
                <c:pt idx="393">
                  <c:v>123.77</c:v>
                </c:pt>
                <c:pt idx="394">
                  <c:v>123.42</c:v>
                </c:pt>
                <c:pt idx="395">
                  <c:v>123.07</c:v>
                </c:pt>
                <c:pt idx="396">
                  <c:v>122.88</c:v>
                </c:pt>
                <c:pt idx="397">
                  <c:v>123.77</c:v>
                </c:pt>
                <c:pt idx="398">
                  <c:v>124.04</c:v>
                </c:pt>
                <c:pt idx="399">
                  <c:v>123.88</c:v>
                </c:pt>
                <c:pt idx="400">
                  <c:v>123.3</c:v>
                </c:pt>
                <c:pt idx="401">
                  <c:v>122.49</c:v>
                </c:pt>
                <c:pt idx="402">
                  <c:v>121.99</c:v>
                </c:pt>
                <c:pt idx="403">
                  <c:v>121.41</c:v>
                </c:pt>
                <c:pt idx="404">
                  <c:v>120.99</c:v>
                </c:pt>
                <c:pt idx="405">
                  <c:v>120.56</c:v>
                </c:pt>
                <c:pt idx="406">
                  <c:v>120.25</c:v>
                </c:pt>
                <c:pt idx="407">
                  <c:v>119.91</c:v>
                </c:pt>
                <c:pt idx="408">
                  <c:v>119.64</c:v>
                </c:pt>
                <c:pt idx="409">
                  <c:v>119.6</c:v>
                </c:pt>
                <c:pt idx="410">
                  <c:v>120.37</c:v>
                </c:pt>
                <c:pt idx="411">
                  <c:v>120.56</c:v>
                </c:pt>
                <c:pt idx="412">
                  <c:v>120.37</c:v>
                </c:pt>
                <c:pt idx="413">
                  <c:v>119.75</c:v>
                </c:pt>
                <c:pt idx="414">
                  <c:v>118.98</c:v>
                </c:pt>
                <c:pt idx="415">
                  <c:v>118.44</c:v>
                </c:pt>
                <c:pt idx="416">
                  <c:v>118.01</c:v>
                </c:pt>
                <c:pt idx="417">
                  <c:v>117.63</c:v>
                </c:pt>
                <c:pt idx="418">
                  <c:v>117.28</c:v>
                </c:pt>
                <c:pt idx="419">
                  <c:v>116.97</c:v>
                </c:pt>
                <c:pt idx="420">
                  <c:v>116.66</c:v>
                </c:pt>
                <c:pt idx="421">
                  <c:v>116.39</c:v>
                </c:pt>
                <c:pt idx="422">
                  <c:v>116.7</c:v>
                </c:pt>
                <c:pt idx="423">
                  <c:v>117.51</c:v>
                </c:pt>
                <c:pt idx="424">
                  <c:v>117.43</c:v>
                </c:pt>
                <c:pt idx="425">
                  <c:v>117.13</c:v>
                </c:pt>
                <c:pt idx="426">
                  <c:v>116.39</c:v>
                </c:pt>
                <c:pt idx="427">
                  <c:v>115.7</c:v>
                </c:pt>
                <c:pt idx="428">
                  <c:v>115.31</c:v>
                </c:pt>
                <c:pt idx="429">
                  <c:v>114.89</c:v>
                </c:pt>
                <c:pt idx="430">
                  <c:v>114.5</c:v>
                </c:pt>
                <c:pt idx="431">
                  <c:v>114.23</c:v>
                </c:pt>
                <c:pt idx="432">
                  <c:v>113.92</c:v>
                </c:pt>
                <c:pt idx="433">
                  <c:v>113.65</c:v>
                </c:pt>
                <c:pt idx="434">
                  <c:v>113.5</c:v>
                </c:pt>
                <c:pt idx="435">
                  <c:v>114.27</c:v>
                </c:pt>
                <c:pt idx="436">
                  <c:v>114.65</c:v>
                </c:pt>
                <c:pt idx="437">
                  <c:v>114.73</c:v>
                </c:pt>
                <c:pt idx="438">
                  <c:v>114.38</c:v>
                </c:pt>
                <c:pt idx="439">
                  <c:v>113.73</c:v>
                </c:pt>
                <c:pt idx="440">
                  <c:v>113.15</c:v>
                </c:pt>
                <c:pt idx="441">
                  <c:v>112.57</c:v>
                </c:pt>
                <c:pt idx="442">
                  <c:v>112.1</c:v>
                </c:pt>
                <c:pt idx="443">
                  <c:v>111.72</c:v>
                </c:pt>
                <c:pt idx="444">
                  <c:v>111.41</c:v>
                </c:pt>
                <c:pt idx="445">
                  <c:v>111.06</c:v>
                </c:pt>
                <c:pt idx="446">
                  <c:v>110.79</c:v>
                </c:pt>
                <c:pt idx="447">
                  <c:v>110.91</c:v>
                </c:pt>
                <c:pt idx="448">
                  <c:v>111.8</c:v>
                </c:pt>
                <c:pt idx="449">
                  <c:v>111.99</c:v>
                </c:pt>
                <c:pt idx="450">
                  <c:v>111.99</c:v>
                </c:pt>
                <c:pt idx="451">
                  <c:v>111.72</c:v>
                </c:pt>
                <c:pt idx="452">
                  <c:v>111.22</c:v>
                </c:pt>
                <c:pt idx="453">
                  <c:v>110.6</c:v>
                </c:pt>
                <c:pt idx="454">
                  <c:v>109.98</c:v>
                </c:pt>
                <c:pt idx="455">
                  <c:v>109.4</c:v>
                </c:pt>
                <c:pt idx="456">
                  <c:v>109.09</c:v>
                </c:pt>
                <c:pt idx="457">
                  <c:v>108.82</c:v>
                </c:pt>
                <c:pt idx="458">
                  <c:v>108.51</c:v>
                </c:pt>
                <c:pt idx="459">
                  <c:v>108.24</c:v>
                </c:pt>
                <c:pt idx="460">
                  <c:v>108.82</c:v>
                </c:pt>
                <c:pt idx="461">
                  <c:v>109.48</c:v>
                </c:pt>
                <c:pt idx="462">
                  <c:v>109.75</c:v>
                </c:pt>
                <c:pt idx="463">
                  <c:v>109.71</c:v>
                </c:pt>
                <c:pt idx="464">
                  <c:v>109.05</c:v>
                </c:pt>
                <c:pt idx="465">
                  <c:v>108.36</c:v>
                </c:pt>
                <c:pt idx="466">
                  <c:v>107.7</c:v>
                </c:pt>
                <c:pt idx="467">
                  <c:v>107.08</c:v>
                </c:pt>
                <c:pt idx="468">
                  <c:v>106.7</c:v>
                </c:pt>
                <c:pt idx="469">
                  <c:v>106.47</c:v>
                </c:pt>
                <c:pt idx="470">
                  <c:v>106.2</c:v>
                </c:pt>
                <c:pt idx="471">
                  <c:v>105.81</c:v>
                </c:pt>
                <c:pt idx="472">
                  <c:v>105.85</c:v>
                </c:pt>
                <c:pt idx="473">
                  <c:v>106.93</c:v>
                </c:pt>
                <c:pt idx="474">
                  <c:v>107.32</c:v>
                </c:pt>
                <c:pt idx="475">
                  <c:v>107.47</c:v>
                </c:pt>
                <c:pt idx="476">
                  <c:v>106.93</c:v>
                </c:pt>
                <c:pt idx="477">
                  <c:v>106.31</c:v>
                </c:pt>
                <c:pt idx="478">
                  <c:v>105.58</c:v>
                </c:pt>
                <c:pt idx="479">
                  <c:v>105</c:v>
                </c:pt>
                <c:pt idx="480">
                  <c:v>104.34</c:v>
                </c:pt>
                <c:pt idx="481">
                  <c:v>103.96</c:v>
                </c:pt>
                <c:pt idx="482">
                  <c:v>103.61</c:v>
                </c:pt>
                <c:pt idx="483">
                  <c:v>103.38</c:v>
                </c:pt>
                <c:pt idx="484">
                  <c:v>103.11</c:v>
                </c:pt>
                <c:pt idx="485">
                  <c:v>103.53</c:v>
                </c:pt>
                <c:pt idx="486">
                  <c:v>104.5</c:v>
                </c:pt>
                <c:pt idx="487">
                  <c:v>105</c:v>
                </c:pt>
                <c:pt idx="488">
                  <c:v>104.88</c:v>
                </c:pt>
                <c:pt idx="489">
                  <c:v>104.19</c:v>
                </c:pt>
                <c:pt idx="490">
                  <c:v>103.49</c:v>
                </c:pt>
                <c:pt idx="491">
                  <c:v>102.95</c:v>
                </c:pt>
                <c:pt idx="492">
                  <c:v>102.37</c:v>
                </c:pt>
                <c:pt idx="493">
                  <c:v>101.79</c:v>
                </c:pt>
                <c:pt idx="494">
                  <c:v>101.29</c:v>
                </c:pt>
                <c:pt idx="495">
                  <c:v>100.94</c:v>
                </c:pt>
                <c:pt idx="496">
                  <c:v>100.67</c:v>
                </c:pt>
                <c:pt idx="497">
                  <c:v>100.33</c:v>
                </c:pt>
                <c:pt idx="498">
                  <c:v>100.87</c:v>
                </c:pt>
                <c:pt idx="499">
                  <c:v>101.95</c:v>
                </c:pt>
                <c:pt idx="500">
                  <c:v>102.3</c:v>
                </c:pt>
                <c:pt idx="501">
                  <c:v>102.06</c:v>
                </c:pt>
                <c:pt idx="502">
                  <c:v>101.45</c:v>
                </c:pt>
                <c:pt idx="503">
                  <c:v>100.79</c:v>
                </c:pt>
                <c:pt idx="504">
                  <c:v>100.33</c:v>
                </c:pt>
                <c:pt idx="505">
                  <c:v>99.82</c:v>
                </c:pt>
                <c:pt idx="506">
                  <c:v>99.32</c:v>
                </c:pt>
                <c:pt idx="507">
                  <c:v>98.86</c:v>
                </c:pt>
                <c:pt idx="508">
                  <c:v>98.43</c:v>
                </c:pt>
                <c:pt idx="509">
                  <c:v>98.16</c:v>
                </c:pt>
                <c:pt idx="510">
                  <c:v>98.01</c:v>
                </c:pt>
                <c:pt idx="511">
                  <c:v>98.94</c:v>
                </c:pt>
                <c:pt idx="512">
                  <c:v>99.71</c:v>
                </c:pt>
                <c:pt idx="513">
                  <c:v>99.67</c:v>
                </c:pt>
                <c:pt idx="514">
                  <c:v>99.32</c:v>
                </c:pt>
                <c:pt idx="515">
                  <c:v>98.7</c:v>
                </c:pt>
                <c:pt idx="516">
                  <c:v>98.28</c:v>
                </c:pt>
                <c:pt idx="517">
                  <c:v>97.93</c:v>
                </c:pt>
                <c:pt idx="518">
                  <c:v>97.47</c:v>
                </c:pt>
                <c:pt idx="519">
                  <c:v>96.93</c:v>
                </c:pt>
                <c:pt idx="520">
                  <c:v>96.47</c:v>
                </c:pt>
                <c:pt idx="521">
                  <c:v>95.96</c:v>
                </c:pt>
                <c:pt idx="522">
                  <c:v>95.69</c:v>
                </c:pt>
                <c:pt idx="523">
                  <c:v>95.96</c:v>
                </c:pt>
                <c:pt idx="524">
                  <c:v>97.16</c:v>
                </c:pt>
                <c:pt idx="525">
                  <c:v>97.58</c:v>
                </c:pt>
                <c:pt idx="526">
                  <c:v>97.47</c:v>
                </c:pt>
                <c:pt idx="527">
                  <c:v>96.93</c:v>
                </c:pt>
                <c:pt idx="528">
                  <c:v>96.47</c:v>
                </c:pt>
                <c:pt idx="529">
                  <c:v>96.08</c:v>
                </c:pt>
                <c:pt idx="530">
                  <c:v>95.69</c:v>
                </c:pt>
                <c:pt idx="531">
                  <c:v>95.31</c:v>
                </c:pt>
                <c:pt idx="532">
                  <c:v>94.84</c:v>
                </c:pt>
                <c:pt idx="533">
                  <c:v>94.3</c:v>
                </c:pt>
                <c:pt idx="534">
                  <c:v>93.84</c:v>
                </c:pt>
                <c:pt idx="535">
                  <c:v>93.45</c:v>
                </c:pt>
                <c:pt idx="536">
                  <c:v>94.03</c:v>
                </c:pt>
                <c:pt idx="537">
                  <c:v>95.11</c:v>
                </c:pt>
                <c:pt idx="538">
                  <c:v>95.19</c:v>
                </c:pt>
                <c:pt idx="539">
                  <c:v>94.92</c:v>
                </c:pt>
                <c:pt idx="540">
                  <c:v>94.42</c:v>
                </c:pt>
                <c:pt idx="541">
                  <c:v>94.11</c:v>
                </c:pt>
                <c:pt idx="542">
                  <c:v>93.72</c:v>
                </c:pt>
                <c:pt idx="543">
                  <c:v>93.45</c:v>
                </c:pt>
                <c:pt idx="544">
                  <c:v>92.99</c:v>
                </c:pt>
                <c:pt idx="545">
                  <c:v>92.49</c:v>
                </c:pt>
                <c:pt idx="546">
                  <c:v>92.06</c:v>
                </c:pt>
                <c:pt idx="547">
                  <c:v>91.64</c:v>
                </c:pt>
                <c:pt idx="548">
                  <c:v>91.44</c:v>
                </c:pt>
                <c:pt idx="549">
                  <c:v>92.22</c:v>
                </c:pt>
                <c:pt idx="550">
                  <c:v>92.84</c:v>
                </c:pt>
                <c:pt idx="551">
                  <c:v>92.87</c:v>
                </c:pt>
                <c:pt idx="552">
                  <c:v>92.56</c:v>
                </c:pt>
                <c:pt idx="553">
                  <c:v>92.1</c:v>
                </c:pt>
                <c:pt idx="554">
                  <c:v>91.79</c:v>
                </c:pt>
                <c:pt idx="555">
                  <c:v>91.56</c:v>
                </c:pt>
                <c:pt idx="556">
                  <c:v>91.17</c:v>
                </c:pt>
                <c:pt idx="557">
                  <c:v>90.83</c:v>
                </c:pt>
                <c:pt idx="558">
                  <c:v>90.44</c:v>
                </c:pt>
                <c:pt idx="559">
                  <c:v>90.13</c:v>
                </c:pt>
                <c:pt idx="560">
                  <c:v>89.67</c:v>
                </c:pt>
                <c:pt idx="561">
                  <c:v>89.9</c:v>
                </c:pt>
                <c:pt idx="562">
                  <c:v>90.75</c:v>
                </c:pt>
                <c:pt idx="563">
                  <c:v>90.87</c:v>
                </c:pt>
                <c:pt idx="564">
                  <c:v>90.75</c:v>
                </c:pt>
                <c:pt idx="565">
                  <c:v>90.29</c:v>
                </c:pt>
                <c:pt idx="566">
                  <c:v>89.94</c:v>
                </c:pt>
                <c:pt idx="567">
                  <c:v>89.71</c:v>
                </c:pt>
                <c:pt idx="568">
                  <c:v>89.51</c:v>
                </c:pt>
                <c:pt idx="569">
                  <c:v>89.13</c:v>
                </c:pt>
                <c:pt idx="570">
                  <c:v>88.78</c:v>
                </c:pt>
                <c:pt idx="571">
                  <c:v>88.39</c:v>
                </c:pt>
                <c:pt idx="572">
                  <c:v>88.01</c:v>
                </c:pt>
                <c:pt idx="573">
                  <c:v>87.78</c:v>
                </c:pt>
                <c:pt idx="574">
                  <c:v>88.28</c:v>
                </c:pt>
                <c:pt idx="575">
                  <c:v>88.78</c:v>
                </c:pt>
                <c:pt idx="576">
                  <c:v>88.9</c:v>
                </c:pt>
                <c:pt idx="577">
                  <c:v>88.63</c:v>
                </c:pt>
                <c:pt idx="578">
                  <c:v>88.16</c:v>
                </c:pt>
                <c:pt idx="579">
                  <c:v>87.97</c:v>
                </c:pt>
                <c:pt idx="580">
                  <c:v>87.74</c:v>
                </c:pt>
                <c:pt idx="581">
                  <c:v>87.39</c:v>
                </c:pt>
                <c:pt idx="582">
                  <c:v>87.04</c:v>
                </c:pt>
                <c:pt idx="583">
                  <c:v>86.81</c:v>
                </c:pt>
                <c:pt idx="584">
                  <c:v>86.39</c:v>
                </c:pt>
                <c:pt idx="585">
                  <c:v>86.04</c:v>
                </c:pt>
                <c:pt idx="586">
                  <c:v>85.77</c:v>
                </c:pt>
                <c:pt idx="587">
                  <c:v>86.46</c:v>
                </c:pt>
                <c:pt idx="588">
                  <c:v>86.81</c:v>
                </c:pt>
                <c:pt idx="589">
                  <c:v>86.77</c:v>
                </c:pt>
                <c:pt idx="590">
                  <c:v>86.5</c:v>
                </c:pt>
                <c:pt idx="591">
                  <c:v>86.12</c:v>
                </c:pt>
                <c:pt idx="592">
                  <c:v>85.88</c:v>
                </c:pt>
                <c:pt idx="593">
                  <c:v>85.61</c:v>
                </c:pt>
                <c:pt idx="594">
                  <c:v>85.34</c:v>
                </c:pt>
                <c:pt idx="595">
                  <c:v>85</c:v>
                </c:pt>
                <c:pt idx="596">
                  <c:v>84.57</c:v>
                </c:pt>
                <c:pt idx="597">
                  <c:v>84.26</c:v>
                </c:pt>
                <c:pt idx="598">
                  <c:v>84.03</c:v>
                </c:pt>
                <c:pt idx="599">
                  <c:v>83.61</c:v>
                </c:pt>
                <c:pt idx="600">
                  <c:v>84.11</c:v>
                </c:pt>
                <c:pt idx="601">
                  <c:v>84.57</c:v>
                </c:pt>
                <c:pt idx="602">
                  <c:v>84.57</c:v>
                </c:pt>
                <c:pt idx="603">
                  <c:v>84.42</c:v>
                </c:pt>
                <c:pt idx="604">
                  <c:v>84.07</c:v>
                </c:pt>
                <c:pt idx="605">
                  <c:v>83.84</c:v>
                </c:pt>
                <c:pt idx="606">
                  <c:v>83.68</c:v>
                </c:pt>
                <c:pt idx="607">
                  <c:v>83.41</c:v>
                </c:pt>
                <c:pt idx="608">
                  <c:v>83.1</c:v>
                </c:pt>
                <c:pt idx="609">
                  <c:v>82.83</c:v>
                </c:pt>
                <c:pt idx="610">
                  <c:v>82.64</c:v>
                </c:pt>
                <c:pt idx="611">
                  <c:v>82.33</c:v>
                </c:pt>
                <c:pt idx="612">
                  <c:v>82.18</c:v>
                </c:pt>
                <c:pt idx="613">
                  <c:v>82.41</c:v>
                </c:pt>
                <c:pt idx="614">
                  <c:v>74.180000000000007</c:v>
                </c:pt>
                <c:pt idx="615">
                  <c:v>67.89</c:v>
                </c:pt>
                <c:pt idx="616">
                  <c:v>62.48</c:v>
                </c:pt>
                <c:pt idx="617">
                  <c:v>57.85</c:v>
                </c:pt>
                <c:pt idx="618">
                  <c:v>53.75</c:v>
                </c:pt>
                <c:pt idx="619">
                  <c:v>50.01</c:v>
                </c:pt>
                <c:pt idx="620">
                  <c:v>46.61</c:v>
                </c:pt>
                <c:pt idx="621">
                  <c:v>43.44</c:v>
                </c:pt>
                <c:pt idx="622">
                  <c:v>40.590000000000003</c:v>
                </c:pt>
                <c:pt idx="623">
                  <c:v>38.04</c:v>
                </c:pt>
                <c:pt idx="624">
                  <c:v>35.57</c:v>
                </c:pt>
                <c:pt idx="625">
                  <c:v>33.479999999999997</c:v>
                </c:pt>
                <c:pt idx="626">
                  <c:v>31.7</c:v>
                </c:pt>
                <c:pt idx="627">
                  <c:v>29.85</c:v>
                </c:pt>
                <c:pt idx="628">
                  <c:v>28.15</c:v>
                </c:pt>
                <c:pt idx="629">
                  <c:v>26.45</c:v>
                </c:pt>
                <c:pt idx="630">
                  <c:v>24.91</c:v>
                </c:pt>
                <c:pt idx="631">
                  <c:v>23.59</c:v>
                </c:pt>
                <c:pt idx="632">
                  <c:v>22.2</c:v>
                </c:pt>
                <c:pt idx="633">
                  <c:v>21.01</c:v>
                </c:pt>
                <c:pt idx="634">
                  <c:v>20</c:v>
                </c:pt>
                <c:pt idx="635">
                  <c:v>18.96</c:v>
                </c:pt>
                <c:pt idx="636">
                  <c:v>18</c:v>
                </c:pt>
                <c:pt idx="637">
                  <c:v>17.07</c:v>
                </c:pt>
                <c:pt idx="638">
                  <c:v>16.41</c:v>
                </c:pt>
                <c:pt idx="639">
                  <c:v>15.68</c:v>
                </c:pt>
                <c:pt idx="640">
                  <c:v>15.02</c:v>
                </c:pt>
                <c:pt idx="641">
                  <c:v>14.48</c:v>
                </c:pt>
                <c:pt idx="642">
                  <c:v>13.86</c:v>
                </c:pt>
                <c:pt idx="643">
                  <c:v>13.21</c:v>
                </c:pt>
                <c:pt idx="644">
                  <c:v>12.67</c:v>
                </c:pt>
                <c:pt idx="645">
                  <c:v>12.09</c:v>
                </c:pt>
                <c:pt idx="646">
                  <c:v>11.59</c:v>
                </c:pt>
                <c:pt idx="647">
                  <c:v>11.04</c:v>
                </c:pt>
                <c:pt idx="648">
                  <c:v>10.58</c:v>
                </c:pt>
                <c:pt idx="649">
                  <c:v>10.16</c:v>
                </c:pt>
                <c:pt idx="650">
                  <c:v>9.69</c:v>
                </c:pt>
                <c:pt idx="651">
                  <c:v>9.42</c:v>
                </c:pt>
                <c:pt idx="652">
                  <c:v>9.0399999999999991</c:v>
                </c:pt>
                <c:pt idx="653">
                  <c:v>8.8000000000000007</c:v>
                </c:pt>
                <c:pt idx="654">
                  <c:v>8.4600000000000009</c:v>
                </c:pt>
                <c:pt idx="655">
                  <c:v>8.26</c:v>
                </c:pt>
                <c:pt idx="656">
                  <c:v>7.92</c:v>
                </c:pt>
                <c:pt idx="657">
                  <c:v>7.68</c:v>
                </c:pt>
                <c:pt idx="658">
                  <c:v>7.38</c:v>
                </c:pt>
                <c:pt idx="659">
                  <c:v>7.18</c:v>
                </c:pt>
                <c:pt idx="660">
                  <c:v>6.91</c:v>
                </c:pt>
                <c:pt idx="661">
                  <c:v>6.72</c:v>
                </c:pt>
                <c:pt idx="662">
                  <c:v>6.53</c:v>
                </c:pt>
                <c:pt idx="663">
                  <c:v>6.41</c:v>
                </c:pt>
                <c:pt idx="664">
                  <c:v>6.18</c:v>
                </c:pt>
                <c:pt idx="665">
                  <c:v>6.02</c:v>
                </c:pt>
                <c:pt idx="666">
                  <c:v>5.83</c:v>
                </c:pt>
                <c:pt idx="667">
                  <c:v>5.6</c:v>
                </c:pt>
                <c:pt idx="668">
                  <c:v>5.41</c:v>
                </c:pt>
                <c:pt idx="669">
                  <c:v>5.29</c:v>
                </c:pt>
                <c:pt idx="670">
                  <c:v>5.0599999999999996</c:v>
                </c:pt>
                <c:pt idx="671">
                  <c:v>4.9000000000000004</c:v>
                </c:pt>
                <c:pt idx="672">
                  <c:v>4.75</c:v>
                </c:pt>
                <c:pt idx="673">
                  <c:v>4.67</c:v>
                </c:pt>
                <c:pt idx="674">
                  <c:v>4.5199999999999996</c:v>
                </c:pt>
                <c:pt idx="675">
                  <c:v>4.3600000000000003</c:v>
                </c:pt>
                <c:pt idx="676">
                  <c:v>4.25</c:v>
                </c:pt>
                <c:pt idx="677">
                  <c:v>4.13</c:v>
                </c:pt>
                <c:pt idx="678">
                  <c:v>4.05</c:v>
                </c:pt>
                <c:pt idx="679">
                  <c:v>3.98</c:v>
                </c:pt>
                <c:pt idx="680">
                  <c:v>3.9</c:v>
                </c:pt>
                <c:pt idx="681">
                  <c:v>3.86</c:v>
                </c:pt>
                <c:pt idx="682">
                  <c:v>3.75</c:v>
                </c:pt>
                <c:pt idx="683">
                  <c:v>3.63</c:v>
                </c:pt>
                <c:pt idx="684">
                  <c:v>3.51</c:v>
                </c:pt>
                <c:pt idx="685">
                  <c:v>3.48</c:v>
                </c:pt>
                <c:pt idx="686">
                  <c:v>3.36</c:v>
                </c:pt>
                <c:pt idx="687">
                  <c:v>3.36</c:v>
                </c:pt>
                <c:pt idx="688">
                  <c:v>3.28</c:v>
                </c:pt>
                <c:pt idx="689">
                  <c:v>3.13</c:v>
                </c:pt>
                <c:pt idx="690">
                  <c:v>3.05</c:v>
                </c:pt>
                <c:pt idx="691">
                  <c:v>2.93</c:v>
                </c:pt>
                <c:pt idx="692">
                  <c:v>2.86</c:v>
                </c:pt>
                <c:pt idx="693">
                  <c:v>2.74</c:v>
                </c:pt>
                <c:pt idx="694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43-439B-9707-60C9BD67FDE3}"/>
            </c:ext>
          </c:extLst>
        </c:ser>
        <c:ser>
          <c:idx val="2"/>
          <c:order val="1"/>
          <c:marker>
            <c:symbol val="none"/>
          </c:marker>
          <c:xVal>
            <c:numRef>
              <c:f>Hoja1!$BH$2:$BH$696</c:f>
              <c:numCache>
                <c:formatCode>General</c:formatCode>
                <c:ptCount val="6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</c:numCache>
            </c:numRef>
          </c:xVal>
          <c:yVal>
            <c:numRef>
              <c:f>Hoja1!$BJ$2:$BJ$696</c:f>
              <c:numCache>
                <c:formatCode>General</c:formatCode>
                <c:ptCount val="695"/>
                <c:pt idx="0">
                  <c:v>153.13</c:v>
                </c:pt>
                <c:pt idx="1">
                  <c:v>148.5</c:v>
                </c:pt>
                <c:pt idx="2">
                  <c:v>143.09</c:v>
                </c:pt>
                <c:pt idx="3">
                  <c:v>0</c:v>
                </c:pt>
                <c:pt idx="4">
                  <c:v>141.54</c:v>
                </c:pt>
                <c:pt idx="5">
                  <c:v>0</c:v>
                </c:pt>
                <c:pt idx="6">
                  <c:v>144.63</c:v>
                </c:pt>
                <c:pt idx="7">
                  <c:v>143.09</c:v>
                </c:pt>
                <c:pt idx="8">
                  <c:v>141.54</c:v>
                </c:pt>
                <c:pt idx="9">
                  <c:v>144.63</c:v>
                </c:pt>
                <c:pt idx="10">
                  <c:v>142.32</c:v>
                </c:pt>
                <c:pt idx="11">
                  <c:v>144.63</c:v>
                </c:pt>
                <c:pt idx="12">
                  <c:v>144.63</c:v>
                </c:pt>
                <c:pt idx="13">
                  <c:v>143.86000000000001</c:v>
                </c:pt>
                <c:pt idx="14">
                  <c:v>143.86000000000001</c:v>
                </c:pt>
                <c:pt idx="15">
                  <c:v>144.63</c:v>
                </c:pt>
                <c:pt idx="16">
                  <c:v>143.86000000000001</c:v>
                </c:pt>
                <c:pt idx="17">
                  <c:v>144.63</c:v>
                </c:pt>
                <c:pt idx="18">
                  <c:v>144.63</c:v>
                </c:pt>
                <c:pt idx="19">
                  <c:v>146.18</c:v>
                </c:pt>
                <c:pt idx="20">
                  <c:v>144.63</c:v>
                </c:pt>
                <c:pt idx="21">
                  <c:v>145.41</c:v>
                </c:pt>
                <c:pt idx="22">
                  <c:v>143.09</c:v>
                </c:pt>
                <c:pt idx="23">
                  <c:v>148.5</c:v>
                </c:pt>
                <c:pt idx="24">
                  <c:v>145.41</c:v>
                </c:pt>
                <c:pt idx="25">
                  <c:v>144.63</c:v>
                </c:pt>
                <c:pt idx="26">
                  <c:v>146.94999999999999</c:v>
                </c:pt>
                <c:pt idx="27">
                  <c:v>142.32</c:v>
                </c:pt>
                <c:pt idx="28">
                  <c:v>146.18</c:v>
                </c:pt>
                <c:pt idx="29">
                  <c:v>143.09</c:v>
                </c:pt>
                <c:pt idx="30">
                  <c:v>147.72</c:v>
                </c:pt>
                <c:pt idx="31">
                  <c:v>144.63</c:v>
                </c:pt>
                <c:pt idx="32">
                  <c:v>146.18</c:v>
                </c:pt>
                <c:pt idx="33">
                  <c:v>144.63</c:v>
                </c:pt>
                <c:pt idx="34">
                  <c:v>143.09</c:v>
                </c:pt>
                <c:pt idx="35">
                  <c:v>148.5</c:v>
                </c:pt>
                <c:pt idx="36">
                  <c:v>143.86000000000001</c:v>
                </c:pt>
                <c:pt idx="37">
                  <c:v>148.5</c:v>
                </c:pt>
                <c:pt idx="38">
                  <c:v>144.63</c:v>
                </c:pt>
                <c:pt idx="39">
                  <c:v>145.41</c:v>
                </c:pt>
                <c:pt idx="40">
                  <c:v>145.41</c:v>
                </c:pt>
                <c:pt idx="41">
                  <c:v>146.18</c:v>
                </c:pt>
                <c:pt idx="42">
                  <c:v>146.94999999999999</c:v>
                </c:pt>
                <c:pt idx="43">
                  <c:v>143.09</c:v>
                </c:pt>
                <c:pt idx="44">
                  <c:v>149.27000000000001</c:v>
                </c:pt>
                <c:pt idx="45">
                  <c:v>143.86000000000001</c:v>
                </c:pt>
                <c:pt idx="46">
                  <c:v>146.94999999999999</c:v>
                </c:pt>
                <c:pt idx="47">
                  <c:v>146.18</c:v>
                </c:pt>
                <c:pt idx="48">
                  <c:v>144.63</c:v>
                </c:pt>
                <c:pt idx="49">
                  <c:v>150.81</c:v>
                </c:pt>
                <c:pt idx="50">
                  <c:v>145.41</c:v>
                </c:pt>
                <c:pt idx="51">
                  <c:v>148.5</c:v>
                </c:pt>
                <c:pt idx="52">
                  <c:v>146.18</c:v>
                </c:pt>
                <c:pt idx="53">
                  <c:v>146.94999999999999</c:v>
                </c:pt>
                <c:pt idx="54">
                  <c:v>149.27000000000001</c:v>
                </c:pt>
                <c:pt idx="55">
                  <c:v>146.18</c:v>
                </c:pt>
                <c:pt idx="56">
                  <c:v>150.04</c:v>
                </c:pt>
                <c:pt idx="57">
                  <c:v>146.94999999999999</c:v>
                </c:pt>
                <c:pt idx="58">
                  <c:v>149.27000000000001</c:v>
                </c:pt>
                <c:pt idx="59">
                  <c:v>148.5</c:v>
                </c:pt>
                <c:pt idx="60">
                  <c:v>149.27000000000001</c:v>
                </c:pt>
                <c:pt idx="61">
                  <c:v>150.04</c:v>
                </c:pt>
                <c:pt idx="62">
                  <c:v>151.59</c:v>
                </c:pt>
                <c:pt idx="63">
                  <c:v>150.81</c:v>
                </c:pt>
                <c:pt idx="64">
                  <c:v>146.18</c:v>
                </c:pt>
                <c:pt idx="65">
                  <c:v>150.81</c:v>
                </c:pt>
                <c:pt idx="66">
                  <c:v>147.72</c:v>
                </c:pt>
                <c:pt idx="67">
                  <c:v>153.13</c:v>
                </c:pt>
                <c:pt idx="68">
                  <c:v>146.94999999999999</c:v>
                </c:pt>
                <c:pt idx="69">
                  <c:v>152.36000000000001</c:v>
                </c:pt>
                <c:pt idx="70">
                  <c:v>146.18</c:v>
                </c:pt>
                <c:pt idx="71">
                  <c:v>150.04</c:v>
                </c:pt>
                <c:pt idx="72">
                  <c:v>152.36000000000001</c:v>
                </c:pt>
                <c:pt idx="73">
                  <c:v>148.5</c:v>
                </c:pt>
                <c:pt idx="74">
                  <c:v>153.13</c:v>
                </c:pt>
                <c:pt idx="75">
                  <c:v>148.5</c:v>
                </c:pt>
                <c:pt idx="76">
                  <c:v>152.36000000000001</c:v>
                </c:pt>
                <c:pt idx="77">
                  <c:v>147.72</c:v>
                </c:pt>
                <c:pt idx="78">
                  <c:v>149.27000000000001</c:v>
                </c:pt>
                <c:pt idx="79">
                  <c:v>148.5</c:v>
                </c:pt>
                <c:pt idx="80">
                  <c:v>153.13</c:v>
                </c:pt>
                <c:pt idx="81">
                  <c:v>148.5</c:v>
                </c:pt>
                <c:pt idx="82">
                  <c:v>154.66999999999999</c:v>
                </c:pt>
                <c:pt idx="83">
                  <c:v>149.27000000000001</c:v>
                </c:pt>
                <c:pt idx="84">
                  <c:v>150.04</c:v>
                </c:pt>
                <c:pt idx="85">
                  <c:v>149.27000000000001</c:v>
                </c:pt>
                <c:pt idx="86">
                  <c:v>150.04</c:v>
                </c:pt>
                <c:pt idx="87">
                  <c:v>152.36000000000001</c:v>
                </c:pt>
                <c:pt idx="88">
                  <c:v>152.36000000000001</c:v>
                </c:pt>
                <c:pt idx="89">
                  <c:v>150.81</c:v>
                </c:pt>
                <c:pt idx="90">
                  <c:v>148.5</c:v>
                </c:pt>
                <c:pt idx="91">
                  <c:v>150.04</c:v>
                </c:pt>
                <c:pt idx="92">
                  <c:v>150.04</c:v>
                </c:pt>
                <c:pt idx="93">
                  <c:v>149.27000000000001</c:v>
                </c:pt>
                <c:pt idx="94">
                  <c:v>149.27000000000001</c:v>
                </c:pt>
                <c:pt idx="95">
                  <c:v>149.27000000000001</c:v>
                </c:pt>
                <c:pt idx="96">
                  <c:v>148.5</c:v>
                </c:pt>
                <c:pt idx="97">
                  <c:v>152.36000000000001</c:v>
                </c:pt>
                <c:pt idx="98">
                  <c:v>148.5</c:v>
                </c:pt>
                <c:pt idx="99">
                  <c:v>152.36000000000001</c:v>
                </c:pt>
                <c:pt idx="100">
                  <c:v>150.81</c:v>
                </c:pt>
                <c:pt idx="101">
                  <c:v>155.44999999999999</c:v>
                </c:pt>
                <c:pt idx="102">
                  <c:v>152.36000000000001</c:v>
                </c:pt>
                <c:pt idx="103">
                  <c:v>153.9</c:v>
                </c:pt>
                <c:pt idx="104">
                  <c:v>151.59</c:v>
                </c:pt>
                <c:pt idx="105">
                  <c:v>153.9</c:v>
                </c:pt>
                <c:pt idx="106">
                  <c:v>154.66999999999999</c:v>
                </c:pt>
                <c:pt idx="107">
                  <c:v>151.59</c:v>
                </c:pt>
                <c:pt idx="108">
                  <c:v>152.36000000000001</c:v>
                </c:pt>
                <c:pt idx="109">
                  <c:v>153.13</c:v>
                </c:pt>
                <c:pt idx="110">
                  <c:v>150.81</c:v>
                </c:pt>
                <c:pt idx="111">
                  <c:v>153.9</c:v>
                </c:pt>
                <c:pt idx="112">
                  <c:v>154.66999999999999</c:v>
                </c:pt>
                <c:pt idx="113">
                  <c:v>161.63</c:v>
                </c:pt>
                <c:pt idx="114">
                  <c:v>156.99</c:v>
                </c:pt>
                <c:pt idx="115">
                  <c:v>155.44999999999999</c:v>
                </c:pt>
                <c:pt idx="116">
                  <c:v>153.13</c:v>
                </c:pt>
                <c:pt idx="117">
                  <c:v>154.66999999999999</c:v>
                </c:pt>
                <c:pt idx="118">
                  <c:v>154.66999999999999</c:v>
                </c:pt>
                <c:pt idx="119">
                  <c:v>158.54</c:v>
                </c:pt>
                <c:pt idx="120">
                  <c:v>156.22</c:v>
                </c:pt>
                <c:pt idx="121">
                  <c:v>153.9</c:v>
                </c:pt>
                <c:pt idx="122">
                  <c:v>152.36000000000001</c:v>
                </c:pt>
                <c:pt idx="123">
                  <c:v>153.9</c:v>
                </c:pt>
                <c:pt idx="124">
                  <c:v>156.22</c:v>
                </c:pt>
                <c:pt idx="125">
                  <c:v>158.54</c:v>
                </c:pt>
                <c:pt idx="126">
                  <c:v>160.85</c:v>
                </c:pt>
                <c:pt idx="127">
                  <c:v>156.22</c:v>
                </c:pt>
                <c:pt idx="128">
                  <c:v>155.44999999999999</c:v>
                </c:pt>
                <c:pt idx="129">
                  <c:v>153.13</c:v>
                </c:pt>
                <c:pt idx="130">
                  <c:v>156.99</c:v>
                </c:pt>
                <c:pt idx="131">
                  <c:v>156.99</c:v>
                </c:pt>
                <c:pt idx="132">
                  <c:v>157.76</c:v>
                </c:pt>
                <c:pt idx="133">
                  <c:v>152.36000000000001</c:v>
                </c:pt>
                <c:pt idx="134">
                  <c:v>153.9</c:v>
                </c:pt>
                <c:pt idx="135">
                  <c:v>154.66999999999999</c:v>
                </c:pt>
                <c:pt idx="136">
                  <c:v>156.99</c:v>
                </c:pt>
                <c:pt idx="137">
                  <c:v>155.44999999999999</c:v>
                </c:pt>
                <c:pt idx="138">
                  <c:v>161.63</c:v>
                </c:pt>
                <c:pt idx="139">
                  <c:v>162.4</c:v>
                </c:pt>
                <c:pt idx="140">
                  <c:v>155.44999999999999</c:v>
                </c:pt>
                <c:pt idx="141">
                  <c:v>155.44999999999999</c:v>
                </c:pt>
                <c:pt idx="142">
                  <c:v>154.66999999999999</c:v>
                </c:pt>
                <c:pt idx="143">
                  <c:v>152.36000000000001</c:v>
                </c:pt>
                <c:pt idx="144">
                  <c:v>158.54</c:v>
                </c:pt>
                <c:pt idx="145">
                  <c:v>156.22</c:v>
                </c:pt>
                <c:pt idx="146">
                  <c:v>154.66999999999999</c:v>
                </c:pt>
                <c:pt idx="147">
                  <c:v>154.66999999999999</c:v>
                </c:pt>
                <c:pt idx="148">
                  <c:v>152.36000000000001</c:v>
                </c:pt>
                <c:pt idx="149">
                  <c:v>156.99</c:v>
                </c:pt>
                <c:pt idx="150">
                  <c:v>156.99</c:v>
                </c:pt>
                <c:pt idx="151">
                  <c:v>159.31</c:v>
                </c:pt>
                <c:pt idx="152">
                  <c:v>171.67000000000002</c:v>
                </c:pt>
                <c:pt idx="153">
                  <c:v>160.07999999999998</c:v>
                </c:pt>
                <c:pt idx="154">
                  <c:v>153.13</c:v>
                </c:pt>
                <c:pt idx="155">
                  <c:v>153.13</c:v>
                </c:pt>
                <c:pt idx="156">
                  <c:v>154.66999999999999</c:v>
                </c:pt>
                <c:pt idx="157">
                  <c:v>156.99</c:v>
                </c:pt>
                <c:pt idx="158">
                  <c:v>156.99</c:v>
                </c:pt>
                <c:pt idx="159">
                  <c:v>153.9</c:v>
                </c:pt>
                <c:pt idx="160">
                  <c:v>155.44999999999999</c:v>
                </c:pt>
                <c:pt idx="161">
                  <c:v>153.13</c:v>
                </c:pt>
                <c:pt idx="162">
                  <c:v>153.13</c:v>
                </c:pt>
                <c:pt idx="163">
                  <c:v>150.81</c:v>
                </c:pt>
                <c:pt idx="164">
                  <c:v>152.36000000000001</c:v>
                </c:pt>
                <c:pt idx="165">
                  <c:v>174.76</c:v>
                </c:pt>
                <c:pt idx="166">
                  <c:v>171.67000000000002</c:v>
                </c:pt>
                <c:pt idx="167">
                  <c:v>157.76</c:v>
                </c:pt>
                <c:pt idx="168">
                  <c:v>154.66999999999999</c:v>
                </c:pt>
                <c:pt idx="169">
                  <c:v>150.04</c:v>
                </c:pt>
                <c:pt idx="170">
                  <c:v>153.13</c:v>
                </c:pt>
                <c:pt idx="171">
                  <c:v>154.66999999999999</c:v>
                </c:pt>
                <c:pt idx="172">
                  <c:v>153.13</c:v>
                </c:pt>
                <c:pt idx="173">
                  <c:v>150.81</c:v>
                </c:pt>
                <c:pt idx="174">
                  <c:v>153.13</c:v>
                </c:pt>
                <c:pt idx="175">
                  <c:v>148.5</c:v>
                </c:pt>
                <c:pt idx="176">
                  <c:v>154.66999999999999</c:v>
                </c:pt>
                <c:pt idx="177">
                  <c:v>156.22</c:v>
                </c:pt>
                <c:pt idx="178">
                  <c:v>177.07</c:v>
                </c:pt>
                <c:pt idx="179">
                  <c:v>173.98</c:v>
                </c:pt>
                <c:pt idx="180">
                  <c:v>163.94</c:v>
                </c:pt>
                <c:pt idx="181">
                  <c:v>153.13</c:v>
                </c:pt>
                <c:pt idx="182">
                  <c:v>148.5</c:v>
                </c:pt>
                <c:pt idx="183">
                  <c:v>149.27000000000001</c:v>
                </c:pt>
                <c:pt idx="184">
                  <c:v>150.04</c:v>
                </c:pt>
                <c:pt idx="185">
                  <c:v>148.5</c:v>
                </c:pt>
                <c:pt idx="186">
                  <c:v>153.13</c:v>
                </c:pt>
                <c:pt idx="187">
                  <c:v>155.44999999999999</c:v>
                </c:pt>
                <c:pt idx="188">
                  <c:v>155.44999999999999</c:v>
                </c:pt>
                <c:pt idx="189">
                  <c:v>153.9</c:v>
                </c:pt>
                <c:pt idx="190">
                  <c:v>158.54</c:v>
                </c:pt>
                <c:pt idx="191">
                  <c:v>178.62</c:v>
                </c:pt>
                <c:pt idx="192">
                  <c:v>170.89</c:v>
                </c:pt>
                <c:pt idx="193">
                  <c:v>163.94</c:v>
                </c:pt>
                <c:pt idx="194">
                  <c:v>156.99</c:v>
                </c:pt>
                <c:pt idx="195">
                  <c:v>145.41</c:v>
                </c:pt>
                <c:pt idx="196">
                  <c:v>145.41</c:v>
                </c:pt>
                <c:pt idx="197">
                  <c:v>146.18</c:v>
                </c:pt>
                <c:pt idx="198">
                  <c:v>151.59</c:v>
                </c:pt>
                <c:pt idx="199">
                  <c:v>156.99</c:v>
                </c:pt>
                <c:pt idx="200">
                  <c:v>155.44999999999999</c:v>
                </c:pt>
                <c:pt idx="201">
                  <c:v>154.66999999999999</c:v>
                </c:pt>
                <c:pt idx="202">
                  <c:v>153.9</c:v>
                </c:pt>
                <c:pt idx="203">
                  <c:v>156.22</c:v>
                </c:pt>
                <c:pt idx="204">
                  <c:v>173.21</c:v>
                </c:pt>
                <c:pt idx="205">
                  <c:v>168.57999999999998</c:v>
                </c:pt>
                <c:pt idx="206">
                  <c:v>155.44999999999999</c:v>
                </c:pt>
                <c:pt idx="207">
                  <c:v>152.36000000000001</c:v>
                </c:pt>
                <c:pt idx="208">
                  <c:v>143.86000000000001</c:v>
                </c:pt>
                <c:pt idx="209">
                  <c:v>152.36000000000001</c:v>
                </c:pt>
                <c:pt idx="210">
                  <c:v>154.66999999999999</c:v>
                </c:pt>
                <c:pt idx="211">
                  <c:v>154.66999999999999</c:v>
                </c:pt>
                <c:pt idx="212">
                  <c:v>154.66999999999999</c:v>
                </c:pt>
                <c:pt idx="213">
                  <c:v>156.22</c:v>
                </c:pt>
                <c:pt idx="214">
                  <c:v>153.9</c:v>
                </c:pt>
                <c:pt idx="215">
                  <c:v>153.13</c:v>
                </c:pt>
                <c:pt idx="216">
                  <c:v>153.9</c:v>
                </c:pt>
                <c:pt idx="217">
                  <c:v>163.94</c:v>
                </c:pt>
                <c:pt idx="218">
                  <c:v>165.49</c:v>
                </c:pt>
                <c:pt idx="219">
                  <c:v>153.13</c:v>
                </c:pt>
                <c:pt idx="220">
                  <c:v>147.72</c:v>
                </c:pt>
                <c:pt idx="221">
                  <c:v>143.86000000000001</c:v>
                </c:pt>
                <c:pt idx="222">
                  <c:v>157.76</c:v>
                </c:pt>
                <c:pt idx="223">
                  <c:v>156.22</c:v>
                </c:pt>
                <c:pt idx="224">
                  <c:v>152.36000000000001</c:v>
                </c:pt>
                <c:pt idx="225">
                  <c:v>155.44999999999999</c:v>
                </c:pt>
                <c:pt idx="226">
                  <c:v>151.58000000000001</c:v>
                </c:pt>
                <c:pt idx="227">
                  <c:v>156.99</c:v>
                </c:pt>
                <c:pt idx="228">
                  <c:v>155.44999999999999</c:v>
                </c:pt>
                <c:pt idx="229">
                  <c:v>158.54</c:v>
                </c:pt>
                <c:pt idx="230">
                  <c:v>164.71</c:v>
                </c:pt>
                <c:pt idx="231">
                  <c:v>161.63</c:v>
                </c:pt>
                <c:pt idx="232">
                  <c:v>148.5</c:v>
                </c:pt>
                <c:pt idx="233">
                  <c:v>147.72</c:v>
                </c:pt>
                <c:pt idx="234">
                  <c:v>147.72</c:v>
                </c:pt>
                <c:pt idx="235">
                  <c:v>157.76</c:v>
                </c:pt>
                <c:pt idx="236">
                  <c:v>158.54</c:v>
                </c:pt>
                <c:pt idx="237">
                  <c:v>153.9</c:v>
                </c:pt>
                <c:pt idx="238">
                  <c:v>153.13</c:v>
                </c:pt>
                <c:pt idx="239">
                  <c:v>150.04</c:v>
                </c:pt>
                <c:pt idx="240">
                  <c:v>152.36000000000001</c:v>
                </c:pt>
                <c:pt idx="241">
                  <c:v>156.22</c:v>
                </c:pt>
                <c:pt idx="242">
                  <c:v>156.22</c:v>
                </c:pt>
                <c:pt idx="243">
                  <c:v>163.94</c:v>
                </c:pt>
                <c:pt idx="244">
                  <c:v>154.66999999999999</c:v>
                </c:pt>
                <c:pt idx="245">
                  <c:v>151.58000000000001</c:v>
                </c:pt>
                <c:pt idx="246">
                  <c:v>154.66999999999999</c:v>
                </c:pt>
                <c:pt idx="247">
                  <c:v>151.59</c:v>
                </c:pt>
                <c:pt idx="248">
                  <c:v>151.59</c:v>
                </c:pt>
                <c:pt idx="249">
                  <c:v>150.81</c:v>
                </c:pt>
                <c:pt idx="250">
                  <c:v>156.99</c:v>
                </c:pt>
                <c:pt idx="251">
                  <c:v>156.22</c:v>
                </c:pt>
                <c:pt idx="252">
                  <c:v>151.59</c:v>
                </c:pt>
                <c:pt idx="253">
                  <c:v>153.13</c:v>
                </c:pt>
                <c:pt idx="254">
                  <c:v>158.54</c:v>
                </c:pt>
                <c:pt idx="255">
                  <c:v>156.22</c:v>
                </c:pt>
                <c:pt idx="256">
                  <c:v>156.22</c:v>
                </c:pt>
                <c:pt idx="257">
                  <c:v>163.17000000000002</c:v>
                </c:pt>
                <c:pt idx="258">
                  <c:v>153.13</c:v>
                </c:pt>
                <c:pt idx="259">
                  <c:v>148.5</c:v>
                </c:pt>
                <c:pt idx="260">
                  <c:v>150.81</c:v>
                </c:pt>
                <c:pt idx="261">
                  <c:v>159.31</c:v>
                </c:pt>
                <c:pt idx="262">
                  <c:v>149.27000000000001</c:v>
                </c:pt>
                <c:pt idx="263">
                  <c:v>153.13</c:v>
                </c:pt>
                <c:pt idx="264">
                  <c:v>159.31</c:v>
                </c:pt>
                <c:pt idx="265">
                  <c:v>148.5</c:v>
                </c:pt>
                <c:pt idx="266">
                  <c:v>155.44999999999999</c:v>
                </c:pt>
                <c:pt idx="267">
                  <c:v>156.22</c:v>
                </c:pt>
                <c:pt idx="268">
                  <c:v>147.72</c:v>
                </c:pt>
                <c:pt idx="269">
                  <c:v>158.54</c:v>
                </c:pt>
                <c:pt idx="270">
                  <c:v>141.54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140.77000000000001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143.09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144.63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142.32</c:v>
                </c:pt>
                <c:pt idx="334">
                  <c:v>145.41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146.94999999999999</c:v>
                </c:pt>
                <c:pt idx="347">
                  <c:v>146.94999999999999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149.27000000000001</c:v>
                </c:pt>
                <c:pt idx="360">
                  <c:v>147.72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143.86000000000001</c:v>
                </c:pt>
                <c:pt idx="372">
                  <c:v>154.66999999999999</c:v>
                </c:pt>
                <c:pt idx="373">
                  <c:v>140.77000000000001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154.66999999999999</c:v>
                </c:pt>
                <c:pt idx="385">
                  <c:v>150.04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157.76</c:v>
                </c:pt>
                <c:pt idx="398">
                  <c:v>145.41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155.44999999999999</c:v>
                </c:pt>
                <c:pt idx="411">
                  <c:v>143.86000000000001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146.18</c:v>
                </c:pt>
                <c:pt idx="423">
                  <c:v>156.22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155.44999999999999</c:v>
                </c:pt>
                <c:pt idx="436">
                  <c:v>147.72</c:v>
                </c:pt>
                <c:pt idx="437">
                  <c:v>141.54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142.32</c:v>
                </c:pt>
                <c:pt idx="448">
                  <c:v>157.76</c:v>
                </c:pt>
                <c:pt idx="449">
                  <c:v>143.86000000000001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151.58000000000001</c:v>
                </c:pt>
                <c:pt idx="461">
                  <c:v>153.13</c:v>
                </c:pt>
                <c:pt idx="462">
                  <c:v>145.41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140.77000000000001</c:v>
                </c:pt>
                <c:pt idx="473">
                  <c:v>161.63</c:v>
                </c:pt>
                <c:pt idx="474">
                  <c:v>147.72</c:v>
                </c:pt>
                <c:pt idx="475">
                  <c:v>143.09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148.5</c:v>
                </c:pt>
                <c:pt idx="486">
                  <c:v>159.31</c:v>
                </c:pt>
                <c:pt idx="487">
                  <c:v>150.04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150.81</c:v>
                </c:pt>
                <c:pt idx="499">
                  <c:v>161.63</c:v>
                </c:pt>
                <c:pt idx="500">
                  <c:v>146.94999999999999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158.54</c:v>
                </c:pt>
                <c:pt idx="512">
                  <c:v>155.44999999999999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145.41</c:v>
                </c:pt>
                <c:pt idx="524">
                  <c:v>163.94</c:v>
                </c:pt>
                <c:pt idx="525">
                  <c:v>148.5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151.59</c:v>
                </c:pt>
                <c:pt idx="537">
                  <c:v>161.63</c:v>
                </c:pt>
                <c:pt idx="538">
                  <c:v>141.54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155.44999999999999</c:v>
                </c:pt>
                <c:pt idx="550">
                  <c:v>152.36000000000001</c:v>
                </c:pt>
                <c:pt idx="551">
                  <c:v>140.77000000000001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144.63</c:v>
                </c:pt>
                <c:pt idx="562">
                  <c:v>156.99</c:v>
                </c:pt>
                <c:pt idx="563">
                  <c:v>142.32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150.04</c:v>
                </c:pt>
                <c:pt idx="575">
                  <c:v>150.04</c:v>
                </c:pt>
                <c:pt idx="576">
                  <c:v>142.32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153.9</c:v>
                </c:pt>
                <c:pt idx="588">
                  <c:v>146.94999999999999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150.04</c:v>
                </c:pt>
                <c:pt idx="601">
                  <c:v>149.27000000000001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144.63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43-439B-9707-60C9BD67FDE3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Hoja1!$BL$2:$BL$696</c:f>
              <c:numCache>
                <c:formatCode>0.00</c:formatCode>
                <c:ptCount val="695"/>
                <c:pt idx="0">
                  <c:v>142.626</c:v>
                </c:pt>
                <c:pt idx="1">
                  <c:v>139.07400000000001</c:v>
                </c:pt>
                <c:pt idx="2">
                  <c:v>138.91800000000001</c:v>
                </c:pt>
                <c:pt idx="3">
                  <c:v>139.38200000000001</c:v>
                </c:pt>
                <c:pt idx="4">
                  <c:v>140.30799999999999</c:v>
                </c:pt>
                <c:pt idx="5">
                  <c:v>139.69200000000001</c:v>
                </c:pt>
                <c:pt idx="6">
                  <c:v>140.92599999999999</c:v>
                </c:pt>
                <c:pt idx="7">
                  <c:v>139.69200000000001</c:v>
                </c:pt>
                <c:pt idx="8">
                  <c:v>139.69</c:v>
                </c:pt>
                <c:pt idx="9">
                  <c:v>140.61799999999999</c:v>
                </c:pt>
                <c:pt idx="10">
                  <c:v>139.53800000000001</c:v>
                </c:pt>
                <c:pt idx="11">
                  <c:v>140.46199999999999</c:v>
                </c:pt>
                <c:pt idx="12">
                  <c:v>140</c:v>
                </c:pt>
                <c:pt idx="13">
                  <c:v>139.846</c:v>
                </c:pt>
                <c:pt idx="14">
                  <c:v>140</c:v>
                </c:pt>
                <c:pt idx="15">
                  <c:v>140.154</c:v>
                </c:pt>
                <c:pt idx="16">
                  <c:v>139.846</c:v>
                </c:pt>
                <c:pt idx="17">
                  <c:v>140.154</c:v>
                </c:pt>
                <c:pt idx="18">
                  <c:v>140</c:v>
                </c:pt>
                <c:pt idx="19">
                  <c:v>140.31</c:v>
                </c:pt>
                <c:pt idx="20">
                  <c:v>139.69</c:v>
                </c:pt>
                <c:pt idx="21">
                  <c:v>140.15600000000001</c:v>
                </c:pt>
                <c:pt idx="22">
                  <c:v>139.536</c:v>
                </c:pt>
                <c:pt idx="23">
                  <c:v>141.08199999999999</c:v>
                </c:pt>
                <c:pt idx="24">
                  <c:v>139.38200000000001</c:v>
                </c:pt>
                <c:pt idx="25">
                  <c:v>139.84399999999999</c:v>
                </c:pt>
                <c:pt idx="26">
                  <c:v>140.464</c:v>
                </c:pt>
                <c:pt idx="27">
                  <c:v>139.07400000000001</c:v>
                </c:pt>
                <c:pt idx="28">
                  <c:v>140.77199999999999</c:v>
                </c:pt>
                <c:pt idx="29">
                  <c:v>139.38200000000001</c:v>
                </c:pt>
                <c:pt idx="30">
                  <c:v>140.92599999999999</c:v>
                </c:pt>
                <c:pt idx="31">
                  <c:v>139.38200000000001</c:v>
                </c:pt>
                <c:pt idx="32">
                  <c:v>140.31</c:v>
                </c:pt>
                <c:pt idx="33">
                  <c:v>139.69</c:v>
                </c:pt>
                <c:pt idx="34">
                  <c:v>139.69200000000001</c:v>
                </c:pt>
                <c:pt idx="35">
                  <c:v>141.08199999999999</c:v>
                </c:pt>
                <c:pt idx="36">
                  <c:v>139.072</c:v>
                </c:pt>
                <c:pt idx="37">
                  <c:v>140.928</c:v>
                </c:pt>
                <c:pt idx="38">
                  <c:v>139.226</c:v>
                </c:pt>
                <c:pt idx="39">
                  <c:v>140.15600000000001</c:v>
                </c:pt>
                <c:pt idx="40">
                  <c:v>140</c:v>
                </c:pt>
                <c:pt idx="41">
                  <c:v>140.154</c:v>
                </c:pt>
                <c:pt idx="42">
                  <c:v>140.154</c:v>
                </c:pt>
                <c:pt idx="43">
                  <c:v>139.22800000000001</c:v>
                </c:pt>
                <c:pt idx="44">
                  <c:v>141.23599999999999</c:v>
                </c:pt>
                <c:pt idx="45">
                  <c:v>138.91800000000001</c:v>
                </c:pt>
                <c:pt idx="46">
                  <c:v>140.61799999999999</c:v>
                </c:pt>
                <c:pt idx="47">
                  <c:v>139.846</c:v>
                </c:pt>
                <c:pt idx="48">
                  <c:v>139.69</c:v>
                </c:pt>
                <c:pt idx="49">
                  <c:v>141.23599999999999</c:v>
                </c:pt>
                <c:pt idx="50">
                  <c:v>138.91999999999999</c:v>
                </c:pt>
                <c:pt idx="51">
                  <c:v>140.61799999999999</c:v>
                </c:pt>
                <c:pt idx="52">
                  <c:v>139.536</c:v>
                </c:pt>
                <c:pt idx="53">
                  <c:v>140.154</c:v>
                </c:pt>
                <c:pt idx="54">
                  <c:v>140.464</c:v>
                </c:pt>
                <c:pt idx="55">
                  <c:v>139.38200000000001</c:v>
                </c:pt>
                <c:pt idx="56">
                  <c:v>140.77199999999999</c:v>
                </c:pt>
                <c:pt idx="57">
                  <c:v>139.38200000000001</c:v>
                </c:pt>
                <c:pt idx="58">
                  <c:v>140.464</c:v>
                </c:pt>
                <c:pt idx="59">
                  <c:v>139.846</c:v>
                </c:pt>
                <c:pt idx="60">
                  <c:v>140.154</c:v>
                </c:pt>
                <c:pt idx="61">
                  <c:v>140.154</c:v>
                </c:pt>
                <c:pt idx="62">
                  <c:v>140.31</c:v>
                </c:pt>
                <c:pt idx="63">
                  <c:v>139.84399999999999</c:v>
                </c:pt>
                <c:pt idx="64">
                  <c:v>139.07400000000001</c:v>
                </c:pt>
                <c:pt idx="65">
                  <c:v>140.92599999999999</c:v>
                </c:pt>
                <c:pt idx="66">
                  <c:v>139.38200000000001</c:v>
                </c:pt>
                <c:pt idx="67">
                  <c:v>141.08199999999999</c:v>
                </c:pt>
                <c:pt idx="68">
                  <c:v>138.76400000000001</c:v>
                </c:pt>
                <c:pt idx="69">
                  <c:v>141.08199999999999</c:v>
                </c:pt>
                <c:pt idx="70">
                  <c:v>138.76400000000001</c:v>
                </c:pt>
                <c:pt idx="71">
                  <c:v>140.77199999999999</c:v>
                </c:pt>
                <c:pt idx="72">
                  <c:v>140.464</c:v>
                </c:pt>
                <c:pt idx="73">
                  <c:v>139.22800000000001</c:v>
                </c:pt>
                <c:pt idx="74">
                  <c:v>140.92599999999999</c:v>
                </c:pt>
                <c:pt idx="75">
                  <c:v>139.07400000000001</c:v>
                </c:pt>
                <c:pt idx="76">
                  <c:v>140.77199999999999</c:v>
                </c:pt>
                <c:pt idx="77">
                  <c:v>139.072</c:v>
                </c:pt>
                <c:pt idx="78">
                  <c:v>140.31</c:v>
                </c:pt>
                <c:pt idx="79">
                  <c:v>139.846</c:v>
                </c:pt>
                <c:pt idx="80">
                  <c:v>140.92599999999999</c:v>
                </c:pt>
                <c:pt idx="81">
                  <c:v>139.07400000000001</c:v>
                </c:pt>
                <c:pt idx="82">
                  <c:v>141.23400000000001</c:v>
                </c:pt>
                <c:pt idx="83">
                  <c:v>138.91999999999999</c:v>
                </c:pt>
                <c:pt idx="84">
                  <c:v>140.154</c:v>
                </c:pt>
                <c:pt idx="85">
                  <c:v>139.846</c:v>
                </c:pt>
                <c:pt idx="86">
                  <c:v>140.154</c:v>
                </c:pt>
                <c:pt idx="87">
                  <c:v>140.464</c:v>
                </c:pt>
                <c:pt idx="88">
                  <c:v>140</c:v>
                </c:pt>
                <c:pt idx="89">
                  <c:v>139.69</c:v>
                </c:pt>
                <c:pt idx="90">
                  <c:v>139.53800000000001</c:v>
                </c:pt>
                <c:pt idx="91">
                  <c:v>140.30799999999999</c:v>
                </c:pt>
                <c:pt idx="92">
                  <c:v>140</c:v>
                </c:pt>
                <c:pt idx="93">
                  <c:v>139.846</c:v>
                </c:pt>
                <c:pt idx="94">
                  <c:v>140</c:v>
                </c:pt>
                <c:pt idx="95">
                  <c:v>140</c:v>
                </c:pt>
                <c:pt idx="96">
                  <c:v>139.846</c:v>
                </c:pt>
                <c:pt idx="97">
                  <c:v>140.77199999999999</c:v>
                </c:pt>
                <c:pt idx="98">
                  <c:v>139.22800000000001</c:v>
                </c:pt>
                <c:pt idx="99">
                  <c:v>140.77199999999999</c:v>
                </c:pt>
                <c:pt idx="100">
                  <c:v>139.69</c:v>
                </c:pt>
                <c:pt idx="101">
                  <c:v>140.928</c:v>
                </c:pt>
                <c:pt idx="102">
                  <c:v>139.38200000000001</c:v>
                </c:pt>
                <c:pt idx="103">
                  <c:v>140.30799999999999</c:v>
                </c:pt>
                <c:pt idx="104">
                  <c:v>139.53800000000001</c:v>
                </c:pt>
                <c:pt idx="105">
                  <c:v>140.46199999999999</c:v>
                </c:pt>
                <c:pt idx="106">
                  <c:v>140.154</c:v>
                </c:pt>
                <c:pt idx="107">
                  <c:v>139.38399999999999</c:v>
                </c:pt>
                <c:pt idx="108">
                  <c:v>140.154</c:v>
                </c:pt>
                <c:pt idx="109">
                  <c:v>140.154</c:v>
                </c:pt>
                <c:pt idx="110">
                  <c:v>139.536</c:v>
                </c:pt>
                <c:pt idx="111">
                  <c:v>140.61799999999999</c:v>
                </c:pt>
                <c:pt idx="112">
                  <c:v>140.154</c:v>
                </c:pt>
                <c:pt idx="113">
                  <c:v>141.392</c:v>
                </c:pt>
                <c:pt idx="114">
                  <c:v>139.072</c:v>
                </c:pt>
                <c:pt idx="115">
                  <c:v>139.69200000000001</c:v>
                </c:pt>
                <c:pt idx="116">
                  <c:v>139.536</c:v>
                </c:pt>
                <c:pt idx="117">
                  <c:v>140.30799999999999</c:v>
                </c:pt>
                <c:pt idx="118">
                  <c:v>140</c:v>
                </c:pt>
                <c:pt idx="119">
                  <c:v>140.774</c:v>
                </c:pt>
                <c:pt idx="120">
                  <c:v>139.536</c:v>
                </c:pt>
                <c:pt idx="121">
                  <c:v>139.536</c:v>
                </c:pt>
                <c:pt idx="122">
                  <c:v>139.69200000000001</c:v>
                </c:pt>
                <c:pt idx="123">
                  <c:v>140.30799999999999</c:v>
                </c:pt>
                <c:pt idx="124">
                  <c:v>140.464</c:v>
                </c:pt>
                <c:pt idx="125">
                  <c:v>140.464</c:v>
                </c:pt>
                <c:pt idx="126">
                  <c:v>140.46199999999999</c:v>
                </c:pt>
                <c:pt idx="127">
                  <c:v>139.07400000000001</c:v>
                </c:pt>
                <c:pt idx="128">
                  <c:v>139.846</c:v>
                </c:pt>
                <c:pt idx="129">
                  <c:v>139.536</c:v>
                </c:pt>
                <c:pt idx="130">
                  <c:v>140.77199999999999</c:v>
                </c:pt>
                <c:pt idx="131">
                  <c:v>140</c:v>
                </c:pt>
                <c:pt idx="132">
                  <c:v>140.154</c:v>
                </c:pt>
                <c:pt idx="133">
                  <c:v>138.91999999999999</c:v>
                </c:pt>
                <c:pt idx="134">
                  <c:v>140.30799999999999</c:v>
                </c:pt>
                <c:pt idx="135">
                  <c:v>140.154</c:v>
                </c:pt>
                <c:pt idx="136">
                  <c:v>140.464</c:v>
                </c:pt>
                <c:pt idx="137">
                  <c:v>139.69200000000001</c:v>
                </c:pt>
                <c:pt idx="138">
                  <c:v>141.23599999999999</c:v>
                </c:pt>
                <c:pt idx="139">
                  <c:v>140.154</c:v>
                </c:pt>
                <c:pt idx="140">
                  <c:v>138.61000000000001</c:v>
                </c:pt>
                <c:pt idx="141">
                  <c:v>140</c:v>
                </c:pt>
                <c:pt idx="142">
                  <c:v>139.84399999999999</c:v>
                </c:pt>
                <c:pt idx="143">
                  <c:v>139.53800000000001</c:v>
                </c:pt>
                <c:pt idx="144">
                  <c:v>141.23599999999999</c:v>
                </c:pt>
                <c:pt idx="145">
                  <c:v>139.536</c:v>
                </c:pt>
                <c:pt idx="146">
                  <c:v>139.69</c:v>
                </c:pt>
                <c:pt idx="147">
                  <c:v>140</c:v>
                </c:pt>
                <c:pt idx="148">
                  <c:v>139.53800000000001</c:v>
                </c:pt>
                <c:pt idx="149">
                  <c:v>140.92599999999999</c:v>
                </c:pt>
                <c:pt idx="150">
                  <c:v>140</c:v>
                </c:pt>
                <c:pt idx="151">
                  <c:v>140.464</c:v>
                </c:pt>
                <c:pt idx="152">
                  <c:v>142.47200000000001</c:v>
                </c:pt>
                <c:pt idx="153">
                  <c:v>137.68199999999999</c:v>
                </c:pt>
                <c:pt idx="154">
                  <c:v>138.61000000000001</c:v>
                </c:pt>
                <c:pt idx="155">
                  <c:v>140</c:v>
                </c:pt>
                <c:pt idx="156">
                  <c:v>140.30799999999999</c:v>
                </c:pt>
                <c:pt idx="157">
                  <c:v>140.464</c:v>
                </c:pt>
                <c:pt idx="158">
                  <c:v>140</c:v>
                </c:pt>
                <c:pt idx="159">
                  <c:v>139.38200000000001</c:v>
                </c:pt>
                <c:pt idx="160">
                  <c:v>140.31</c:v>
                </c:pt>
                <c:pt idx="161">
                  <c:v>139.536</c:v>
                </c:pt>
                <c:pt idx="162">
                  <c:v>140</c:v>
                </c:pt>
                <c:pt idx="163">
                  <c:v>139.536</c:v>
                </c:pt>
                <c:pt idx="164">
                  <c:v>140.31</c:v>
                </c:pt>
                <c:pt idx="165">
                  <c:v>144.47999999999999</c:v>
                </c:pt>
                <c:pt idx="166">
                  <c:v>139.38200000000001</c:v>
                </c:pt>
                <c:pt idx="167">
                  <c:v>137.21799999999999</c:v>
                </c:pt>
                <c:pt idx="168">
                  <c:v>139.38200000000001</c:v>
                </c:pt>
                <c:pt idx="169">
                  <c:v>139.07400000000001</c:v>
                </c:pt>
                <c:pt idx="170">
                  <c:v>140.61799999999999</c:v>
                </c:pt>
                <c:pt idx="171">
                  <c:v>140.30799999999999</c:v>
                </c:pt>
                <c:pt idx="172">
                  <c:v>139.69200000000001</c:v>
                </c:pt>
                <c:pt idx="173">
                  <c:v>139.536</c:v>
                </c:pt>
                <c:pt idx="174">
                  <c:v>140.464</c:v>
                </c:pt>
                <c:pt idx="175">
                  <c:v>139.07400000000001</c:v>
                </c:pt>
                <c:pt idx="176">
                  <c:v>141.23400000000001</c:v>
                </c:pt>
                <c:pt idx="177">
                  <c:v>140.31</c:v>
                </c:pt>
                <c:pt idx="178">
                  <c:v>144.16999999999999</c:v>
                </c:pt>
                <c:pt idx="179">
                  <c:v>139.38200000000001</c:v>
                </c:pt>
                <c:pt idx="180">
                  <c:v>137.99199999999999</c:v>
                </c:pt>
                <c:pt idx="181">
                  <c:v>137.83799999999999</c:v>
                </c:pt>
                <c:pt idx="182">
                  <c:v>139.07400000000001</c:v>
                </c:pt>
                <c:pt idx="183">
                  <c:v>140.154</c:v>
                </c:pt>
                <c:pt idx="184">
                  <c:v>140.154</c:v>
                </c:pt>
                <c:pt idx="185">
                  <c:v>139.69200000000001</c:v>
                </c:pt>
                <c:pt idx="186">
                  <c:v>140.92599999999999</c:v>
                </c:pt>
                <c:pt idx="187">
                  <c:v>140.464</c:v>
                </c:pt>
                <c:pt idx="188">
                  <c:v>140</c:v>
                </c:pt>
                <c:pt idx="189">
                  <c:v>139.69</c:v>
                </c:pt>
                <c:pt idx="190">
                  <c:v>140.928</c:v>
                </c:pt>
                <c:pt idx="191">
                  <c:v>144.01599999999999</c:v>
                </c:pt>
                <c:pt idx="192">
                  <c:v>138.45400000000001</c:v>
                </c:pt>
                <c:pt idx="193">
                  <c:v>138.61000000000001</c:v>
                </c:pt>
                <c:pt idx="194">
                  <c:v>138.61000000000001</c:v>
                </c:pt>
                <c:pt idx="195">
                  <c:v>137.684</c:v>
                </c:pt>
                <c:pt idx="196">
                  <c:v>140</c:v>
                </c:pt>
                <c:pt idx="197">
                  <c:v>140.154</c:v>
                </c:pt>
                <c:pt idx="198">
                  <c:v>141.08199999999999</c:v>
                </c:pt>
                <c:pt idx="199">
                  <c:v>141.08000000000001</c:v>
                </c:pt>
                <c:pt idx="200">
                  <c:v>139.69200000000001</c:v>
                </c:pt>
                <c:pt idx="201">
                  <c:v>139.84399999999999</c:v>
                </c:pt>
                <c:pt idx="202">
                  <c:v>139.846</c:v>
                </c:pt>
                <c:pt idx="203">
                  <c:v>140.464</c:v>
                </c:pt>
                <c:pt idx="204">
                  <c:v>143.398</c:v>
                </c:pt>
                <c:pt idx="205">
                  <c:v>139.07400000000001</c:v>
                </c:pt>
                <c:pt idx="206">
                  <c:v>137.374</c:v>
                </c:pt>
                <c:pt idx="207">
                  <c:v>139.38200000000001</c:v>
                </c:pt>
                <c:pt idx="208">
                  <c:v>138.30000000000001</c:v>
                </c:pt>
                <c:pt idx="209">
                  <c:v>141.69999999999999</c:v>
                </c:pt>
                <c:pt idx="210">
                  <c:v>140.46199999999999</c:v>
                </c:pt>
                <c:pt idx="211">
                  <c:v>140</c:v>
                </c:pt>
                <c:pt idx="212">
                  <c:v>140</c:v>
                </c:pt>
                <c:pt idx="213">
                  <c:v>140.31</c:v>
                </c:pt>
                <c:pt idx="214">
                  <c:v>139.536</c:v>
                </c:pt>
                <c:pt idx="215">
                  <c:v>139.846</c:v>
                </c:pt>
                <c:pt idx="216">
                  <c:v>140.154</c:v>
                </c:pt>
                <c:pt idx="217">
                  <c:v>142.00800000000001</c:v>
                </c:pt>
                <c:pt idx="218">
                  <c:v>140.31</c:v>
                </c:pt>
                <c:pt idx="219">
                  <c:v>137.52799999999999</c:v>
                </c:pt>
                <c:pt idx="220">
                  <c:v>138.91800000000001</c:v>
                </c:pt>
                <c:pt idx="221">
                  <c:v>139.22800000000001</c:v>
                </c:pt>
                <c:pt idx="222">
                  <c:v>142.78</c:v>
                </c:pt>
                <c:pt idx="223">
                  <c:v>139.69200000000001</c:v>
                </c:pt>
                <c:pt idx="224">
                  <c:v>139.22800000000001</c:v>
                </c:pt>
                <c:pt idx="225">
                  <c:v>140.61799999999999</c:v>
                </c:pt>
                <c:pt idx="226">
                  <c:v>139.226</c:v>
                </c:pt>
                <c:pt idx="227">
                  <c:v>141.08199999999999</c:v>
                </c:pt>
                <c:pt idx="228">
                  <c:v>139.69200000000001</c:v>
                </c:pt>
                <c:pt idx="229">
                  <c:v>140.61799999999999</c:v>
                </c:pt>
                <c:pt idx="230">
                  <c:v>141.23400000000001</c:v>
                </c:pt>
                <c:pt idx="231">
                  <c:v>139.38399999999999</c:v>
                </c:pt>
                <c:pt idx="232">
                  <c:v>137.374</c:v>
                </c:pt>
                <c:pt idx="233">
                  <c:v>139.84399999999999</c:v>
                </c:pt>
                <c:pt idx="234">
                  <c:v>140</c:v>
                </c:pt>
                <c:pt idx="235">
                  <c:v>142.00800000000001</c:v>
                </c:pt>
                <c:pt idx="236">
                  <c:v>140.15600000000001</c:v>
                </c:pt>
                <c:pt idx="237">
                  <c:v>139.072</c:v>
                </c:pt>
                <c:pt idx="238">
                  <c:v>139.846</c:v>
                </c:pt>
                <c:pt idx="239">
                  <c:v>139.38200000000001</c:v>
                </c:pt>
                <c:pt idx="240">
                  <c:v>140.464</c:v>
                </c:pt>
                <c:pt idx="241">
                  <c:v>140.77199999999999</c:v>
                </c:pt>
                <c:pt idx="242">
                  <c:v>140</c:v>
                </c:pt>
                <c:pt idx="243">
                  <c:v>141.54400000000001</c:v>
                </c:pt>
                <c:pt idx="244">
                  <c:v>138.14599999999999</c:v>
                </c:pt>
                <c:pt idx="245">
                  <c:v>139.38200000000001</c:v>
                </c:pt>
                <c:pt idx="246">
                  <c:v>140.61799999999999</c:v>
                </c:pt>
                <c:pt idx="247">
                  <c:v>139.38399999999999</c:v>
                </c:pt>
                <c:pt idx="248">
                  <c:v>140</c:v>
                </c:pt>
                <c:pt idx="249">
                  <c:v>139.84399999999999</c:v>
                </c:pt>
                <c:pt idx="250">
                  <c:v>141.23599999999999</c:v>
                </c:pt>
                <c:pt idx="251">
                  <c:v>139.846</c:v>
                </c:pt>
                <c:pt idx="252">
                  <c:v>139.07400000000001</c:v>
                </c:pt>
                <c:pt idx="253">
                  <c:v>140.30799999999999</c:v>
                </c:pt>
                <c:pt idx="254">
                  <c:v>141.08199999999999</c:v>
                </c:pt>
                <c:pt idx="255">
                  <c:v>139.536</c:v>
                </c:pt>
                <c:pt idx="256">
                  <c:v>140</c:v>
                </c:pt>
                <c:pt idx="257">
                  <c:v>141.38999999999999</c:v>
                </c:pt>
                <c:pt idx="258">
                  <c:v>137.99199999999999</c:v>
                </c:pt>
                <c:pt idx="259">
                  <c:v>139.07400000000001</c:v>
                </c:pt>
                <c:pt idx="260">
                  <c:v>140.46199999999999</c:v>
                </c:pt>
                <c:pt idx="261">
                  <c:v>141.69999999999999</c:v>
                </c:pt>
                <c:pt idx="262">
                  <c:v>137.99199999999999</c:v>
                </c:pt>
                <c:pt idx="263">
                  <c:v>140.77199999999999</c:v>
                </c:pt>
                <c:pt idx="264">
                  <c:v>141.23599999999999</c:v>
                </c:pt>
                <c:pt idx="265">
                  <c:v>137.83799999999999</c:v>
                </c:pt>
                <c:pt idx="266">
                  <c:v>141.38999999999999</c:v>
                </c:pt>
                <c:pt idx="267">
                  <c:v>140.154</c:v>
                </c:pt>
                <c:pt idx="268">
                  <c:v>138.30000000000001</c:v>
                </c:pt>
                <c:pt idx="269">
                  <c:v>142.16399999999999</c:v>
                </c:pt>
                <c:pt idx="270">
                  <c:v>136.6</c:v>
                </c:pt>
                <c:pt idx="271">
                  <c:v>136.91200000000001</c:v>
                </c:pt>
                <c:pt idx="272">
                  <c:v>139.536</c:v>
                </c:pt>
                <c:pt idx="273">
                  <c:v>139.38200000000001</c:v>
                </c:pt>
                <c:pt idx="274">
                  <c:v>141.54400000000001</c:v>
                </c:pt>
                <c:pt idx="275">
                  <c:v>139.38399999999999</c:v>
                </c:pt>
                <c:pt idx="276">
                  <c:v>140.30799999999999</c:v>
                </c:pt>
                <c:pt idx="277">
                  <c:v>140.154</c:v>
                </c:pt>
                <c:pt idx="278">
                  <c:v>140.154</c:v>
                </c:pt>
                <c:pt idx="279">
                  <c:v>139.846</c:v>
                </c:pt>
                <c:pt idx="280">
                  <c:v>140.31</c:v>
                </c:pt>
                <c:pt idx="281">
                  <c:v>139.84399999999999</c:v>
                </c:pt>
                <c:pt idx="282">
                  <c:v>142.01</c:v>
                </c:pt>
                <c:pt idx="283">
                  <c:v>138.76400000000001</c:v>
                </c:pt>
                <c:pt idx="284">
                  <c:v>139.072</c:v>
                </c:pt>
                <c:pt idx="285">
                  <c:v>140.464</c:v>
                </c:pt>
                <c:pt idx="286">
                  <c:v>139.536</c:v>
                </c:pt>
                <c:pt idx="287">
                  <c:v>140.77199999999999</c:v>
                </c:pt>
                <c:pt idx="288">
                  <c:v>139.53800000000001</c:v>
                </c:pt>
                <c:pt idx="289">
                  <c:v>140</c:v>
                </c:pt>
                <c:pt idx="290">
                  <c:v>140.61799999999999</c:v>
                </c:pt>
                <c:pt idx="291">
                  <c:v>139.226</c:v>
                </c:pt>
                <c:pt idx="292">
                  <c:v>140.464</c:v>
                </c:pt>
                <c:pt idx="293">
                  <c:v>140.31</c:v>
                </c:pt>
                <c:pt idx="294">
                  <c:v>140</c:v>
                </c:pt>
                <c:pt idx="295">
                  <c:v>141.69800000000001</c:v>
                </c:pt>
                <c:pt idx="296">
                  <c:v>138.76400000000001</c:v>
                </c:pt>
                <c:pt idx="297">
                  <c:v>139.07400000000001</c:v>
                </c:pt>
                <c:pt idx="298">
                  <c:v>140</c:v>
                </c:pt>
                <c:pt idx="299">
                  <c:v>139.38200000000001</c:v>
                </c:pt>
                <c:pt idx="300">
                  <c:v>140.92599999999999</c:v>
                </c:pt>
                <c:pt idx="301">
                  <c:v>140</c:v>
                </c:pt>
                <c:pt idx="302">
                  <c:v>140</c:v>
                </c:pt>
                <c:pt idx="303">
                  <c:v>139.53800000000001</c:v>
                </c:pt>
                <c:pt idx="304">
                  <c:v>140.61799999999999</c:v>
                </c:pt>
                <c:pt idx="305">
                  <c:v>139.84399999999999</c:v>
                </c:pt>
                <c:pt idx="306">
                  <c:v>140</c:v>
                </c:pt>
                <c:pt idx="307">
                  <c:v>140.31</c:v>
                </c:pt>
                <c:pt idx="308">
                  <c:v>142.00800000000001</c:v>
                </c:pt>
                <c:pt idx="309">
                  <c:v>138.61000000000001</c:v>
                </c:pt>
                <c:pt idx="310">
                  <c:v>138.76400000000001</c:v>
                </c:pt>
                <c:pt idx="311">
                  <c:v>139.38200000000001</c:v>
                </c:pt>
                <c:pt idx="312">
                  <c:v>140</c:v>
                </c:pt>
                <c:pt idx="313">
                  <c:v>141.85400000000001</c:v>
                </c:pt>
                <c:pt idx="314">
                  <c:v>138.91800000000001</c:v>
                </c:pt>
                <c:pt idx="315">
                  <c:v>139.846</c:v>
                </c:pt>
                <c:pt idx="316">
                  <c:v>140.61799999999999</c:v>
                </c:pt>
                <c:pt idx="317">
                  <c:v>140</c:v>
                </c:pt>
                <c:pt idx="318">
                  <c:v>140.30799999999999</c:v>
                </c:pt>
                <c:pt idx="319">
                  <c:v>139.22800000000001</c:v>
                </c:pt>
                <c:pt idx="320">
                  <c:v>141.23599999999999</c:v>
                </c:pt>
                <c:pt idx="321">
                  <c:v>141.54400000000001</c:v>
                </c:pt>
                <c:pt idx="322">
                  <c:v>138.61000000000001</c:v>
                </c:pt>
                <c:pt idx="323">
                  <c:v>138.45599999999999</c:v>
                </c:pt>
                <c:pt idx="324">
                  <c:v>138.76400000000001</c:v>
                </c:pt>
                <c:pt idx="325">
                  <c:v>141.85400000000001</c:v>
                </c:pt>
                <c:pt idx="326">
                  <c:v>140.154</c:v>
                </c:pt>
                <c:pt idx="327">
                  <c:v>139.69200000000001</c:v>
                </c:pt>
                <c:pt idx="328">
                  <c:v>139.69</c:v>
                </c:pt>
                <c:pt idx="329">
                  <c:v>139.846</c:v>
                </c:pt>
                <c:pt idx="330">
                  <c:v>141.08199999999999</c:v>
                </c:pt>
                <c:pt idx="331">
                  <c:v>139.38200000000001</c:v>
                </c:pt>
                <c:pt idx="332">
                  <c:v>140.46199999999999</c:v>
                </c:pt>
                <c:pt idx="333">
                  <c:v>141.54599999999999</c:v>
                </c:pt>
                <c:pt idx="334">
                  <c:v>140.61799999999999</c:v>
                </c:pt>
                <c:pt idx="335">
                  <c:v>138.30000000000001</c:v>
                </c:pt>
                <c:pt idx="336">
                  <c:v>138.30000000000001</c:v>
                </c:pt>
                <c:pt idx="337">
                  <c:v>139.07400000000001</c:v>
                </c:pt>
                <c:pt idx="338">
                  <c:v>141.38999999999999</c:v>
                </c:pt>
                <c:pt idx="339">
                  <c:v>140.31</c:v>
                </c:pt>
                <c:pt idx="340">
                  <c:v>139.84399999999999</c:v>
                </c:pt>
                <c:pt idx="341">
                  <c:v>140</c:v>
                </c:pt>
                <c:pt idx="342">
                  <c:v>140.464</c:v>
                </c:pt>
                <c:pt idx="343">
                  <c:v>139.536</c:v>
                </c:pt>
                <c:pt idx="344">
                  <c:v>140.464</c:v>
                </c:pt>
                <c:pt idx="345">
                  <c:v>139.846</c:v>
                </c:pt>
                <c:pt idx="346">
                  <c:v>142.78</c:v>
                </c:pt>
                <c:pt idx="347">
                  <c:v>140</c:v>
                </c:pt>
                <c:pt idx="348">
                  <c:v>137.83799999999999</c:v>
                </c:pt>
                <c:pt idx="349">
                  <c:v>138.30000000000001</c:v>
                </c:pt>
                <c:pt idx="350">
                  <c:v>138.61000000000001</c:v>
                </c:pt>
                <c:pt idx="351">
                  <c:v>142.00800000000001</c:v>
                </c:pt>
                <c:pt idx="352">
                  <c:v>140.31</c:v>
                </c:pt>
                <c:pt idx="353">
                  <c:v>139.84399999999999</c:v>
                </c:pt>
                <c:pt idx="354">
                  <c:v>139.846</c:v>
                </c:pt>
                <c:pt idx="355">
                  <c:v>140.61799999999999</c:v>
                </c:pt>
                <c:pt idx="356">
                  <c:v>139.846</c:v>
                </c:pt>
                <c:pt idx="357">
                  <c:v>140</c:v>
                </c:pt>
                <c:pt idx="358">
                  <c:v>140.92599999999999</c:v>
                </c:pt>
                <c:pt idx="359">
                  <c:v>142.31800000000001</c:v>
                </c:pt>
                <c:pt idx="360">
                  <c:v>139.69</c:v>
                </c:pt>
                <c:pt idx="361">
                  <c:v>137.53</c:v>
                </c:pt>
                <c:pt idx="362">
                  <c:v>138.45400000000001</c:v>
                </c:pt>
                <c:pt idx="363">
                  <c:v>138.76400000000001</c:v>
                </c:pt>
                <c:pt idx="364">
                  <c:v>141.85400000000001</c:v>
                </c:pt>
                <c:pt idx="365">
                  <c:v>140.154</c:v>
                </c:pt>
                <c:pt idx="366">
                  <c:v>140.15600000000001</c:v>
                </c:pt>
                <c:pt idx="367">
                  <c:v>140.154</c:v>
                </c:pt>
                <c:pt idx="368">
                  <c:v>140.154</c:v>
                </c:pt>
                <c:pt idx="369">
                  <c:v>139.846</c:v>
                </c:pt>
                <c:pt idx="370">
                  <c:v>140.154</c:v>
                </c:pt>
                <c:pt idx="371">
                  <c:v>142.00800000000001</c:v>
                </c:pt>
                <c:pt idx="372">
                  <c:v>142.16200000000001</c:v>
                </c:pt>
                <c:pt idx="373">
                  <c:v>137.22</c:v>
                </c:pt>
                <c:pt idx="374">
                  <c:v>138.76400000000001</c:v>
                </c:pt>
                <c:pt idx="375">
                  <c:v>137.83799999999999</c:v>
                </c:pt>
                <c:pt idx="376">
                  <c:v>140</c:v>
                </c:pt>
                <c:pt idx="377">
                  <c:v>141.23599999999999</c:v>
                </c:pt>
                <c:pt idx="378">
                  <c:v>140</c:v>
                </c:pt>
                <c:pt idx="379">
                  <c:v>140.77199999999999</c:v>
                </c:pt>
                <c:pt idx="380">
                  <c:v>139.69200000000001</c:v>
                </c:pt>
                <c:pt idx="381">
                  <c:v>140.30799999999999</c:v>
                </c:pt>
                <c:pt idx="382">
                  <c:v>139.536</c:v>
                </c:pt>
                <c:pt idx="383">
                  <c:v>141.08199999999999</c:v>
                </c:pt>
                <c:pt idx="384">
                  <c:v>143.55199999999999</c:v>
                </c:pt>
                <c:pt idx="385">
                  <c:v>139.07400000000001</c:v>
                </c:pt>
                <c:pt idx="386">
                  <c:v>137.52799999999999</c:v>
                </c:pt>
                <c:pt idx="387">
                  <c:v>139.07400000000001</c:v>
                </c:pt>
                <c:pt idx="388">
                  <c:v>137.99199999999999</c:v>
                </c:pt>
                <c:pt idx="389">
                  <c:v>140.77199999999999</c:v>
                </c:pt>
                <c:pt idx="390">
                  <c:v>140.61799999999999</c:v>
                </c:pt>
                <c:pt idx="391">
                  <c:v>140.154</c:v>
                </c:pt>
                <c:pt idx="392">
                  <c:v>140.154</c:v>
                </c:pt>
                <c:pt idx="393">
                  <c:v>140.31</c:v>
                </c:pt>
                <c:pt idx="394">
                  <c:v>140</c:v>
                </c:pt>
                <c:pt idx="395">
                  <c:v>140</c:v>
                </c:pt>
                <c:pt idx="396">
                  <c:v>140.61799999999999</c:v>
                </c:pt>
                <c:pt idx="397">
                  <c:v>144.32400000000001</c:v>
                </c:pt>
                <c:pt idx="398">
                  <c:v>137.53</c:v>
                </c:pt>
                <c:pt idx="399">
                  <c:v>138.30000000000001</c:v>
                </c:pt>
                <c:pt idx="400">
                  <c:v>138.30000000000001</c:v>
                </c:pt>
                <c:pt idx="401">
                  <c:v>139.07400000000001</c:v>
                </c:pt>
                <c:pt idx="402">
                  <c:v>141.23599999999999</c:v>
                </c:pt>
                <c:pt idx="403">
                  <c:v>139.69200000000001</c:v>
                </c:pt>
                <c:pt idx="404">
                  <c:v>140.61600000000001</c:v>
                </c:pt>
                <c:pt idx="405">
                  <c:v>140</c:v>
                </c:pt>
                <c:pt idx="406">
                  <c:v>140.464</c:v>
                </c:pt>
                <c:pt idx="407">
                  <c:v>139.846</c:v>
                </c:pt>
                <c:pt idx="408">
                  <c:v>140.30799999999999</c:v>
                </c:pt>
                <c:pt idx="409">
                  <c:v>140.928</c:v>
                </c:pt>
                <c:pt idx="410">
                  <c:v>143.244</c:v>
                </c:pt>
                <c:pt idx="411">
                  <c:v>137.68199999999999</c:v>
                </c:pt>
                <c:pt idx="412">
                  <c:v>138.45599999999999</c:v>
                </c:pt>
                <c:pt idx="413">
                  <c:v>138.30000000000001</c:v>
                </c:pt>
                <c:pt idx="414">
                  <c:v>139.38200000000001</c:v>
                </c:pt>
                <c:pt idx="415">
                  <c:v>140.928</c:v>
                </c:pt>
                <c:pt idx="416">
                  <c:v>140.46199999999999</c:v>
                </c:pt>
                <c:pt idx="417">
                  <c:v>140.15600000000001</c:v>
                </c:pt>
                <c:pt idx="418">
                  <c:v>140.154</c:v>
                </c:pt>
                <c:pt idx="419">
                  <c:v>140.154</c:v>
                </c:pt>
                <c:pt idx="420">
                  <c:v>140</c:v>
                </c:pt>
                <c:pt idx="421">
                  <c:v>140.154</c:v>
                </c:pt>
                <c:pt idx="422">
                  <c:v>142.31800000000001</c:v>
                </c:pt>
                <c:pt idx="423">
                  <c:v>142.00800000000001</c:v>
                </c:pt>
                <c:pt idx="424">
                  <c:v>136.44800000000001</c:v>
                </c:pt>
                <c:pt idx="425">
                  <c:v>139.072</c:v>
                </c:pt>
                <c:pt idx="426">
                  <c:v>138.30199999999999</c:v>
                </c:pt>
                <c:pt idx="427">
                  <c:v>140.154</c:v>
                </c:pt>
                <c:pt idx="428">
                  <c:v>141.23599999999999</c:v>
                </c:pt>
                <c:pt idx="429">
                  <c:v>139.84399999999999</c:v>
                </c:pt>
                <c:pt idx="430">
                  <c:v>140.15600000000001</c:v>
                </c:pt>
                <c:pt idx="431">
                  <c:v>140.46199999999999</c:v>
                </c:pt>
                <c:pt idx="432">
                  <c:v>139.846</c:v>
                </c:pt>
                <c:pt idx="433">
                  <c:v>140.154</c:v>
                </c:pt>
                <c:pt idx="434">
                  <c:v>140.464</c:v>
                </c:pt>
                <c:pt idx="435">
                  <c:v>143.708</c:v>
                </c:pt>
                <c:pt idx="436">
                  <c:v>138.45400000000001</c:v>
                </c:pt>
                <c:pt idx="437">
                  <c:v>138.76400000000001</c:v>
                </c:pt>
                <c:pt idx="438">
                  <c:v>138.30199999999999</c:v>
                </c:pt>
                <c:pt idx="439">
                  <c:v>138.76400000000001</c:v>
                </c:pt>
                <c:pt idx="440">
                  <c:v>140.31</c:v>
                </c:pt>
                <c:pt idx="441">
                  <c:v>139.99799999999999</c:v>
                </c:pt>
                <c:pt idx="442">
                  <c:v>140.464</c:v>
                </c:pt>
                <c:pt idx="443">
                  <c:v>140.31</c:v>
                </c:pt>
                <c:pt idx="444">
                  <c:v>140.30799999999999</c:v>
                </c:pt>
                <c:pt idx="445">
                  <c:v>139.846</c:v>
                </c:pt>
                <c:pt idx="446">
                  <c:v>140.30799999999999</c:v>
                </c:pt>
                <c:pt idx="447">
                  <c:v>141.54599999999999</c:v>
                </c:pt>
                <c:pt idx="448">
                  <c:v>143.08799999999999</c:v>
                </c:pt>
                <c:pt idx="449">
                  <c:v>137.22</c:v>
                </c:pt>
                <c:pt idx="450">
                  <c:v>139.22800000000001</c:v>
                </c:pt>
                <c:pt idx="451">
                  <c:v>138.91800000000001</c:v>
                </c:pt>
                <c:pt idx="452">
                  <c:v>139.07400000000001</c:v>
                </c:pt>
                <c:pt idx="453">
                  <c:v>139.536</c:v>
                </c:pt>
                <c:pt idx="454">
                  <c:v>140</c:v>
                </c:pt>
                <c:pt idx="455">
                  <c:v>140.15600000000001</c:v>
                </c:pt>
                <c:pt idx="456">
                  <c:v>141.08000000000001</c:v>
                </c:pt>
                <c:pt idx="457">
                  <c:v>140.154</c:v>
                </c:pt>
                <c:pt idx="458">
                  <c:v>139.846</c:v>
                </c:pt>
                <c:pt idx="459">
                  <c:v>140.154</c:v>
                </c:pt>
                <c:pt idx="460">
                  <c:v>143.398</c:v>
                </c:pt>
                <c:pt idx="461">
                  <c:v>140.31</c:v>
                </c:pt>
                <c:pt idx="462">
                  <c:v>138.45599999999999</c:v>
                </c:pt>
                <c:pt idx="463">
                  <c:v>138.76400000000001</c:v>
                </c:pt>
                <c:pt idx="464">
                  <c:v>137.52799999999999</c:v>
                </c:pt>
                <c:pt idx="465">
                  <c:v>139.846</c:v>
                </c:pt>
                <c:pt idx="466">
                  <c:v>140.154</c:v>
                </c:pt>
                <c:pt idx="467">
                  <c:v>140.154</c:v>
                </c:pt>
                <c:pt idx="468">
                  <c:v>140.928</c:v>
                </c:pt>
                <c:pt idx="469">
                  <c:v>140.61799999999999</c:v>
                </c:pt>
                <c:pt idx="470">
                  <c:v>139.84399999999999</c:v>
                </c:pt>
                <c:pt idx="471">
                  <c:v>139.53800000000001</c:v>
                </c:pt>
                <c:pt idx="472">
                  <c:v>141.69800000000001</c:v>
                </c:pt>
                <c:pt idx="473">
                  <c:v>144.172</c:v>
                </c:pt>
                <c:pt idx="474">
                  <c:v>137.21799999999999</c:v>
                </c:pt>
                <c:pt idx="475">
                  <c:v>139.07400000000001</c:v>
                </c:pt>
                <c:pt idx="476">
                  <c:v>137.22</c:v>
                </c:pt>
                <c:pt idx="477">
                  <c:v>139.69</c:v>
                </c:pt>
                <c:pt idx="478">
                  <c:v>139.53800000000001</c:v>
                </c:pt>
                <c:pt idx="479">
                  <c:v>140.61799999999999</c:v>
                </c:pt>
                <c:pt idx="480">
                  <c:v>139.69</c:v>
                </c:pt>
                <c:pt idx="481">
                  <c:v>141.08199999999999</c:v>
                </c:pt>
                <c:pt idx="482">
                  <c:v>140.154</c:v>
                </c:pt>
                <c:pt idx="483">
                  <c:v>140.464</c:v>
                </c:pt>
                <c:pt idx="484">
                  <c:v>139.84399999999999</c:v>
                </c:pt>
                <c:pt idx="485">
                  <c:v>142.78200000000001</c:v>
                </c:pt>
                <c:pt idx="486">
                  <c:v>142.16200000000001</c:v>
                </c:pt>
                <c:pt idx="487">
                  <c:v>138.14599999999999</c:v>
                </c:pt>
                <c:pt idx="488">
                  <c:v>137.52799999999999</c:v>
                </c:pt>
                <c:pt idx="489">
                  <c:v>137.684</c:v>
                </c:pt>
                <c:pt idx="490">
                  <c:v>140</c:v>
                </c:pt>
                <c:pt idx="491">
                  <c:v>140.61799999999999</c:v>
                </c:pt>
                <c:pt idx="492">
                  <c:v>139.84399999999999</c:v>
                </c:pt>
                <c:pt idx="493">
                  <c:v>140.00200000000001</c:v>
                </c:pt>
                <c:pt idx="494">
                  <c:v>140.30799999999999</c:v>
                </c:pt>
                <c:pt idx="495">
                  <c:v>140.61799999999999</c:v>
                </c:pt>
                <c:pt idx="496">
                  <c:v>140.30799999999999</c:v>
                </c:pt>
                <c:pt idx="497">
                  <c:v>139.69200000000001</c:v>
                </c:pt>
                <c:pt idx="498">
                  <c:v>143.55199999999999</c:v>
                </c:pt>
                <c:pt idx="499">
                  <c:v>142.16399999999999</c:v>
                </c:pt>
                <c:pt idx="500">
                  <c:v>137.06399999999999</c:v>
                </c:pt>
                <c:pt idx="501">
                  <c:v>137.684</c:v>
                </c:pt>
                <c:pt idx="502">
                  <c:v>138.45400000000001</c:v>
                </c:pt>
                <c:pt idx="503">
                  <c:v>139.846</c:v>
                </c:pt>
                <c:pt idx="504">
                  <c:v>140.77199999999999</c:v>
                </c:pt>
                <c:pt idx="505">
                  <c:v>139.846</c:v>
                </c:pt>
                <c:pt idx="506">
                  <c:v>140</c:v>
                </c:pt>
                <c:pt idx="507">
                  <c:v>140.154</c:v>
                </c:pt>
                <c:pt idx="508">
                  <c:v>140.154</c:v>
                </c:pt>
                <c:pt idx="509">
                  <c:v>140.61799999999999</c:v>
                </c:pt>
                <c:pt idx="510">
                  <c:v>140.464</c:v>
                </c:pt>
                <c:pt idx="511">
                  <c:v>144.32599999999999</c:v>
                </c:pt>
                <c:pt idx="512">
                  <c:v>139.38200000000001</c:v>
                </c:pt>
                <c:pt idx="513">
                  <c:v>136.756</c:v>
                </c:pt>
                <c:pt idx="514">
                  <c:v>138.76400000000001</c:v>
                </c:pt>
                <c:pt idx="515">
                  <c:v>138.91800000000001</c:v>
                </c:pt>
                <c:pt idx="516">
                  <c:v>140.77199999999999</c:v>
                </c:pt>
                <c:pt idx="517">
                  <c:v>140.31</c:v>
                </c:pt>
                <c:pt idx="518">
                  <c:v>139.536</c:v>
                </c:pt>
                <c:pt idx="519">
                  <c:v>139.69200000000001</c:v>
                </c:pt>
                <c:pt idx="520">
                  <c:v>140.30799999999999</c:v>
                </c:pt>
                <c:pt idx="521">
                  <c:v>139.846</c:v>
                </c:pt>
                <c:pt idx="522">
                  <c:v>140.92599999999999</c:v>
                </c:pt>
                <c:pt idx="523">
                  <c:v>142.16399999999999</c:v>
                </c:pt>
                <c:pt idx="524">
                  <c:v>143.70599999999999</c:v>
                </c:pt>
                <c:pt idx="525">
                  <c:v>136.91200000000001</c:v>
                </c:pt>
                <c:pt idx="526">
                  <c:v>137.83600000000001</c:v>
                </c:pt>
                <c:pt idx="527">
                  <c:v>138.30199999999999</c:v>
                </c:pt>
                <c:pt idx="528">
                  <c:v>140.30799999999999</c:v>
                </c:pt>
                <c:pt idx="529">
                  <c:v>140.31</c:v>
                </c:pt>
                <c:pt idx="530">
                  <c:v>140</c:v>
                </c:pt>
                <c:pt idx="531">
                  <c:v>140</c:v>
                </c:pt>
                <c:pt idx="532">
                  <c:v>139.69</c:v>
                </c:pt>
                <c:pt idx="533">
                  <c:v>139.69200000000001</c:v>
                </c:pt>
                <c:pt idx="534">
                  <c:v>140.30799999999999</c:v>
                </c:pt>
                <c:pt idx="535">
                  <c:v>140.31</c:v>
                </c:pt>
                <c:pt idx="536">
                  <c:v>143.86199999999999</c:v>
                </c:pt>
                <c:pt idx="537">
                  <c:v>142.00800000000001</c:v>
                </c:pt>
                <c:pt idx="538">
                  <c:v>135.982</c:v>
                </c:pt>
                <c:pt idx="539">
                  <c:v>138.61000000000001</c:v>
                </c:pt>
                <c:pt idx="540">
                  <c:v>139.07400000000001</c:v>
                </c:pt>
                <c:pt idx="541">
                  <c:v>140.77199999999999</c:v>
                </c:pt>
                <c:pt idx="542">
                  <c:v>139.69200000000001</c:v>
                </c:pt>
                <c:pt idx="543">
                  <c:v>140.46199999999999</c:v>
                </c:pt>
                <c:pt idx="544">
                  <c:v>139.22800000000001</c:v>
                </c:pt>
                <c:pt idx="545">
                  <c:v>139.846</c:v>
                </c:pt>
                <c:pt idx="546">
                  <c:v>140.30799999999999</c:v>
                </c:pt>
                <c:pt idx="547">
                  <c:v>140</c:v>
                </c:pt>
                <c:pt idx="548">
                  <c:v>140.928</c:v>
                </c:pt>
                <c:pt idx="549">
                  <c:v>143.86199999999999</c:v>
                </c:pt>
                <c:pt idx="550">
                  <c:v>139.38200000000001</c:v>
                </c:pt>
                <c:pt idx="551">
                  <c:v>137.68199999999999</c:v>
                </c:pt>
                <c:pt idx="552">
                  <c:v>138.61000000000001</c:v>
                </c:pt>
                <c:pt idx="553">
                  <c:v>139.38200000000001</c:v>
                </c:pt>
                <c:pt idx="554">
                  <c:v>140.61799999999999</c:v>
                </c:pt>
                <c:pt idx="555">
                  <c:v>140.31</c:v>
                </c:pt>
                <c:pt idx="556">
                  <c:v>139.38200000000001</c:v>
                </c:pt>
                <c:pt idx="557">
                  <c:v>140.154</c:v>
                </c:pt>
                <c:pt idx="558">
                  <c:v>139.846</c:v>
                </c:pt>
                <c:pt idx="559">
                  <c:v>140.30799999999999</c:v>
                </c:pt>
                <c:pt idx="560">
                  <c:v>139.38200000000001</c:v>
                </c:pt>
                <c:pt idx="561">
                  <c:v>142.78</c:v>
                </c:pt>
                <c:pt idx="562">
                  <c:v>142.47200000000001</c:v>
                </c:pt>
                <c:pt idx="563">
                  <c:v>137.066</c:v>
                </c:pt>
                <c:pt idx="564">
                  <c:v>139.072</c:v>
                </c:pt>
                <c:pt idx="565">
                  <c:v>138.61000000000001</c:v>
                </c:pt>
                <c:pt idx="566">
                  <c:v>140.464</c:v>
                </c:pt>
                <c:pt idx="567">
                  <c:v>140.464</c:v>
                </c:pt>
                <c:pt idx="568">
                  <c:v>140.154</c:v>
                </c:pt>
                <c:pt idx="569">
                  <c:v>139.22800000000001</c:v>
                </c:pt>
                <c:pt idx="570">
                  <c:v>140.154</c:v>
                </c:pt>
                <c:pt idx="571">
                  <c:v>139.846</c:v>
                </c:pt>
                <c:pt idx="572">
                  <c:v>140</c:v>
                </c:pt>
                <c:pt idx="573">
                  <c:v>140.61799999999999</c:v>
                </c:pt>
                <c:pt idx="574">
                  <c:v>142.934</c:v>
                </c:pt>
                <c:pt idx="575">
                  <c:v>140</c:v>
                </c:pt>
                <c:pt idx="576">
                  <c:v>138.45599999999999</c:v>
                </c:pt>
                <c:pt idx="577">
                  <c:v>138.45400000000001</c:v>
                </c:pt>
                <c:pt idx="578">
                  <c:v>139.22800000000001</c:v>
                </c:pt>
                <c:pt idx="579">
                  <c:v>141.08199999999999</c:v>
                </c:pt>
                <c:pt idx="580">
                  <c:v>139.846</c:v>
                </c:pt>
                <c:pt idx="581">
                  <c:v>139.536</c:v>
                </c:pt>
                <c:pt idx="582">
                  <c:v>140</c:v>
                </c:pt>
                <c:pt idx="583">
                  <c:v>140.464</c:v>
                </c:pt>
                <c:pt idx="584">
                  <c:v>139.226</c:v>
                </c:pt>
                <c:pt idx="585">
                  <c:v>140.31</c:v>
                </c:pt>
                <c:pt idx="586">
                  <c:v>140.30799999999999</c:v>
                </c:pt>
                <c:pt idx="587">
                  <c:v>143.86199999999999</c:v>
                </c:pt>
                <c:pt idx="588">
                  <c:v>138.61000000000001</c:v>
                </c:pt>
                <c:pt idx="589">
                  <c:v>138.45599999999999</c:v>
                </c:pt>
                <c:pt idx="590">
                  <c:v>139.072</c:v>
                </c:pt>
                <c:pt idx="591">
                  <c:v>139.53800000000001</c:v>
                </c:pt>
                <c:pt idx="592">
                  <c:v>140.61799999999999</c:v>
                </c:pt>
                <c:pt idx="593">
                  <c:v>139.84399999999999</c:v>
                </c:pt>
                <c:pt idx="594">
                  <c:v>140</c:v>
                </c:pt>
                <c:pt idx="595">
                  <c:v>139.69200000000001</c:v>
                </c:pt>
                <c:pt idx="596">
                  <c:v>139.69</c:v>
                </c:pt>
                <c:pt idx="597">
                  <c:v>140.464</c:v>
                </c:pt>
                <c:pt idx="598">
                  <c:v>140.31</c:v>
                </c:pt>
                <c:pt idx="599">
                  <c:v>139.226</c:v>
                </c:pt>
                <c:pt idx="600">
                  <c:v>143.708</c:v>
                </c:pt>
                <c:pt idx="601">
                  <c:v>139.846</c:v>
                </c:pt>
                <c:pt idx="602">
                  <c:v>138.14599999999999</c:v>
                </c:pt>
                <c:pt idx="603">
                  <c:v>139.38200000000001</c:v>
                </c:pt>
                <c:pt idx="604">
                  <c:v>139.22800000000001</c:v>
                </c:pt>
                <c:pt idx="605">
                  <c:v>140.464</c:v>
                </c:pt>
                <c:pt idx="606">
                  <c:v>140.30799999999999</c:v>
                </c:pt>
                <c:pt idx="607">
                  <c:v>139.536</c:v>
                </c:pt>
                <c:pt idx="608">
                  <c:v>139.846</c:v>
                </c:pt>
                <c:pt idx="609">
                  <c:v>140.154</c:v>
                </c:pt>
                <c:pt idx="610">
                  <c:v>140.31</c:v>
                </c:pt>
                <c:pt idx="611">
                  <c:v>139.536</c:v>
                </c:pt>
                <c:pt idx="612">
                  <c:v>140.61799999999999</c:v>
                </c:pt>
                <c:pt idx="613">
                  <c:v>141.54400000000001</c:v>
                </c:pt>
                <c:pt idx="614">
                  <c:v>106.172</c:v>
                </c:pt>
                <c:pt idx="615">
                  <c:v>147.72399999999999</c:v>
                </c:pt>
                <c:pt idx="616">
                  <c:v>143.55199999999999</c:v>
                </c:pt>
                <c:pt idx="617">
                  <c:v>143.09</c:v>
                </c:pt>
                <c:pt idx="618">
                  <c:v>142.16200000000001</c:v>
                </c:pt>
                <c:pt idx="619">
                  <c:v>141.38999999999999</c:v>
                </c:pt>
                <c:pt idx="620">
                  <c:v>141.38999999999999</c:v>
                </c:pt>
                <c:pt idx="621">
                  <c:v>140.928</c:v>
                </c:pt>
                <c:pt idx="622">
                  <c:v>141.23599999999999</c:v>
                </c:pt>
                <c:pt idx="623">
                  <c:v>141.23599999999999</c:v>
                </c:pt>
                <c:pt idx="624">
                  <c:v>140.30799999999999</c:v>
                </c:pt>
                <c:pt idx="625">
                  <c:v>141.54400000000001</c:v>
                </c:pt>
                <c:pt idx="626">
                  <c:v>141.23599999999999</c:v>
                </c:pt>
                <c:pt idx="627">
                  <c:v>139.69200000000001</c:v>
                </c:pt>
                <c:pt idx="628">
                  <c:v>140.61799999999999</c:v>
                </c:pt>
                <c:pt idx="629">
                  <c:v>140</c:v>
                </c:pt>
                <c:pt idx="630">
                  <c:v>140.61799999999999</c:v>
                </c:pt>
                <c:pt idx="631">
                  <c:v>140.92599999999999</c:v>
                </c:pt>
                <c:pt idx="632">
                  <c:v>139.69200000000001</c:v>
                </c:pt>
                <c:pt idx="633">
                  <c:v>140.77199999999999</c:v>
                </c:pt>
                <c:pt idx="634">
                  <c:v>140.77199999999999</c:v>
                </c:pt>
                <c:pt idx="635">
                  <c:v>139.846</c:v>
                </c:pt>
                <c:pt idx="636">
                  <c:v>140.30799999999999</c:v>
                </c:pt>
                <c:pt idx="637">
                  <c:v>140.154</c:v>
                </c:pt>
                <c:pt idx="638">
                  <c:v>141.08199999999999</c:v>
                </c:pt>
                <c:pt idx="639">
                  <c:v>139.69200000000001</c:v>
                </c:pt>
                <c:pt idx="640">
                  <c:v>140.30799999999999</c:v>
                </c:pt>
                <c:pt idx="641">
                  <c:v>140.464</c:v>
                </c:pt>
                <c:pt idx="642">
                  <c:v>139.69</c:v>
                </c:pt>
                <c:pt idx="643">
                  <c:v>139.846</c:v>
                </c:pt>
                <c:pt idx="644">
                  <c:v>140.464</c:v>
                </c:pt>
                <c:pt idx="645">
                  <c:v>139.84399999999999</c:v>
                </c:pt>
                <c:pt idx="646">
                  <c:v>140.31</c:v>
                </c:pt>
                <c:pt idx="647">
                  <c:v>139.846</c:v>
                </c:pt>
                <c:pt idx="648">
                  <c:v>140.30799999999999</c:v>
                </c:pt>
                <c:pt idx="649">
                  <c:v>140.154</c:v>
                </c:pt>
                <c:pt idx="650">
                  <c:v>139.846</c:v>
                </c:pt>
                <c:pt idx="651">
                  <c:v>140.77199999999999</c:v>
                </c:pt>
                <c:pt idx="652">
                  <c:v>139.53800000000001</c:v>
                </c:pt>
                <c:pt idx="653">
                  <c:v>140.61799999999999</c:v>
                </c:pt>
                <c:pt idx="654">
                  <c:v>139.536</c:v>
                </c:pt>
                <c:pt idx="655">
                  <c:v>140.61799999999999</c:v>
                </c:pt>
                <c:pt idx="656">
                  <c:v>139.38200000000001</c:v>
                </c:pt>
                <c:pt idx="657">
                  <c:v>140.464</c:v>
                </c:pt>
                <c:pt idx="658">
                  <c:v>139.69</c:v>
                </c:pt>
                <c:pt idx="659">
                  <c:v>140.464</c:v>
                </c:pt>
                <c:pt idx="660">
                  <c:v>139.69</c:v>
                </c:pt>
                <c:pt idx="661">
                  <c:v>140.31</c:v>
                </c:pt>
                <c:pt idx="662">
                  <c:v>140</c:v>
                </c:pt>
                <c:pt idx="663">
                  <c:v>140.30799999999999</c:v>
                </c:pt>
                <c:pt idx="664">
                  <c:v>139.53800000000001</c:v>
                </c:pt>
                <c:pt idx="665">
                  <c:v>140.30799999999999</c:v>
                </c:pt>
                <c:pt idx="666">
                  <c:v>139.846</c:v>
                </c:pt>
                <c:pt idx="667">
                  <c:v>139.846</c:v>
                </c:pt>
                <c:pt idx="668">
                  <c:v>140.154</c:v>
                </c:pt>
                <c:pt idx="669">
                  <c:v>140.30799999999999</c:v>
                </c:pt>
                <c:pt idx="670">
                  <c:v>139.53800000000001</c:v>
                </c:pt>
                <c:pt idx="671">
                  <c:v>140.30799999999999</c:v>
                </c:pt>
                <c:pt idx="672">
                  <c:v>140</c:v>
                </c:pt>
                <c:pt idx="673">
                  <c:v>140.31</c:v>
                </c:pt>
                <c:pt idx="674">
                  <c:v>139.69</c:v>
                </c:pt>
                <c:pt idx="675">
                  <c:v>140</c:v>
                </c:pt>
                <c:pt idx="676">
                  <c:v>140.154</c:v>
                </c:pt>
                <c:pt idx="677">
                  <c:v>140</c:v>
                </c:pt>
                <c:pt idx="678">
                  <c:v>140.15600000000001</c:v>
                </c:pt>
                <c:pt idx="679">
                  <c:v>140</c:v>
                </c:pt>
                <c:pt idx="680">
                  <c:v>140</c:v>
                </c:pt>
                <c:pt idx="681">
                  <c:v>140.154</c:v>
                </c:pt>
                <c:pt idx="682">
                  <c:v>139.69</c:v>
                </c:pt>
                <c:pt idx="683">
                  <c:v>140</c:v>
                </c:pt>
                <c:pt idx="684">
                  <c:v>140</c:v>
                </c:pt>
                <c:pt idx="685">
                  <c:v>140.31</c:v>
                </c:pt>
                <c:pt idx="686">
                  <c:v>139.69</c:v>
                </c:pt>
                <c:pt idx="687">
                  <c:v>140.464</c:v>
                </c:pt>
                <c:pt idx="688">
                  <c:v>139.69200000000001</c:v>
                </c:pt>
                <c:pt idx="689">
                  <c:v>139.69</c:v>
                </c:pt>
                <c:pt idx="690">
                  <c:v>140.31</c:v>
                </c:pt>
                <c:pt idx="691">
                  <c:v>139.84399999999999</c:v>
                </c:pt>
                <c:pt idx="692">
                  <c:v>140.15600000000001</c:v>
                </c:pt>
                <c:pt idx="693">
                  <c:v>139.84399999999999</c:v>
                </c:pt>
                <c:pt idx="694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43-439B-9707-60C9BD67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04496"/>
        <c:axId val="348110736"/>
      </c:scatterChart>
      <c:valAx>
        <c:axId val="348104496"/>
        <c:scaling>
          <c:orientation val="minMax"/>
          <c:max val="650"/>
          <c:min val="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8110736"/>
        <c:crosses val="autoZero"/>
        <c:crossBetween val="midCat"/>
      </c:valAx>
      <c:valAx>
        <c:axId val="348110736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81044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97/66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Hoja2!$A$1:$A$418</c:f>
              <c:numCache>
                <c:formatCode>General</c:formatCode>
                <c:ptCount val="4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</c:numCache>
            </c:numRef>
          </c:xVal>
          <c:yVal>
            <c:numRef>
              <c:f>Hoja2!$B$1:$B$418</c:f>
              <c:numCache>
                <c:formatCode>General</c:formatCode>
                <c:ptCount val="418"/>
                <c:pt idx="0">
                  <c:v>150.26</c:v>
                </c:pt>
                <c:pt idx="1">
                  <c:v>151.34</c:v>
                </c:pt>
                <c:pt idx="2">
                  <c:v>152.27000000000001</c:v>
                </c:pt>
                <c:pt idx="3">
                  <c:v>153.5</c:v>
                </c:pt>
                <c:pt idx="4">
                  <c:v>154.47</c:v>
                </c:pt>
                <c:pt idx="5">
                  <c:v>155.59</c:v>
                </c:pt>
                <c:pt idx="6">
                  <c:v>156.78</c:v>
                </c:pt>
                <c:pt idx="7">
                  <c:v>157.47999999999999</c:v>
                </c:pt>
                <c:pt idx="8">
                  <c:v>158.6</c:v>
                </c:pt>
                <c:pt idx="9">
                  <c:v>159.53</c:v>
                </c:pt>
                <c:pt idx="10">
                  <c:v>160.49</c:v>
                </c:pt>
                <c:pt idx="11">
                  <c:v>161.5</c:v>
                </c:pt>
                <c:pt idx="12">
                  <c:v>162.31</c:v>
                </c:pt>
                <c:pt idx="13">
                  <c:v>163</c:v>
                </c:pt>
                <c:pt idx="14">
                  <c:v>162.77000000000001</c:v>
                </c:pt>
                <c:pt idx="15">
                  <c:v>161.57</c:v>
                </c:pt>
                <c:pt idx="16">
                  <c:v>160.61000000000001</c:v>
                </c:pt>
                <c:pt idx="17">
                  <c:v>159.63999999999999</c:v>
                </c:pt>
                <c:pt idx="18">
                  <c:v>158.83000000000001</c:v>
                </c:pt>
                <c:pt idx="19">
                  <c:v>158.02000000000001</c:v>
                </c:pt>
                <c:pt idx="20">
                  <c:v>157.16999999999999</c:v>
                </c:pt>
                <c:pt idx="21">
                  <c:v>156.44</c:v>
                </c:pt>
                <c:pt idx="22">
                  <c:v>155.69999999999999</c:v>
                </c:pt>
                <c:pt idx="23">
                  <c:v>154.97</c:v>
                </c:pt>
                <c:pt idx="24">
                  <c:v>154.27000000000001</c:v>
                </c:pt>
                <c:pt idx="25">
                  <c:v>153.69999999999999</c:v>
                </c:pt>
                <c:pt idx="26">
                  <c:v>153.22999999999999</c:v>
                </c:pt>
                <c:pt idx="27">
                  <c:v>152.41999999999999</c:v>
                </c:pt>
                <c:pt idx="28">
                  <c:v>151.72999999999999</c:v>
                </c:pt>
                <c:pt idx="29">
                  <c:v>150.99</c:v>
                </c:pt>
                <c:pt idx="30">
                  <c:v>150.37</c:v>
                </c:pt>
                <c:pt idx="31">
                  <c:v>149.72</c:v>
                </c:pt>
                <c:pt idx="32">
                  <c:v>149.1</c:v>
                </c:pt>
                <c:pt idx="33">
                  <c:v>148.44</c:v>
                </c:pt>
                <c:pt idx="34">
                  <c:v>147.83000000000001</c:v>
                </c:pt>
                <c:pt idx="35">
                  <c:v>147.16999999999999</c:v>
                </c:pt>
                <c:pt idx="36">
                  <c:v>146.55000000000001</c:v>
                </c:pt>
                <c:pt idx="37">
                  <c:v>145.93</c:v>
                </c:pt>
                <c:pt idx="38">
                  <c:v>145.35</c:v>
                </c:pt>
                <c:pt idx="39">
                  <c:v>144.77000000000001</c:v>
                </c:pt>
                <c:pt idx="40">
                  <c:v>144.16</c:v>
                </c:pt>
                <c:pt idx="41">
                  <c:v>143.54</c:v>
                </c:pt>
                <c:pt idx="42">
                  <c:v>143</c:v>
                </c:pt>
                <c:pt idx="43">
                  <c:v>142.41999999999999</c:v>
                </c:pt>
                <c:pt idx="44">
                  <c:v>141.72</c:v>
                </c:pt>
                <c:pt idx="45">
                  <c:v>141.22</c:v>
                </c:pt>
                <c:pt idx="46">
                  <c:v>140.91</c:v>
                </c:pt>
                <c:pt idx="47">
                  <c:v>140.49</c:v>
                </c:pt>
                <c:pt idx="48">
                  <c:v>139.75</c:v>
                </c:pt>
                <c:pt idx="49">
                  <c:v>139.1</c:v>
                </c:pt>
                <c:pt idx="50">
                  <c:v>138.6</c:v>
                </c:pt>
                <c:pt idx="51">
                  <c:v>138.02000000000001</c:v>
                </c:pt>
                <c:pt idx="52">
                  <c:v>137.44</c:v>
                </c:pt>
                <c:pt idx="53">
                  <c:v>136.86000000000001</c:v>
                </c:pt>
                <c:pt idx="54">
                  <c:v>136.36000000000001</c:v>
                </c:pt>
                <c:pt idx="55">
                  <c:v>135.74</c:v>
                </c:pt>
                <c:pt idx="56">
                  <c:v>135.24</c:v>
                </c:pt>
                <c:pt idx="57">
                  <c:v>134.72999999999999</c:v>
                </c:pt>
                <c:pt idx="58">
                  <c:v>134.12</c:v>
                </c:pt>
                <c:pt idx="59">
                  <c:v>133.65</c:v>
                </c:pt>
                <c:pt idx="60">
                  <c:v>133.07</c:v>
                </c:pt>
                <c:pt idx="61">
                  <c:v>132.53</c:v>
                </c:pt>
                <c:pt idx="62">
                  <c:v>132.03</c:v>
                </c:pt>
                <c:pt idx="63">
                  <c:v>131.49</c:v>
                </c:pt>
                <c:pt idx="64">
                  <c:v>131.03</c:v>
                </c:pt>
                <c:pt idx="65">
                  <c:v>130.41</c:v>
                </c:pt>
                <c:pt idx="66">
                  <c:v>130.02000000000001</c:v>
                </c:pt>
                <c:pt idx="67">
                  <c:v>129.91</c:v>
                </c:pt>
                <c:pt idx="68">
                  <c:v>129.44</c:v>
                </c:pt>
                <c:pt idx="69">
                  <c:v>128.75</c:v>
                </c:pt>
                <c:pt idx="70">
                  <c:v>128.21</c:v>
                </c:pt>
                <c:pt idx="71">
                  <c:v>127.71</c:v>
                </c:pt>
                <c:pt idx="72">
                  <c:v>127.17</c:v>
                </c:pt>
                <c:pt idx="73">
                  <c:v>126.74</c:v>
                </c:pt>
                <c:pt idx="74">
                  <c:v>126.2</c:v>
                </c:pt>
                <c:pt idx="75">
                  <c:v>125.74</c:v>
                </c:pt>
                <c:pt idx="76">
                  <c:v>125.12</c:v>
                </c:pt>
                <c:pt idx="77">
                  <c:v>124.66</c:v>
                </c:pt>
                <c:pt idx="78">
                  <c:v>124.19</c:v>
                </c:pt>
                <c:pt idx="79">
                  <c:v>123.73</c:v>
                </c:pt>
                <c:pt idx="80">
                  <c:v>123.19</c:v>
                </c:pt>
                <c:pt idx="81">
                  <c:v>122.8</c:v>
                </c:pt>
                <c:pt idx="82">
                  <c:v>122.34</c:v>
                </c:pt>
                <c:pt idx="83">
                  <c:v>121.8</c:v>
                </c:pt>
                <c:pt idx="84">
                  <c:v>121.37</c:v>
                </c:pt>
                <c:pt idx="85">
                  <c:v>120.83</c:v>
                </c:pt>
                <c:pt idx="86">
                  <c:v>120.68</c:v>
                </c:pt>
                <c:pt idx="87">
                  <c:v>120.56</c:v>
                </c:pt>
                <c:pt idx="88">
                  <c:v>119.79</c:v>
                </c:pt>
                <c:pt idx="89">
                  <c:v>119.25</c:v>
                </c:pt>
                <c:pt idx="90">
                  <c:v>118.82</c:v>
                </c:pt>
                <c:pt idx="91">
                  <c:v>118.24</c:v>
                </c:pt>
                <c:pt idx="92">
                  <c:v>117.9</c:v>
                </c:pt>
                <c:pt idx="93">
                  <c:v>117.43</c:v>
                </c:pt>
                <c:pt idx="94">
                  <c:v>116.89</c:v>
                </c:pt>
                <c:pt idx="95">
                  <c:v>116.39</c:v>
                </c:pt>
                <c:pt idx="96">
                  <c:v>116.04</c:v>
                </c:pt>
                <c:pt idx="97">
                  <c:v>115.58</c:v>
                </c:pt>
                <c:pt idx="98">
                  <c:v>115.04</c:v>
                </c:pt>
                <c:pt idx="99">
                  <c:v>114.65</c:v>
                </c:pt>
                <c:pt idx="100">
                  <c:v>114.23</c:v>
                </c:pt>
                <c:pt idx="101">
                  <c:v>113.77</c:v>
                </c:pt>
                <c:pt idx="102">
                  <c:v>113.26</c:v>
                </c:pt>
                <c:pt idx="103">
                  <c:v>112.95</c:v>
                </c:pt>
                <c:pt idx="104">
                  <c:v>112.53</c:v>
                </c:pt>
                <c:pt idx="105">
                  <c:v>112.72</c:v>
                </c:pt>
                <c:pt idx="106">
                  <c:v>112.72</c:v>
                </c:pt>
                <c:pt idx="107">
                  <c:v>111.8</c:v>
                </c:pt>
                <c:pt idx="108">
                  <c:v>111.1</c:v>
                </c:pt>
                <c:pt idx="109">
                  <c:v>110.64</c:v>
                </c:pt>
                <c:pt idx="110">
                  <c:v>110.17</c:v>
                </c:pt>
                <c:pt idx="111">
                  <c:v>109.75</c:v>
                </c:pt>
                <c:pt idx="112">
                  <c:v>109.36</c:v>
                </c:pt>
                <c:pt idx="113">
                  <c:v>108.86</c:v>
                </c:pt>
                <c:pt idx="114">
                  <c:v>108.4</c:v>
                </c:pt>
                <c:pt idx="115">
                  <c:v>107.97</c:v>
                </c:pt>
                <c:pt idx="116">
                  <c:v>107.59</c:v>
                </c:pt>
                <c:pt idx="117">
                  <c:v>107.12</c:v>
                </c:pt>
                <c:pt idx="118">
                  <c:v>106.62</c:v>
                </c:pt>
                <c:pt idx="119">
                  <c:v>106.31</c:v>
                </c:pt>
                <c:pt idx="120">
                  <c:v>105.93</c:v>
                </c:pt>
                <c:pt idx="121">
                  <c:v>105.54</c:v>
                </c:pt>
                <c:pt idx="122">
                  <c:v>105.04</c:v>
                </c:pt>
                <c:pt idx="123">
                  <c:v>104.69</c:v>
                </c:pt>
                <c:pt idx="124">
                  <c:v>104.42</c:v>
                </c:pt>
                <c:pt idx="125">
                  <c:v>104.96</c:v>
                </c:pt>
                <c:pt idx="126">
                  <c:v>105.46</c:v>
                </c:pt>
                <c:pt idx="127">
                  <c:v>105.08</c:v>
                </c:pt>
                <c:pt idx="128">
                  <c:v>104.42</c:v>
                </c:pt>
                <c:pt idx="129">
                  <c:v>103.69</c:v>
                </c:pt>
                <c:pt idx="130">
                  <c:v>102.68</c:v>
                </c:pt>
                <c:pt idx="131">
                  <c:v>102.18</c:v>
                </c:pt>
                <c:pt idx="132">
                  <c:v>101.79</c:v>
                </c:pt>
                <c:pt idx="133">
                  <c:v>101.29</c:v>
                </c:pt>
                <c:pt idx="134">
                  <c:v>100.79</c:v>
                </c:pt>
                <c:pt idx="135">
                  <c:v>100.33</c:v>
                </c:pt>
                <c:pt idx="136">
                  <c:v>99.94</c:v>
                </c:pt>
                <c:pt idx="137">
                  <c:v>99.59</c:v>
                </c:pt>
                <c:pt idx="138">
                  <c:v>99.17</c:v>
                </c:pt>
                <c:pt idx="139">
                  <c:v>98.86</c:v>
                </c:pt>
                <c:pt idx="140">
                  <c:v>98.36</c:v>
                </c:pt>
                <c:pt idx="141">
                  <c:v>98.01</c:v>
                </c:pt>
                <c:pt idx="142">
                  <c:v>97.58</c:v>
                </c:pt>
                <c:pt idx="143">
                  <c:v>97.16</c:v>
                </c:pt>
                <c:pt idx="144">
                  <c:v>96.85</c:v>
                </c:pt>
                <c:pt idx="145">
                  <c:v>96.47</c:v>
                </c:pt>
                <c:pt idx="146">
                  <c:v>96.62</c:v>
                </c:pt>
                <c:pt idx="147">
                  <c:v>97.58</c:v>
                </c:pt>
                <c:pt idx="148">
                  <c:v>98.16</c:v>
                </c:pt>
                <c:pt idx="149">
                  <c:v>97.58</c:v>
                </c:pt>
                <c:pt idx="150">
                  <c:v>97.04</c:v>
                </c:pt>
                <c:pt idx="151">
                  <c:v>96.5</c:v>
                </c:pt>
                <c:pt idx="152">
                  <c:v>95.58</c:v>
                </c:pt>
                <c:pt idx="153">
                  <c:v>94.92</c:v>
                </c:pt>
                <c:pt idx="154">
                  <c:v>94.34</c:v>
                </c:pt>
                <c:pt idx="155">
                  <c:v>93.72</c:v>
                </c:pt>
                <c:pt idx="156">
                  <c:v>93.18</c:v>
                </c:pt>
                <c:pt idx="157">
                  <c:v>92.68</c:v>
                </c:pt>
                <c:pt idx="158">
                  <c:v>92.26</c:v>
                </c:pt>
                <c:pt idx="159">
                  <c:v>91.99</c:v>
                </c:pt>
                <c:pt idx="160">
                  <c:v>91.6</c:v>
                </c:pt>
                <c:pt idx="161">
                  <c:v>91.21</c:v>
                </c:pt>
                <c:pt idx="162">
                  <c:v>90.83</c:v>
                </c:pt>
                <c:pt idx="163">
                  <c:v>90.44</c:v>
                </c:pt>
                <c:pt idx="164">
                  <c:v>90.13</c:v>
                </c:pt>
                <c:pt idx="165">
                  <c:v>89.82</c:v>
                </c:pt>
                <c:pt idx="166">
                  <c:v>89.4</c:v>
                </c:pt>
                <c:pt idx="167">
                  <c:v>89.09</c:v>
                </c:pt>
                <c:pt idx="168">
                  <c:v>89.59</c:v>
                </c:pt>
                <c:pt idx="169">
                  <c:v>90.83</c:v>
                </c:pt>
                <c:pt idx="170">
                  <c:v>91.1</c:v>
                </c:pt>
                <c:pt idx="171">
                  <c:v>90.67</c:v>
                </c:pt>
                <c:pt idx="172">
                  <c:v>90.4</c:v>
                </c:pt>
                <c:pt idx="173">
                  <c:v>89.9</c:v>
                </c:pt>
                <c:pt idx="174">
                  <c:v>89.28</c:v>
                </c:pt>
                <c:pt idx="175">
                  <c:v>88.82</c:v>
                </c:pt>
                <c:pt idx="176">
                  <c:v>88.28</c:v>
                </c:pt>
                <c:pt idx="177">
                  <c:v>87.54</c:v>
                </c:pt>
                <c:pt idx="178">
                  <c:v>86.89</c:v>
                </c:pt>
                <c:pt idx="179">
                  <c:v>86.27</c:v>
                </c:pt>
                <c:pt idx="180">
                  <c:v>85.81</c:v>
                </c:pt>
                <c:pt idx="181">
                  <c:v>85.34</c:v>
                </c:pt>
                <c:pt idx="182">
                  <c:v>84.96</c:v>
                </c:pt>
                <c:pt idx="183">
                  <c:v>84.57</c:v>
                </c:pt>
                <c:pt idx="184">
                  <c:v>84.15</c:v>
                </c:pt>
                <c:pt idx="185">
                  <c:v>83.8</c:v>
                </c:pt>
                <c:pt idx="186">
                  <c:v>83.45</c:v>
                </c:pt>
                <c:pt idx="187">
                  <c:v>83.06</c:v>
                </c:pt>
                <c:pt idx="188">
                  <c:v>83.22</c:v>
                </c:pt>
                <c:pt idx="189">
                  <c:v>84.53</c:v>
                </c:pt>
                <c:pt idx="190">
                  <c:v>85.34</c:v>
                </c:pt>
                <c:pt idx="191">
                  <c:v>85.42</c:v>
                </c:pt>
                <c:pt idx="192">
                  <c:v>85.54</c:v>
                </c:pt>
                <c:pt idx="193">
                  <c:v>85.07</c:v>
                </c:pt>
                <c:pt idx="194">
                  <c:v>84.46</c:v>
                </c:pt>
                <c:pt idx="195">
                  <c:v>83.91</c:v>
                </c:pt>
                <c:pt idx="196">
                  <c:v>83.37</c:v>
                </c:pt>
                <c:pt idx="197">
                  <c:v>82.64</c:v>
                </c:pt>
                <c:pt idx="198">
                  <c:v>82.06</c:v>
                </c:pt>
                <c:pt idx="199">
                  <c:v>81.33</c:v>
                </c:pt>
                <c:pt idx="200">
                  <c:v>80.709999999999994</c:v>
                </c:pt>
                <c:pt idx="201">
                  <c:v>80.25</c:v>
                </c:pt>
                <c:pt idx="202">
                  <c:v>79.709999999999994</c:v>
                </c:pt>
                <c:pt idx="203">
                  <c:v>79.319999999999993</c:v>
                </c:pt>
                <c:pt idx="204">
                  <c:v>79.010000000000005</c:v>
                </c:pt>
                <c:pt idx="205">
                  <c:v>78.62</c:v>
                </c:pt>
                <c:pt idx="206">
                  <c:v>78.239999999999995</c:v>
                </c:pt>
                <c:pt idx="207">
                  <c:v>77.97</c:v>
                </c:pt>
                <c:pt idx="208">
                  <c:v>77.66</c:v>
                </c:pt>
                <c:pt idx="209">
                  <c:v>78.47</c:v>
                </c:pt>
                <c:pt idx="210">
                  <c:v>80.05</c:v>
                </c:pt>
                <c:pt idx="211">
                  <c:v>80.67</c:v>
                </c:pt>
                <c:pt idx="212">
                  <c:v>80.59</c:v>
                </c:pt>
                <c:pt idx="213">
                  <c:v>80.28</c:v>
                </c:pt>
                <c:pt idx="214">
                  <c:v>79.63</c:v>
                </c:pt>
                <c:pt idx="215">
                  <c:v>79.09</c:v>
                </c:pt>
                <c:pt idx="216">
                  <c:v>78.66</c:v>
                </c:pt>
                <c:pt idx="217">
                  <c:v>78.239999999999995</c:v>
                </c:pt>
                <c:pt idx="218">
                  <c:v>77.81</c:v>
                </c:pt>
                <c:pt idx="219">
                  <c:v>77.27</c:v>
                </c:pt>
                <c:pt idx="220">
                  <c:v>76.73</c:v>
                </c:pt>
                <c:pt idx="221">
                  <c:v>76.23</c:v>
                </c:pt>
                <c:pt idx="222">
                  <c:v>75.69</c:v>
                </c:pt>
                <c:pt idx="223">
                  <c:v>75.23</c:v>
                </c:pt>
                <c:pt idx="224">
                  <c:v>74.72</c:v>
                </c:pt>
                <c:pt idx="225">
                  <c:v>74.260000000000005</c:v>
                </c:pt>
                <c:pt idx="226">
                  <c:v>73.91</c:v>
                </c:pt>
                <c:pt idx="227">
                  <c:v>73.53</c:v>
                </c:pt>
                <c:pt idx="228">
                  <c:v>73.06</c:v>
                </c:pt>
                <c:pt idx="229">
                  <c:v>72.91</c:v>
                </c:pt>
                <c:pt idx="230">
                  <c:v>74.34</c:v>
                </c:pt>
                <c:pt idx="231">
                  <c:v>75.650000000000006</c:v>
                </c:pt>
                <c:pt idx="232">
                  <c:v>75.53</c:v>
                </c:pt>
                <c:pt idx="233">
                  <c:v>75.34</c:v>
                </c:pt>
                <c:pt idx="234">
                  <c:v>74.92</c:v>
                </c:pt>
                <c:pt idx="235">
                  <c:v>74.34</c:v>
                </c:pt>
                <c:pt idx="236">
                  <c:v>73.91</c:v>
                </c:pt>
                <c:pt idx="237">
                  <c:v>73.64</c:v>
                </c:pt>
                <c:pt idx="238">
                  <c:v>73.260000000000005</c:v>
                </c:pt>
                <c:pt idx="239">
                  <c:v>72.87</c:v>
                </c:pt>
                <c:pt idx="240">
                  <c:v>72.52</c:v>
                </c:pt>
                <c:pt idx="241">
                  <c:v>72.14</c:v>
                </c:pt>
                <c:pt idx="242">
                  <c:v>71.67</c:v>
                </c:pt>
                <c:pt idx="243">
                  <c:v>71.25</c:v>
                </c:pt>
                <c:pt idx="244">
                  <c:v>70.86</c:v>
                </c:pt>
                <c:pt idx="245">
                  <c:v>70.44</c:v>
                </c:pt>
                <c:pt idx="246">
                  <c:v>70.05</c:v>
                </c:pt>
                <c:pt idx="247">
                  <c:v>69.66</c:v>
                </c:pt>
                <c:pt idx="248">
                  <c:v>69.319999999999993</c:v>
                </c:pt>
                <c:pt idx="249">
                  <c:v>69.16</c:v>
                </c:pt>
                <c:pt idx="250">
                  <c:v>70.59</c:v>
                </c:pt>
                <c:pt idx="251">
                  <c:v>70.94</c:v>
                </c:pt>
                <c:pt idx="252">
                  <c:v>70.75</c:v>
                </c:pt>
                <c:pt idx="253">
                  <c:v>70.44</c:v>
                </c:pt>
                <c:pt idx="254">
                  <c:v>69.86</c:v>
                </c:pt>
                <c:pt idx="255">
                  <c:v>69.510000000000005</c:v>
                </c:pt>
                <c:pt idx="256">
                  <c:v>69.319999999999993</c:v>
                </c:pt>
                <c:pt idx="257">
                  <c:v>69.09</c:v>
                </c:pt>
                <c:pt idx="258">
                  <c:v>68.78</c:v>
                </c:pt>
                <c:pt idx="259">
                  <c:v>68.39</c:v>
                </c:pt>
                <c:pt idx="260">
                  <c:v>68.12</c:v>
                </c:pt>
                <c:pt idx="261">
                  <c:v>67.73</c:v>
                </c:pt>
                <c:pt idx="262">
                  <c:v>67.459999999999994</c:v>
                </c:pt>
                <c:pt idx="263">
                  <c:v>67.040000000000006</c:v>
                </c:pt>
                <c:pt idx="264">
                  <c:v>66.81</c:v>
                </c:pt>
                <c:pt idx="265">
                  <c:v>66.42</c:v>
                </c:pt>
                <c:pt idx="266">
                  <c:v>66.19</c:v>
                </c:pt>
                <c:pt idx="267">
                  <c:v>65.88</c:v>
                </c:pt>
                <c:pt idx="268">
                  <c:v>66.69</c:v>
                </c:pt>
                <c:pt idx="269">
                  <c:v>66.959999999999994</c:v>
                </c:pt>
                <c:pt idx="270">
                  <c:v>66.73</c:v>
                </c:pt>
                <c:pt idx="271">
                  <c:v>66.42</c:v>
                </c:pt>
                <c:pt idx="272">
                  <c:v>66.19</c:v>
                </c:pt>
                <c:pt idx="273">
                  <c:v>65.760000000000005</c:v>
                </c:pt>
                <c:pt idx="274">
                  <c:v>65.569999999999993</c:v>
                </c:pt>
                <c:pt idx="275">
                  <c:v>65.459999999999994</c:v>
                </c:pt>
                <c:pt idx="276">
                  <c:v>65.11</c:v>
                </c:pt>
                <c:pt idx="277">
                  <c:v>64.84</c:v>
                </c:pt>
                <c:pt idx="278">
                  <c:v>64.53</c:v>
                </c:pt>
                <c:pt idx="279">
                  <c:v>64.3</c:v>
                </c:pt>
                <c:pt idx="280">
                  <c:v>64.03</c:v>
                </c:pt>
                <c:pt idx="281">
                  <c:v>63.68</c:v>
                </c:pt>
                <c:pt idx="282">
                  <c:v>63.49</c:v>
                </c:pt>
                <c:pt idx="283">
                  <c:v>63.18</c:v>
                </c:pt>
                <c:pt idx="284">
                  <c:v>62.95</c:v>
                </c:pt>
                <c:pt idx="285">
                  <c:v>62.68</c:v>
                </c:pt>
                <c:pt idx="286">
                  <c:v>62.37</c:v>
                </c:pt>
                <c:pt idx="287">
                  <c:v>62.79</c:v>
                </c:pt>
                <c:pt idx="288">
                  <c:v>63.14</c:v>
                </c:pt>
                <c:pt idx="289">
                  <c:v>63.06</c:v>
                </c:pt>
                <c:pt idx="290">
                  <c:v>62.87</c:v>
                </c:pt>
                <c:pt idx="291">
                  <c:v>62.68</c:v>
                </c:pt>
                <c:pt idx="292">
                  <c:v>62.29</c:v>
                </c:pt>
                <c:pt idx="293">
                  <c:v>62.1</c:v>
                </c:pt>
                <c:pt idx="294">
                  <c:v>61.86</c:v>
                </c:pt>
                <c:pt idx="295">
                  <c:v>61.67</c:v>
                </c:pt>
                <c:pt idx="296">
                  <c:v>61.48</c:v>
                </c:pt>
                <c:pt idx="297">
                  <c:v>61.13</c:v>
                </c:pt>
                <c:pt idx="298">
                  <c:v>60.9</c:v>
                </c:pt>
                <c:pt idx="299">
                  <c:v>60.71</c:v>
                </c:pt>
                <c:pt idx="300">
                  <c:v>60.51</c:v>
                </c:pt>
                <c:pt idx="301">
                  <c:v>60.24</c:v>
                </c:pt>
                <c:pt idx="302">
                  <c:v>60.09</c:v>
                </c:pt>
                <c:pt idx="303">
                  <c:v>59.78</c:v>
                </c:pt>
                <c:pt idx="304">
                  <c:v>59.59</c:v>
                </c:pt>
                <c:pt idx="305">
                  <c:v>59.39</c:v>
                </c:pt>
                <c:pt idx="306">
                  <c:v>59.16</c:v>
                </c:pt>
                <c:pt idx="307">
                  <c:v>58.85</c:v>
                </c:pt>
                <c:pt idx="308">
                  <c:v>59.39</c:v>
                </c:pt>
                <c:pt idx="309">
                  <c:v>59.59</c:v>
                </c:pt>
                <c:pt idx="310">
                  <c:v>59.51</c:v>
                </c:pt>
                <c:pt idx="311">
                  <c:v>59.28</c:v>
                </c:pt>
                <c:pt idx="312">
                  <c:v>59.08</c:v>
                </c:pt>
                <c:pt idx="313">
                  <c:v>58.81</c:v>
                </c:pt>
                <c:pt idx="314">
                  <c:v>58.66</c:v>
                </c:pt>
                <c:pt idx="315">
                  <c:v>58.39</c:v>
                </c:pt>
                <c:pt idx="316">
                  <c:v>58.23</c:v>
                </c:pt>
                <c:pt idx="317">
                  <c:v>58.08</c:v>
                </c:pt>
                <c:pt idx="318">
                  <c:v>57.85</c:v>
                </c:pt>
                <c:pt idx="319">
                  <c:v>57.66</c:v>
                </c:pt>
                <c:pt idx="320">
                  <c:v>57.46</c:v>
                </c:pt>
                <c:pt idx="321">
                  <c:v>57.23</c:v>
                </c:pt>
                <c:pt idx="322">
                  <c:v>51.44</c:v>
                </c:pt>
                <c:pt idx="323">
                  <c:v>44.64</c:v>
                </c:pt>
                <c:pt idx="324">
                  <c:v>39.659999999999997</c:v>
                </c:pt>
                <c:pt idx="325">
                  <c:v>35.450000000000003</c:v>
                </c:pt>
                <c:pt idx="326">
                  <c:v>31.94</c:v>
                </c:pt>
                <c:pt idx="327">
                  <c:v>28.92</c:v>
                </c:pt>
                <c:pt idx="328">
                  <c:v>26.41</c:v>
                </c:pt>
                <c:pt idx="329">
                  <c:v>23.9</c:v>
                </c:pt>
                <c:pt idx="330">
                  <c:v>21.82</c:v>
                </c:pt>
                <c:pt idx="331">
                  <c:v>19.93</c:v>
                </c:pt>
                <c:pt idx="332">
                  <c:v>18.23</c:v>
                </c:pt>
                <c:pt idx="333">
                  <c:v>16.64</c:v>
                </c:pt>
                <c:pt idx="334">
                  <c:v>15.33</c:v>
                </c:pt>
                <c:pt idx="335">
                  <c:v>14.13</c:v>
                </c:pt>
                <c:pt idx="336">
                  <c:v>13.05</c:v>
                </c:pt>
                <c:pt idx="337">
                  <c:v>12.13</c:v>
                </c:pt>
                <c:pt idx="338">
                  <c:v>11.28</c:v>
                </c:pt>
                <c:pt idx="339">
                  <c:v>10.43</c:v>
                </c:pt>
                <c:pt idx="340">
                  <c:v>9.77</c:v>
                </c:pt>
                <c:pt idx="341">
                  <c:v>9.11</c:v>
                </c:pt>
                <c:pt idx="342">
                  <c:v>8.61</c:v>
                </c:pt>
                <c:pt idx="343">
                  <c:v>8.19</c:v>
                </c:pt>
                <c:pt idx="344">
                  <c:v>7.61</c:v>
                </c:pt>
                <c:pt idx="345">
                  <c:v>7.18</c:v>
                </c:pt>
                <c:pt idx="346">
                  <c:v>6.76</c:v>
                </c:pt>
                <c:pt idx="347">
                  <c:v>6.41</c:v>
                </c:pt>
                <c:pt idx="348">
                  <c:v>6.18</c:v>
                </c:pt>
                <c:pt idx="349">
                  <c:v>5.95</c:v>
                </c:pt>
                <c:pt idx="350">
                  <c:v>5.64</c:v>
                </c:pt>
                <c:pt idx="351">
                  <c:v>5.41</c:v>
                </c:pt>
                <c:pt idx="352">
                  <c:v>5.0999999999999996</c:v>
                </c:pt>
                <c:pt idx="353">
                  <c:v>4.83</c:v>
                </c:pt>
                <c:pt idx="354">
                  <c:v>4.75</c:v>
                </c:pt>
                <c:pt idx="355">
                  <c:v>4.5199999999999996</c:v>
                </c:pt>
                <c:pt idx="356">
                  <c:v>4.25</c:v>
                </c:pt>
                <c:pt idx="357">
                  <c:v>4.09</c:v>
                </c:pt>
                <c:pt idx="358">
                  <c:v>3.9</c:v>
                </c:pt>
                <c:pt idx="359">
                  <c:v>3.71</c:v>
                </c:pt>
                <c:pt idx="360">
                  <c:v>3.51</c:v>
                </c:pt>
                <c:pt idx="361">
                  <c:v>3.36</c:v>
                </c:pt>
                <c:pt idx="362">
                  <c:v>3.28</c:v>
                </c:pt>
                <c:pt idx="363">
                  <c:v>3.09</c:v>
                </c:pt>
                <c:pt idx="364">
                  <c:v>2.97</c:v>
                </c:pt>
                <c:pt idx="365">
                  <c:v>2.86</c:v>
                </c:pt>
                <c:pt idx="366">
                  <c:v>2.74</c:v>
                </c:pt>
                <c:pt idx="367">
                  <c:v>2.66</c:v>
                </c:pt>
                <c:pt idx="368">
                  <c:v>2.4700000000000002</c:v>
                </c:pt>
                <c:pt idx="369">
                  <c:v>2.3199999999999998</c:v>
                </c:pt>
                <c:pt idx="370">
                  <c:v>2.2400000000000002</c:v>
                </c:pt>
                <c:pt idx="371">
                  <c:v>2.2000000000000002</c:v>
                </c:pt>
                <c:pt idx="372">
                  <c:v>2.09</c:v>
                </c:pt>
                <c:pt idx="373">
                  <c:v>1.97</c:v>
                </c:pt>
                <c:pt idx="374">
                  <c:v>1.93</c:v>
                </c:pt>
                <c:pt idx="375">
                  <c:v>1.85</c:v>
                </c:pt>
                <c:pt idx="376">
                  <c:v>1.74</c:v>
                </c:pt>
                <c:pt idx="377">
                  <c:v>1.66</c:v>
                </c:pt>
                <c:pt idx="378">
                  <c:v>1.62</c:v>
                </c:pt>
                <c:pt idx="379">
                  <c:v>1.54</c:v>
                </c:pt>
                <c:pt idx="380">
                  <c:v>1.43</c:v>
                </c:pt>
                <c:pt idx="381">
                  <c:v>1.39</c:v>
                </c:pt>
                <c:pt idx="382">
                  <c:v>1.31</c:v>
                </c:pt>
                <c:pt idx="383">
                  <c:v>1.24</c:v>
                </c:pt>
                <c:pt idx="384">
                  <c:v>1.2</c:v>
                </c:pt>
                <c:pt idx="385">
                  <c:v>1.1200000000000001</c:v>
                </c:pt>
                <c:pt idx="386">
                  <c:v>1.08</c:v>
                </c:pt>
                <c:pt idx="387">
                  <c:v>0.97</c:v>
                </c:pt>
                <c:pt idx="388">
                  <c:v>0.97</c:v>
                </c:pt>
                <c:pt idx="389">
                  <c:v>0.89</c:v>
                </c:pt>
                <c:pt idx="390">
                  <c:v>0.89</c:v>
                </c:pt>
                <c:pt idx="391">
                  <c:v>0.77</c:v>
                </c:pt>
                <c:pt idx="392">
                  <c:v>0.73</c:v>
                </c:pt>
                <c:pt idx="393">
                  <c:v>0.66</c:v>
                </c:pt>
                <c:pt idx="394">
                  <c:v>0.62</c:v>
                </c:pt>
                <c:pt idx="395">
                  <c:v>0.57999999999999996</c:v>
                </c:pt>
                <c:pt idx="396">
                  <c:v>0.54</c:v>
                </c:pt>
                <c:pt idx="397">
                  <c:v>0.54</c:v>
                </c:pt>
                <c:pt idx="398">
                  <c:v>0.5</c:v>
                </c:pt>
                <c:pt idx="399">
                  <c:v>0.42</c:v>
                </c:pt>
                <c:pt idx="400">
                  <c:v>0.42</c:v>
                </c:pt>
                <c:pt idx="401">
                  <c:v>0.42</c:v>
                </c:pt>
                <c:pt idx="402">
                  <c:v>0.42</c:v>
                </c:pt>
                <c:pt idx="403">
                  <c:v>0.35</c:v>
                </c:pt>
                <c:pt idx="404">
                  <c:v>0.31</c:v>
                </c:pt>
                <c:pt idx="405">
                  <c:v>0.31</c:v>
                </c:pt>
                <c:pt idx="406">
                  <c:v>0.23</c:v>
                </c:pt>
                <c:pt idx="407">
                  <c:v>0.19</c:v>
                </c:pt>
                <c:pt idx="408">
                  <c:v>0.12</c:v>
                </c:pt>
                <c:pt idx="409">
                  <c:v>0.19</c:v>
                </c:pt>
                <c:pt idx="410">
                  <c:v>0.19</c:v>
                </c:pt>
                <c:pt idx="411">
                  <c:v>0.12</c:v>
                </c:pt>
                <c:pt idx="412">
                  <c:v>0.12</c:v>
                </c:pt>
                <c:pt idx="413">
                  <c:v>0.12</c:v>
                </c:pt>
                <c:pt idx="414">
                  <c:v>0.08</c:v>
                </c:pt>
                <c:pt idx="415">
                  <c:v>0.08</c:v>
                </c:pt>
                <c:pt idx="416">
                  <c:v>0</c:v>
                </c:pt>
                <c:pt idx="4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FC-4DD1-A5DA-9672893AC0D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Hoja2!$A$1:$A$418</c:f>
              <c:numCache>
                <c:formatCode>General</c:formatCode>
                <c:ptCount val="4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</c:numCache>
            </c:numRef>
          </c:xVal>
          <c:yVal>
            <c:numRef>
              <c:f>Hoja2!$C$1:$C$418</c:f>
              <c:numCache>
                <c:formatCode>General</c:formatCode>
                <c:ptCount val="418"/>
                <c:pt idx="1">
                  <c:v>21.60000000000025</c:v>
                </c:pt>
                <c:pt idx="2">
                  <c:v>18.600000000000136</c:v>
                </c:pt>
                <c:pt idx="3">
                  <c:v>24.599999999999795</c:v>
                </c:pt>
                <c:pt idx="4">
                  <c:v>19.399999999999977</c:v>
                </c:pt>
                <c:pt idx="5">
                  <c:v>22.400000000000091</c:v>
                </c:pt>
                <c:pt idx="6">
                  <c:v>23.799999999999955</c:v>
                </c:pt>
                <c:pt idx="7">
                  <c:v>13.999999999999773</c:v>
                </c:pt>
                <c:pt idx="8">
                  <c:v>22.400000000000091</c:v>
                </c:pt>
                <c:pt idx="9">
                  <c:v>18.600000000000136</c:v>
                </c:pt>
                <c:pt idx="10">
                  <c:v>19.200000000000159</c:v>
                </c:pt>
                <c:pt idx="11">
                  <c:v>20.199999999999818</c:v>
                </c:pt>
                <c:pt idx="12">
                  <c:v>16.200000000000045</c:v>
                </c:pt>
                <c:pt idx="13">
                  <c:v>13.799999999999955</c:v>
                </c:pt>
                <c:pt idx="14">
                  <c:v>-4.5999999999997954</c:v>
                </c:pt>
                <c:pt idx="15">
                  <c:v>-24.000000000000341</c:v>
                </c:pt>
                <c:pt idx="16">
                  <c:v>-19.199999999999591</c:v>
                </c:pt>
                <c:pt idx="17">
                  <c:v>-19.400000000000546</c:v>
                </c:pt>
                <c:pt idx="18">
                  <c:v>-16.199999999999477</c:v>
                </c:pt>
                <c:pt idx="19">
                  <c:v>-16.200000000000045</c:v>
                </c:pt>
                <c:pt idx="20">
                  <c:v>-17.000000000000455</c:v>
                </c:pt>
                <c:pt idx="21">
                  <c:v>-14.599999999999795</c:v>
                </c:pt>
                <c:pt idx="22">
                  <c:v>-14.800000000000182</c:v>
                </c:pt>
                <c:pt idx="23">
                  <c:v>-14.599999999999795</c:v>
                </c:pt>
                <c:pt idx="24">
                  <c:v>-13.999999999999773</c:v>
                </c:pt>
                <c:pt idx="25">
                  <c:v>-11.400000000000432</c:v>
                </c:pt>
                <c:pt idx="26">
                  <c:v>-9.3999999999999773</c:v>
                </c:pt>
                <c:pt idx="27">
                  <c:v>-16.200000000000045</c:v>
                </c:pt>
                <c:pt idx="28">
                  <c:v>-13.799999999999955</c:v>
                </c:pt>
                <c:pt idx="29">
                  <c:v>-14.799999999999613</c:v>
                </c:pt>
                <c:pt idx="30">
                  <c:v>-12.400000000000091</c:v>
                </c:pt>
                <c:pt idx="31">
                  <c:v>-13.000000000000114</c:v>
                </c:pt>
                <c:pt idx="32">
                  <c:v>-12.400000000000091</c:v>
                </c:pt>
                <c:pt idx="33">
                  <c:v>-13.199999999999932</c:v>
                </c:pt>
                <c:pt idx="34">
                  <c:v>-12.199999999999704</c:v>
                </c:pt>
                <c:pt idx="35">
                  <c:v>-13.2000000000005</c:v>
                </c:pt>
                <c:pt idx="36">
                  <c:v>-12.399999999999523</c:v>
                </c:pt>
                <c:pt idx="37">
                  <c:v>-12.400000000000091</c:v>
                </c:pt>
                <c:pt idx="38">
                  <c:v>-11.60000000000025</c:v>
                </c:pt>
                <c:pt idx="39">
                  <c:v>-11.599999999999682</c:v>
                </c:pt>
                <c:pt idx="40">
                  <c:v>-12.200000000000273</c:v>
                </c:pt>
                <c:pt idx="41">
                  <c:v>-12.400000000000091</c:v>
                </c:pt>
                <c:pt idx="42">
                  <c:v>-10.799999999999841</c:v>
                </c:pt>
                <c:pt idx="43">
                  <c:v>-11.60000000000025</c:v>
                </c:pt>
                <c:pt idx="44">
                  <c:v>-13.999999999999773</c:v>
                </c:pt>
                <c:pt idx="45">
                  <c:v>-10</c:v>
                </c:pt>
                <c:pt idx="46">
                  <c:v>-6.2000000000000455</c:v>
                </c:pt>
                <c:pt idx="47">
                  <c:v>-8.3999999999997499</c:v>
                </c:pt>
                <c:pt idx="48">
                  <c:v>-14.800000000000182</c:v>
                </c:pt>
                <c:pt idx="49">
                  <c:v>-13.000000000000114</c:v>
                </c:pt>
                <c:pt idx="50">
                  <c:v>-10</c:v>
                </c:pt>
                <c:pt idx="51">
                  <c:v>-11.599999999999682</c:v>
                </c:pt>
                <c:pt idx="52">
                  <c:v>-11.60000000000025</c:v>
                </c:pt>
                <c:pt idx="53">
                  <c:v>-11.599999999999682</c:v>
                </c:pt>
                <c:pt idx="54">
                  <c:v>-10</c:v>
                </c:pt>
                <c:pt idx="55">
                  <c:v>-12.400000000000091</c:v>
                </c:pt>
                <c:pt idx="56">
                  <c:v>-10</c:v>
                </c:pt>
                <c:pt idx="57">
                  <c:v>-10.200000000000387</c:v>
                </c:pt>
                <c:pt idx="58">
                  <c:v>-12.199999999999704</c:v>
                </c:pt>
                <c:pt idx="59">
                  <c:v>-9.3999999999999773</c:v>
                </c:pt>
                <c:pt idx="60">
                  <c:v>-11.60000000000025</c:v>
                </c:pt>
                <c:pt idx="61">
                  <c:v>-10.799999999999841</c:v>
                </c:pt>
                <c:pt idx="62">
                  <c:v>-10</c:v>
                </c:pt>
                <c:pt idx="63">
                  <c:v>-10.799999999999841</c:v>
                </c:pt>
                <c:pt idx="64">
                  <c:v>-9.2000000000001592</c:v>
                </c:pt>
                <c:pt idx="65">
                  <c:v>-12.400000000000091</c:v>
                </c:pt>
                <c:pt idx="66">
                  <c:v>-7.7999999999997272</c:v>
                </c:pt>
                <c:pt idx="67">
                  <c:v>-2.2000000000002728</c:v>
                </c:pt>
                <c:pt idx="68">
                  <c:v>-9.3999999999999773</c:v>
                </c:pt>
                <c:pt idx="69">
                  <c:v>-13.799999999999955</c:v>
                </c:pt>
                <c:pt idx="70">
                  <c:v>-10.799999999999841</c:v>
                </c:pt>
                <c:pt idx="71">
                  <c:v>-10.000000000000284</c:v>
                </c:pt>
                <c:pt idx="72">
                  <c:v>-10.799999999999841</c:v>
                </c:pt>
                <c:pt idx="73">
                  <c:v>-8.6000000000001364</c:v>
                </c:pt>
                <c:pt idx="74">
                  <c:v>-10.799999999999841</c:v>
                </c:pt>
                <c:pt idx="75">
                  <c:v>-9.2000000000001592</c:v>
                </c:pt>
                <c:pt idx="76">
                  <c:v>-12.399999999999807</c:v>
                </c:pt>
                <c:pt idx="77">
                  <c:v>-9.2000000000001592</c:v>
                </c:pt>
                <c:pt idx="78">
                  <c:v>-9.3999999999999773</c:v>
                </c:pt>
                <c:pt idx="79">
                  <c:v>-9.1999999999998749</c:v>
                </c:pt>
                <c:pt idx="80">
                  <c:v>-10.800000000000125</c:v>
                </c:pt>
                <c:pt idx="81">
                  <c:v>-7.8000000000000114</c:v>
                </c:pt>
                <c:pt idx="82">
                  <c:v>-9.1999999999998749</c:v>
                </c:pt>
                <c:pt idx="83">
                  <c:v>-10.800000000000125</c:v>
                </c:pt>
                <c:pt idx="84">
                  <c:v>-8.5999999999998522</c:v>
                </c:pt>
                <c:pt idx="85">
                  <c:v>-10.800000000000125</c:v>
                </c:pt>
                <c:pt idx="86">
                  <c:v>-2.9999999999998295</c:v>
                </c:pt>
                <c:pt idx="87">
                  <c:v>-2.4000000000000909</c:v>
                </c:pt>
                <c:pt idx="88">
                  <c:v>-15.39999999999992</c:v>
                </c:pt>
                <c:pt idx="89">
                  <c:v>-10.800000000000125</c:v>
                </c:pt>
                <c:pt idx="90">
                  <c:v>-8.6000000000001364</c:v>
                </c:pt>
                <c:pt idx="91">
                  <c:v>-11.599999999999966</c:v>
                </c:pt>
                <c:pt idx="92">
                  <c:v>-6.799999999999784</c:v>
                </c:pt>
                <c:pt idx="93">
                  <c:v>-9.3999999999999773</c:v>
                </c:pt>
                <c:pt idx="94">
                  <c:v>-10.800000000000125</c:v>
                </c:pt>
                <c:pt idx="95">
                  <c:v>-10</c:v>
                </c:pt>
                <c:pt idx="96">
                  <c:v>-6.9999999999998863</c:v>
                </c:pt>
                <c:pt idx="97">
                  <c:v>-9.2000000000001592</c:v>
                </c:pt>
                <c:pt idx="98">
                  <c:v>-10.799999999999841</c:v>
                </c:pt>
                <c:pt idx="99">
                  <c:v>-7.8000000000000114</c:v>
                </c:pt>
                <c:pt idx="100">
                  <c:v>-8.4000000000000341</c:v>
                </c:pt>
                <c:pt idx="101">
                  <c:v>-9.2000000000001592</c:v>
                </c:pt>
                <c:pt idx="102">
                  <c:v>-10.199999999999818</c:v>
                </c:pt>
                <c:pt idx="103">
                  <c:v>-6.2000000000000455</c:v>
                </c:pt>
                <c:pt idx="104">
                  <c:v>-8.4000000000000341</c:v>
                </c:pt>
                <c:pt idx="105">
                  <c:v>3.7999999999999545</c:v>
                </c:pt>
                <c:pt idx="106">
                  <c:v>0</c:v>
                </c:pt>
                <c:pt idx="107">
                  <c:v>-18.400000000000034</c:v>
                </c:pt>
                <c:pt idx="108">
                  <c:v>-14.000000000000057</c:v>
                </c:pt>
                <c:pt idx="109">
                  <c:v>-9.1999999999998749</c:v>
                </c:pt>
                <c:pt idx="110">
                  <c:v>-9.3999999999999773</c:v>
                </c:pt>
                <c:pt idx="111">
                  <c:v>-8.4000000000000341</c:v>
                </c:pt>
                <c:pt idx="112">
                  <c:v>-7.8000000000000114</c:v>
                </c:pt>
                <c:pt idx="113">
                  <c:v>-10</c:v>
                </c:pt>
                <c:pt idx="114">
                  <c:v>-9.1999999999998749</c:v>
                </c:pt>
                <c:pt idx="115">
                  <c:v>-8.6000000000001364</c:v>
                </c:pt>
                <c:pt idx="116">
                  <c:v>-7.5999999999999091</c:v>
                </c:pt>
                <c:pt idx="117">
                  <c:v>-9.3999999999999773</c:v>
                </c:pt>
                <c:pt idx="118">
                  <c:v>-10</c:v>
                </c:pt>
                <c:pt idx="119">
                  <c:v>-6.2000000000000455</c:v>
                </c:pt>
                <c:pt idx="120">
                  <c:v>-7.5999999999999091</c:v>
                </c:pt>
                <c:pt idx="121">
                  <c:v>-7.8000000000000114</c:v>
                </c:pt>
                <c:pt idx="122">
                  <c:v>-10</c:v>
                </c:pt>
                <c:pt idx="123">
                  <c:v>-7.0000000000001705</c:v>
                </c:pt>
                <c:pt idx="124">
                  <c:v>-5.3999999999999204</c:v>
                </c:pt>
                <c:pt idx="125">
                  <c:v>10.799999999999841</c:v>
                </c:pt>
                <c:pt idx="126">
                  <c:v>10</c:v>
                </c:pt>
                <c:pt idx="127">
                  <c:v>-7.5999999999999091</c:v>
                </c:pt>
                <c:pt idx="128">
                  <c:v>-13.199999999999932</c:v>
                </c:pt>
                <c:pt idx="129">
                  <c:v>-14.60000000000008</c:v>
                </c:pt>
                <c:pt idx="130">
                  <c:v>-20.199999999999818</c:v>
                </c:pt>
                <c:pt idx="131">
                  <c:v>-10</c:v>
                </c:pt>
                <c:pt idx="132">
                  <c:v>-7.8000000000000114</c:v>
                </c:pt>
                <c:pt idx="133">
                  <c:v>-10</c:v>
                </c:pt>
                <c:pt idx="134">
                  <c:v>-10</c:v>
                </c:pt>
                <c:pt idx="135">
                  <c:v>-9.2000000000001592</c:v>
                </c:pt>
                <c:pt idx="136">
                  <c:v>-7.8000000000000114</c:v>
                </c:pt>
                <c:pt idx="137">
                  <c:v>-6.9999999999998863</c:v>
                </c:pt>
                <c:pt idx="138">
                  <c:v>-8.4000000000000341</c:v>
                </c:pt>
                <c:pt idx="139">
                  <c:v>-6.2000000000000455</c:v>
                </c:pt>
                <c:pt idx="140">
                  <c:v>-10</c:v>
                </c:pt>
                <c:pt idx="141">
                  <c:v>-6.9999999999998863</c:v>
                </c:pt>
                <c:pt idx="142">
                  <c:v>-8.6000000000001364</c:v>
                </c:pt>
                <c:pt idx="143">
                  <c:v>-8.4000000000000341</c:v>
                </c:pt>
                <c:pt idx="144">
                  <c:v>-6.2000000000000455</c:v>
                </c:pt>
                <c:pt idx="145">
                  <c:v>-7.5999999999999091</c:v>
                </c:pt>
                <c:pt idx="146">
                  <c:v>3.0000000000001137</c:v>
                </c:pt>
                <c:pt idx="147">
                  <c:v>19.199999999999875</c:v>
                </c:pt>
                <c:pt idx="148">
                  <c:v>11.599999999999966</c:v>
                </c:pt>
                <c:pt idx="149">
                  <c:v>-11.599999999999966</c:v>
                </c:pt>
                <c:pt idx="150">
                  <c:v>-10.799999999999841</c:v>
                </c:pt>
                <c:pt idx="151">
                  <c:v>-10.800000000000125</c:v>
                </c:pt>
                <c:pt idx="152">
                  <c:v>-18.400000000000034</c:v>
                </c:pt>
                <c:pt idx="153">
                  <c:v>-13.199999999999932</c:v>
                </c:pt>
                <c:pt idx="154">
                  <c:v>-11.599999999999966</c:v>
                </c:pt>
                <c:pt idx="155">
                  <c:v>-12.400000000000091</c:v>
                </c:pt>
                <c:pt idx="156">
                  <c:v>-10.799999999999841</c:v>
                </c:pt>
                <c:pt idx="157">
                  <c:v>-10</c:v>
                </c:pt>
                <c:pt idx="158">
                  <c:v>-8.4000000000000341</c:v>
                </c:pt>
                <c:pt idx="159">
                  <c:v>-5.4000000000002046</c:v>
                </c:pt>
                <c:pt idx="160">
                  <c:v>-7.8000000000000114</c:v>
                </c:pt>
                <c:pt idx="161">
                  <c:v>-7.8000000000000114</c:v>
                </c:pt>
                <c:pt idx="162">
                  <c:v>-7.5999999999999091</c:v>
                </c:pt>
                <c:pt idx="163">
                  <c:v>-7.8000000000000114</c:v>
                </c:pt>
                <c:pt idx="164">
                  <c:v>-6.2000000000000455</c:v>
                </c:pt>
                <c:pt idx="165">
                  <c:v>-6.2000000000000455</c:v>
                </c:pt>
                <c:pt idx="166">
                  <c:v>-8.3999999999997499</c:v>
                </c:pt>
                <c:pt idx="167">
                  <c:v>-6.2000000000000455</c:v>
                </c:pt>
                <c:pt idx="168">
                  <c:v>10</c:v>
                </c:pt>
                <c:pt idx="169">
                  <c:v>24.799999999999898</c:v>
                </c:pt>
                <c:pt idx="170">
                  <c:v>5.3999999999999204</c:v>
                </c:pt>
                <c:pt idx="171">
                  <c:v>-8.5999999999998522</c:v>
                </c:pt>
                <c:pt idx="172">
                  <c:v>-5.3999999999999204</c:v>
                </c:pt>
                <c:pt idx="173">
                  <c:v>-10</c:v>
                </c:pt>
                <c:pt idx="174">
                  <c:v>-12.400000000000091</c:v>
                </c:pt>
                <c:pt idx="175">
                  <c:v>-9.2000000000001592</c:v>
                </c:pt>
                <c:pt idx="176">
                  <c:v>-10.799999999999841</c:v>
                </c:pt>
                <c:pt idx="177">
                  <c:v>-14.799999999999898</c:v>
                </c:pt>
                <c:pt idx="178">
                  <c:v>-13.000000000000114</c:v>
                </c:pt>
                <c:pt idx="179">
                  <c:v>-12.400000000000091</c:v>
                </c:pt>
                <c:pt idx="180">
                  <c:v>-9.1999999999998749</c:v>
                </c:pt>
                <c:pt idx="181">
                  <c:v>-9.3999999999999773</c:v>
                </c:pt>
                <c:pt idx="182">
                  <c:v>-7.6000000000001933</c:v>
                </c:pt>
                <c:pt idx="183">
                  <c:v>-7.8000000000000114</c:v>
                </c:pt>
                <c:pt idx="184">
                  <c:v>-8.3999999999997499</c:v>
                </c:pt>
                <c:pt idx="185">
                  <c:v>-7.0000000000001705</c:v>
                </c:pt>
                <c:pt idx="186">
                  <c:v>-6.9999999999998863</c:v>
                </c:pt>
                <c:pt idx="187">
                  <c:v>-7.8000000000000114</c:v>
                </c:pt>
                <c:pt idx="188">
                  <c:v>3.1999999999999318</c:v>
                </c:pt>
                <c:pt idx="189">
                  <c:v>26.200000000000045</c:v>
                </c:pt>
                <c:pt idx="190">
                  <c:v>16.200000000000045</c:v>
                </c:pt>
                <c:pt idx="191">
                  <c:v>1.5999999999999659</c:v>
                </c:pt>
                <c:pt idx="192">
                  <c:v>2.4000000000000909</c:v>
                </c:pt>
                <c:pt idx="193">
                  <c:v>-9.4000000000002615</c:v>
                </c:pt>
                <c:pt idx="194">
                  <c:v>-12.199999999999989</c:v>
                </c:pt>
                <c:pt idx="195">
                  <c:v>-10.999999999999943</c:v>
                </c:pt>
                <c:pt idx="196">
                  <c:v>-10.799999999999841</c:v>
                </c:pt>
                <c:pt idx="197">
                  <c:v>-14.60000000000008</c:v>
                </c:pt>
                <c:pt idx="198">
                  <c:v>-11.599999999999966</c:v>
                </c:pt>
                <c:pt idx="199">
                  <c:v>-14.60000000000008</c:v>
                </c:pt>
                <c:pt idx="200">
                  <c:v>-12.400000000000091</c:v>
                </c:pt>
                <c:pt idx="201">
                  <c:v>-9.1999999999998749</c:v>
                </c:pt>
                <c:pt idx="202">
                  <c:v>-10.800000000000125</c:v>
                </c:pt>
                <c:pt idx="203">
                  <c:v>-7.8000000000000114</c:v>
                </c:pt>
                <c:pt idx="204">
                  <c:v>-6.1999999999997613</c:v>
                </c:pt>
                <c:pt idx="205">
                  <c:v>-7.8000000000000114</c:v>
                </c:pt>
                <c:pt idx="206">
                  <c:v>-7.6000000000001933</c:v>
                </c:pt>
                <c:pt idx="207">
                  <c:v>-5.3999999999999204</c:v>
                </c:pt>
                <c:pt idx="208">
                  <c:v>-6.2000000000000455</c:v>
                </c:pt>
                <c:pt idx="209">
                  <c:v>16.200000000000045</c:v>
                </c:pt>
                <c:pt idx="210">
                  <c:v>31.599999999999966</c:v>
                </c:pt>
                <c:pt idx="211">
                  <c:v>12.400000000000091</c:v>
                </c:pt>
                <c:pt idx="212">
                  <c:v>-1.5999999999999659</c:v>
                </c:pt>
                <c:pt idx="213">
                  <c:v>-6.2000000000000455</c:v>
                </c:pt>
                <c:pt idx="214">
                  <c:v>-13.000000000000114</c:v>
                </c:pt>
                <c:pt idx="215">
                  <c:v>-10.799999999999841</c:v>
                </c:pt>
                <c:pt idx="216">
                  <c:v>-8.6000000000001364</c:v>
                </c:pt>
                <c:pt idx="217">
                  <c:v>-8.4000000000000341</c:v>
                </c:pt>
                <c:pt idx="218">
                  <c:v>-8.5999999999998522</c:v>
                </c:pt>
                <c:pt idx="219">
                  <c:v>-10.800000000000125</c:v>
                </c:pt>
                <c:pt idx="220">
                  <c:v>-10.799999999999841</c:v>
                </c:pt>
                <c:pt idx="221">
                  <c:v>-10</c:v>
                </c:pt>
                <c:pt idx="222">
                  <c:v>-10.800000000000125</c:v>
                </c:pt>
                <c:pt idx="223">
                  <c:v>-9.1999999999998749</c:v>
                </c:pt>
                <c:pt idx="224">
                  <c:v>-10.200000000000102</c:v>
                </c:pt>
                <c:pt idx="225">
                  <c:v>-9.1999999999998749</c:v>
                </c:pt>
                <c:pt idx="226">
                  <c:v>-7.0000000000001705</c:v>
                </c:pt>
                <c:pt idx="227">
                  <c:v>-7.5999999999999091</c:v>
                </c:pt>
                <c:pt idx="228">
                  <c:v>-9.3999999999999773</c:v>
                </c:pt>
                <c:pt idx="229">
                  <c:v>-3.0000000000001137</c:v>
                </c:pt>
                <c:pt idx="230">
                  <c:v>28.600000000000136</c:v>
                </c:pt>
                <c:pt idx="231">
                  <c:v>26.200000000000045</c:v>
                </c:pt>
                <c:pt idx="232">
                  <c:v>-2.4000000000000909</c:v>
                </c:pt>
                <c:pt idx="233">
                  <c:v>-3.7999999999999545</c:v>
                </c:pt>
                <c:pt idx="234">
                  <c:v>-8.4000000000000341</c:v>
                </c:pt>
                <c:pt idx="235">
                  <c:v>-11.599999999999966</c:v>
                </c:pt>
                <c:pt idx="236">
                  <c:v>-8.6000000000001364</c:v>
                </c:pt>
                <c:pt idx="237">
                  <c:v>-5.3999999999999204</c:v>
                </c:pt>
                <c:pt idx="238">
                  <c:v>-7.5999999999999091</c:v>
                </c:pt>
                <c:pt idx="239">
                  <c:v>-7.8000000000000114</c:v>
                </c:pt>
                <c:pt idx="240">
                  <c:v>-7.0000000000001705</c:v>
                </c:pt>
                <c:pt idx="241">
                  <c:v>-7.5999999999999091</c:v>
                </c:pt>
                <c:pt idx="242">
                  <c:v>-9.3999999999999773</c:v>
                </c:pt>
                <c:pt idx="243">
                  <c:v>-8.4000000000000341</c:v>
                </c:pt>
                <c:pt idx="244">
                  <c:v>-7.8000000000000114</c:v>
                </c:pt>
                <c:pt idx="245">
                  <c:v>-8.4000000000000341</c:v>
                </c:pt>
                <c:pt idx="246">
                  <c:v>-7.8000000000000114</c:v>
                </c:pt>
                <c:pt idx="247">
                  <c:v>-7.8000000000000114</c:v>
                </c:pt>
                <c:pt idx="248">
                  <c:v>-6.8000000000000682</c:v>
                </c:pt>
                <c:pt idx="249">
                  <c:v>-3.1999999999999318</c:v>
                </c:pt>
                <c:pt idx="250">
                  <c:v>28.600000000000136</c:v>
                </c:pt>
                <c:pt idx="251">
                  <c:v>6.9999999999998863</c:v>
                </c:pt>
                <c:pt idx="252">
                  <c:v>-3.7999999999999545</c:v>
                </c:pt>
                <c:pt idx="253">
                  <c:v>-6.2000000000000455</c:v>
                </c:pt>
                <c:pt idx="254">
                  <c:v>-11.599999999999966</c:v>
                </c:pt>
                <c:pt idx="255">
                  <c:v>-6.9999999999998863</c:v>
                </c:pt>
                <c:pt idx="256">
                  <c:v>-3.8000000000002387</c:v>
                </c:pt>
                <c:pt idx="257">
                  <c:v>-4.5999999999997954</c:v>
                </c:pt>
                <c:pt idx="258">
                  <c:v>-6.2000000000000455</c:v>
                </c:pt>
                <c:pt idx="259">
                  <c:v>-7.8000000000000114</c:v>
                </c:pt>
                <c:pt idx="260">
                  <c:v>-5.3999999999999204</c:v>
                </c:pt>
                <c:pt idx="261">
                  <c:v>-7.8000000000000114</c:v>
                </c:pt>
                <c:pt idx="262">
                  <c:v>-5.4000000000002046</c:v>
                </c:pt>
                <c:pt idx="263">
                  <c:v>-8.3999999999997499</c:v>
                </c:pt>
                <c:pt idx="264">
                  <c:v>-4.6000000000000796</c:v>
                </c:pt>
                <c:pt idx="265">
                  <c:v>-7.8000000000000114</c:v>
                </c:pt>
                <c:pt idx="266">
                  <c:v>-4.6000000000000796</c:v>
                </c:pt>
                <c:pt idx="267">
                  <c:v>-6.2000000000000455</c:v>
                </c:pt>
                <c:pt idx="268">
                  <c:v>16.200000000000045</c:v>
                </c:pt>
                <c:pt idx="269">
                  <c:v>5.3999999999999204</c:v>
                </c:pt>
                <c:pt idx="270">
                  <c:v>-4.5999999999997954</c:v>
                </c:pt>
                <c:pt idx="271">
                  <c:v>-6.2000000000000455</c:v>
                </c:pt>
                <c:pt idx="272">
                  <c:v>-4.6000000000000796</c:v>
                </c:pt>
                <c:pt idx="273">
                  <c:v>-8.5999999999998522</c:v>
                </c:pt>
                <c:pt idx="274">
                  <c:v>-3.8000000000002387</c:v>
                </c:pt>
                <c:pt idx="275">
                  <c:v>-2.1999999999999886</c:v>
                </c:pt>
                <c:pt idx="276">
                  <c:v>-6.9999999999998863</c:v>
                </c:pt>
                <c:pt idx="277">
                  <c:v>-5.3999999999999204</c:v>
                </c:pt>
                <c:pt idx="278">
                  <c:v>-6.2000000000000455</c:v>
                </c:pt>
                <c:pt idx="279">
                  <c:v>-4.6000000000000796</c:v>
                </c:pt>
                <c:pt idx="280">
                  <c:v>-5.3999999999999204</c:v>
                </c:pt>
                <c:pt idx="281">
                  <c:v>-7.0000000000000284</c:v>
                </c:pt>
                <c:pt idx="282">
                  <c:v>-3.7999999999999545</c:v>
                </c:pt>
                <c:pt idx="283">
                  <c:v>-6.2000000000000455</c:v>
                </c:pt>
                <c:pt idx="284">
                  <c:v>-4.5999999999999375</c:v>
                </c:pt>
                <c:pt idx="285">
                  <c:v>-5.4000000000000625</c:v>
                </c:pt>
                <c:pt idx="286">
                  <c:v>-6.2000000000000455</c:v>
                </c:pt>
                <c:pt idx="287">
                  <c:v>8.4000000000000341</c:v>
                </c:pt>
                <c:pt idx="288">
                  <c:v>7.0000000000000284</c:v>
                </c:pt>
                <c:pt idx="289">
                  <c:v>-1.5999999999999659</c:v>
                </c:pt>
                <c:pt idx="290">
                  <c:v>-3.8000000000000966</c:v>
                </c:pt>
                <c:pt idx="291">
                  <c:v>-3.7999999999999545</c:v>
                </c:pt>
                <c:pt idx="292">
                  <c:v>-7.8000000000000114</c:v>
                </c:pt>
                <c:pt idx="293">
                  <c:v>-3.7999999999999545</c:v>
                </c:pt>
                <c:pt idx="294">
                  <c:v>-4.8000000000000398</c:v>
                </c:pt>
                <c:pt idx="295">
                  <c:v>-3.7999999999999545</c:v>
                </c:pt>
                <c:pt idx="296">
                  <c:v>-3.8000000000000966</c:v>
                </c:pt>
                <c:pt idx="297">
                  <c:v>-6.9999999999998863</c:v>
                </c:pt>
                <c:pt idx="298">
                  <c:v>-4.6000000000000796</c:v>
                </c:pt>
                <c:pt idx="299">
                  <c:v>-3.7999999999999545</c:v>
                </c:pt>
                <c:pt idx="300">
                  <c:v>-4.0000000000000568</c:v>
                </c:pt>
                <c:pt idx="301">
                  <c:v>-5.3999999999999204</c:v>
                </c:pt>
                <c:pt idx="302">
                  <c:v>-2.9999999999999716</c:v>
                </c:pt>
                <c:pt idx="303">
                  <c:v>-6.2000000000000455</c:v>
                </c:pt>
                <c:pt idx="304">
                  <c:v>-3.7999999999999545</c:v>
                </c:pt>
                <c:pt idx="305">
                  <c:v>-4.0000000000000568</c:v>
                </c:pt>
                <c:pt idx="306">
                  <c:v>-4.6000000000000796</c:v>
                </c:pt>
                <c:pt idx="307">
                  <c:v>-6.1999999999999034</c:v>
                </c:pt>
                <c:pt idx="308">
                  <c:v>10.799999999999983</c:v>
                </c:pt>
                <c:pt idx="309">
                  <c:v>4.0000000000000568</c:v>
                </c:pt>
                <c:pt idx="310">
                  <c:v>-1.600000000000108</c:v>
                </c:pt>
                <c:pt idx="311">
                  <c:v>-4.5999999999999375</c:v>
                </c:pt>
                <c:pt idx="312">
                  <c:v>-4.0000000000000568</c:v>
                </c:pt>
                <c:pt idx="313">
                  <c:v>-5.3999999999999204</c:v>
                </c:pt>
                <c:pt idx="314">
                  <c:v>-3.0000000000001137</c:v>
                </c:pt>
                <c:pt idx="315">
                  <c:v>-5.3999999999999204</c:v>
                </c:pt>
                <c:pt idx="316">
                  <c:v>-3.2000000000000739</c:v>
                </c:pt>
                <c:pt idx="317">
                  <c:v>-2.9999999999999716</c:v>
                </c:pt>
                <c:pt idx="318">
                  <c:v>-4.5999999999999375</c:v>
                </c:pt>
                <c:pt idx="319">
                  <c:v>-3.8000000000000966</c:v>
                </c:pt>
                <c:pt idx="320">
                  <c:v>-3.9999999999999147</c:v>
                </c:pt>
                <c:pt idx="321">
                  <c:v>-4.6000000000000796</c:v>
                </c:pt>
                <c:pt idx="322">
                  <c:v>-115.79999999999998</c:v>
                </c:pt>
                <c:pt idx="323">
                  <c:v>-135.99999999999994</c:v>
                </c:pt>
                <c:pt idx="324">
                  <c:v>-99.60000000000008</c:v>
                </c:pt>
                <c:pt idx="325">
                  <c:v>-84.199999999999875</c:v>
                </c:pt>
                <c:pt idx="326">
                  <c:v>-70.200000000000031</c:v>
                </c:pt>
                <c:pt idx="327">
                  <c:v>-60.399999999999991</c:v>
                </c:pt>
                <c:pt idx="328">
                  <c:v>-50.200000000000031</c:v>
                </c:pt>
                <c:pt idx="329">
                  <c:v>-50.200000000000031</c:v>
                </c:pt>
                <c:pt idx="330">
                  <c:v>-41.599999999999966</c:v>
                </c:pt>
                <c:pt idx="331">
                  <c:v>-37.800000000000011</c:v>
                </c:pt>
                <c:pt idx="332">
                  <c:v>-33.999999999999986</c:v>
                </c:pt>
                <c:pt idx="333">
                  <c:v>-31.799999999999997</c:v>
                </c:pt>
                <c:pt idx="334">
                  <c:v>-26.20000000000001</c:v>
                </c:pt>
                <c:pt idx="335">
                  <c:v>-23.999999999999986</c:v>
                </c:pt>
                <c:pt idx="336">
                  <c:v>-21.6</c:v>
                </c:pt>
                <c:pt idx="337">
                  <c:v>-18.399999999999999</c:v>
                </c:pt>
                <c:pt idx="338">
                  <c:v>-17.000000000000028</c:v>
                </c:pt>
                <c:pt idx="339">
                  <c:v>-16.999999999999993</c:v>
                </c:pt>
                <c:pt idx="340">
                  <c:v>-13.200000000000003</c:v>
                </c:pt>
                <c:pt idx="341">
                  <c:v>-13.200000000000003</c:v>
                </c:pt>
                <c:pt idx="342">
                  <c:v>-10</c:v>
                </c:pt>
                <c:pt idx="343">
                  <c:v>-8.3999999999999986</c:v>
                </c:pt>
                <c:pt idx="344">
                  <c:v>-11.599999999999984</c:v>
                </c:pt>
                <c:pt idx="345">
                  <c:v>-8.6000000000000121</c:v>
                </c:pt>
                <c:pt idx="346">
                  <c:v>-8.3999999999999986</c:v>
                </c:pt>
                <c:pt idx="347">
                  <c:v>-6.9999999999999929</c:v>
                </c:pt>
                <c:pt idx="348">
                  <c:v>-4.6000000000000085</c:v>
                </c:pt>
                <c:pt idx="349">
                  <c:v>-4.5999999999999908</c:v>
                </c:pt>
                <c:pt idx="350">
                  <c:v>-6.2000000000000099</c:v>
                </c:pt>
                <c:pt idx="351">
                  <c:v>-4.5999999999999908</c:v>
                </c:pt>
                <c:pt idx="352">
                  <c:v>-6.2000000000000099</c:v>
                </c:pt>
                <c:pt idx="353">
                  <c:v>-5.3999999999999915</c:v>
                </c:pt>
                <c:pt idx="354">
                  <c:v>-1.6000000000000014</c:v>
                </c:pt>
                <c:pt idx="355">
                  <c:v>-4.6000000000000085</c:v>
                </c:pt>
                <c:pt idx="356">
                  <c:v>-5.3999999999999915</c:v>
                </c:pt>
                <c:pt idx="357">
                  <c:v>-3.2000000000000028</c:v>
                </c:pt>
                <c:pt idx="358">
                  <c:v>-3.7999999999999989</c:v>
                </c:pt>
                <c:pt idx="359">
                  <c:v>-3.7999999999999989</c:v>
                </c:pt>
                <c:pt idx="360">
                  <c:v>-4.0000000000000036</c:v>
                </c:pt>
                <c:pt idx="361">
                  <c:v>-2.9999999999999982</c:v>
                </c:pt>
                <c:pt idx="362">
                  <c:v>-1.6000000000000014</c:v>
                </c:pt>
                <c:pt idx="363">
                  <c:v>-3.7999999999999989</c:v>
                </c:pt>
                <c:pt idx="364">
                  <c:v>-2.3999999999999932</c:v>
                </c:pt>
                <c:pt idx="365">
                  <c:v>-2.2000000000000064</c:v>
                </c:pt>
                <c:pt idx="366">
                  <c:v>-2.3999999999999932</c:v>
                </c:pt>
                <c:pt idx="367">
                  <c:v>-1.6000000000000014</c:v>
                </c:pt>
                <c:pt idx="368">
                  <c:v>-3.7999999999999989</c:v>
                </c:pt>
                <c:pt idx="369">
                  <c:v>-3.0000000000000071</c:v>
                </c:pt>
                <c:pt idx="370">
                  <c:v>-1.5999999999999925</c:v>
                </c:pt>
                <c:pt idx="371">
                  <c:v>-0.80000000000000071</c:v>
                </c:pt>
                <c:pt idx="372">
                  <c:v>-2.2000000000000064</c:v>
                </c:pt>
                <c:pt idx="373">
                  <c:v>-2.3999999999999977</c:v>
                </c:pt>
                <c:pt idx="374">
                  <c:v>-0.80000000000000071</c:v>
                </c:pt>
                <c:pt idx="375">
                  <c:v>-1.599999999999997</c:v>
                </c:pt>
                <c:pt idx="376">
                  <c:v>-2.200000000000002</c:v>
                </c:pt>
                <c:pt idx="377">
                  <c:v>-1.6000000000000014</c:v>
                </c:pt>
                <c:pt idx="378">
                  <c:v>-0.79999999999999627</c:v>
                </c:pt>
                <c:pt idx="379">
                  <c:v>-1.6000000000000014</c:v>
                </c:pt>
                <c:pt idx="380">
                  <c:v>-2.200000000000002</c:v>
                </c:pt>
                <c:pt idx="381">
                  <c:v>-0.80000000000000071</c:v>
                </c:pt>
                <c:pt idx="382">
                  <c:v>-1.599999999999997</c:v>
                </c:pt>
                <c:pt idx="383">
                  <c:v>-1.4000000000000012</c:v>
                </c:pt>
                <c:pt idx="384">
                  <c:v>-0.80000000000000071</c:v>
                </c:pt>
                <c:pt idx="385">
                  <c:v>-1.599999999999997</c:v>
                </c:pt>
                <c:pt idx="386">
                  <c:v>-0.80000000000000071</c:v>
                </c:pt>
                <c:pt idx="387">
                  <c:v>-2.200000000000002</c:v>
                </c:pt>
                <c:pt idx="388">
                  <c:v>0</c:v>
                </c:pt>
                <c:pt idx="389">
                  <c:v>-1.5999999999999992</c:v>
                </c:pt>
                <c:pt idx="390">
                  <c:v>0</c:v>
                </c:pt>
                <c:pt idx="391">
                  <c:v>-2.4</c:v>
                </c:pt>
                <c:pt idx="392">
                  <c:v>-0.80000000000000071</c:v>
                </c:pt>
                <c:pt idx="393">
                  <c:v>-1.399999999999999</c:v>
                </c:pt>
                <c:pt idx="394">
                  <c:v>-0.80000000000000071</c:v>
                </c:pt>
                <c:pt idx="395">
                  <c:v>-0.80000000000000071</c:v>
                </c:pt>
                <c:pt idx="396">
                  <c:v>-0.79999999999999849</c:v>
                </c:pt>
                <c:pt idx="397">
                  <c:v>0</c:v>
                </c:pt>
                <c:pt idx="398">
                  <c:v>-0.80000000000000071</c:v>
                </c:pt>
                <c:pt idx="399">
                  <c:v>-1.6000000000000003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-1.4000000000000001</c:v>
                </c:pt>
                <c:pt idx="404">
                  <c:v>-0.7999999999999996</c:v>
                </c:pt>
                <c:pt idx="405">
                  <c:v>0</c:v>
                </c:pt>
                <c:pt idx="406">
                  <c:v>-1.5999999999999996</c:v>
                </c:pt>
                <c:pt idx="407">
                  <c:v>-0.80000000000000016</c:v>
                </c:pt>
                <c:pt idx="408">
                  <c:v>-1.4000000000000001</c:v>
                </c:pt>
                <c:pt idx="409">
                  <c:v>1.4000000000000001</c:v>
                </c:pt>
                <c:pt idx="410">
                  <c:v>0</c:v>
                </c:pt>
                <c:pt idx="411">
                  <c:v>-1.4000000000000001</c:v>
                </c:pt>
                <c:pt idx="412">
                  <c:v>0</c:v>
                </c:pt>
                <c:pt idx="413">
                  <c:v>0</c:v>
                </c:pt>
                <c:pt idx="414">
                  <c:v>-0.79999999999999982</c:v>
                </c:pt>
                <c:pt idx="415">
                  <c:v>0</c:v>
                </c:pt>
                <c:pt idx="416">
                  <c:v>-1.5999999999999999</c:v>
                </c:pt>
                <c:pt idx="4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FC-4DD1-A5DA-9672893AC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91968"/>
        <c:axId val="303594048"/>
      </c:scatterChart>
      <c:valAx>
        <c:axId val="303591968"/>
        <c:scaling>
          <c:orientation val="minMax"/>
          <c:max val="3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3594048"/>
        <c:crosses val="autoZero"/>
        <c:crossBetween val="midCat"/>
      </c:valAx>
      <c:valAx>
        <c:axId val="303594048"/>
        <c:scaling>
          <c:orientation val="minMax"/>
          <c:max val="16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359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109/75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Hoja2!$H$1:$H$343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Hoja2!$I$1:$I$343</c:f>
              <c:numCache>
                <c:formatCode>0.0</c:formatCode>
                <c:ptCount val="343"/>
                <c:pt idx="0">
                  <c:v>121.37</c:v>
                </c:pt>
                <c:pt idx="1">
                  <c:v>122.22</c:v>
                </c:pt>
                <c:pt idx="2">
                  <c:v>123.27</c:v>
                </c:pt>
                <c:pt idx="3">
                  <c:v>124.42</c:v>
                </c:pt>
                <c:pt idx="4">
                  <c:v>125.58</c:v>
                </c:pt>
                <c:pt idx="5">
                  <c:v>126.39</c:v>
                </c:pt>
                <c:pt idx="6">
                  <c:v>127.24</c:v>
                </c:pt>
                <c:pt idx="7">
                  <c:v>128.13</c:v>
                </c:pt>
                <c:pt idx="8">
                  <c:v>129.13</c:v>
                </c:pt>
                <c:pt idx="9">
                  <c:v>130.06</c:v>
                </c:pt>
                <c:pt idx="10">
                  <c:v>131.07</c:v>
                </c:pt>
                <c:pt idx="11">
                  <c:v>132.07</c:v>
                </c:pt>
                <c:pt idx="12">
                  <c:v>133.07</c:v>
                </c:pt>
                <c:pt idx="13">
                  <c:v>134.16</c:v>
                </c:pt>
                <c:pt idx="14">
                  <c:v>135</c:v>
                </c:pt>
                <c:pt idx="15">
                  <c:v>135.85</c:v>
                </c:pt>
                <c:pt idx="16">
                  <c:v>137.01</c:v>
                </c:pt>
                <c:pt idx="17">
                  <c:v>137.9</c:v>
                </c:pt>
                <c:pt idx="18">
                  <c:v>138.87</c:v>
                </c:pt>
                <c:pt idx="19">
                  <c:v>139.72</c:v>
                </c:pt>
                <c:pt idx="20">
                  <c:v>140.68</c:v>
                </c:pt>
                <c:pt idx="21">
                  <c:v>141.65</c:v>
                </c:pt>
                <c:pt idx="22">
                  <c:v>142.41999999999999</c:v>
                </c:pt>
                <c:pt idx="23">
                  <c:v>143.54</c:v>
                </c:pt>
                <c:pt idx="24">
                  <c:v>144.31</c:v>
                </c:pt>
                <c:pt idx="25">
                  <c:v>145.32</c:v>
                </c:pt>
                <c:pt idx="26">
                  <c:v>145.12</c:v>
                </c:pt>
                <c:pt idx="27">
                  <c:v>144.43</c:v>
                </c:pt>
                <c:pt idx="28">
                  <c:v>143.5</c:v>
                </c:pt>
                <c:pt idx="29">
                  <c:v>142.61000000000001</c:v>
                </c:pt>
                <c:pt idx="30">
                  <c:v>142.07</c:v>
                </c:pt>
                <c:pt idx="31">
                  <c:v>141.30000000000001</c:v>
                </c:pt>
                <c:pt idx="32">
                  <c:v>140.57</c:v>
                </c:pt>
                <c:pt idx="33">
                  <c:v>139.87</c:v>
                </c:pt>
                <c:pt idx="34">
                  <c:v>139.1</c:v>
                </c:pt>
                <c:pt idx="35">
                  <c:v>138.4</c:v>
                </c:pt>
                <c:pt idx="36">
                  <c:v>137.86000000000001</c:v>
                </c:pt>
                <c:pt idx="37">
                  <c:v>137.21</c:v>
                </c:pt>
                <c:pt idx="38">
                  <c:v>136.59</c:v>
                </c:pt>
                <c:pt idx="39">
                  <c:v>135.97</c:v>
                </c:pt>
                <c:pt idx="40">
                  <c:v>135.35</c:v>
                </c:pt>
                <c:pt idx="41">
                  <c:v>134.77000000000001</c:v>
                </c:pt>
                <c:pt idx="42">
                  <c:v>134.27000000000001</c:v>
                </c:pt>
                <c:pt idx="43">
                  <c:v>133.72999999999999</c:v>
                </c:pt>
                <c:pt idx="44">
                  <c:v>133.58000000000001</c:v>
                </c:pt>
                <c:pt idx="45">
                  <c:v>132.96</c:v>
                </c:pt>
                <c:pt idx="46">
                  <c:v>132.38</c:v>
                </c:pt>
                <c:pt idx="47">
                  <c:v>131.84</c:v>
                </c:pt>
                <c:pt idx="48">
                  <c:v>131.22</c:v>
                </c:pt>
                <c:pt idx="49">
                  <c:v>130.72</c:v>
                </c:pt>
                <c:pt idx="50">
                  <c:v>130.29</c:v>
                </c:pt>
                <c:pt idx="51">
                  <c:v>129.75</c:v>
                </c:pt>
                <c:pt idx="52">
                  <c:v>129.25</c:v>
                </c:pt>
                <c:pt idx="53">
                  <c:v>128.75</c:v>
                </c:pt>
                <c:pt idx="54">
                  <c:v>128.25</c:v>
                </c:pt>
                <c:pt idx="55">
                  <c:v>127.74</c:v>
                </c:pt>
                <c:pt idx="56">
                  <c:v>127.24</c:v>
                </c:pt>
                <c:pt idx="57">
                  <c:v>126.97</c:v>
                </c:pt>
                <c:pt idx="58">
                  <c:v>126.78</c:v>
                </c:pt>
                <c:pt idx="59">
                  <c:v>126.28</c:v>
                </c:pt>
                <c:pt idx="60">
                  <c:v>125.74</c:v>
                </c:pt>
                <c:pt idx="61">
                  <c:v>125.16</c:v>
                </c:pt>
                <c:pt idx="62">
                  <c:v>124.66</c:v>
                </c:pt>
                <c:pt idx="63">
                  <c:v>124.27</c:v>
                </c:pt>
                <c:pt idx="64">
                  <c:v>123.77</c:v>
                </c:pt>
                <c:pt idx="65">
                  <c:v>123.3</c:v>
                </c:pt>
                <c:pt idx="66">
                  <c:v>122.88</c:v>
                </c:pt>
                <c:pt idx="67">
                  <c:v>122.42</c:v>
                </c:pt>
                <c:pt idx="68">
                  <c:v>122.03</c:v>
                </c:pt>
                <c:pt idx="69">
                  <c:v>121.53</c:v>
                </c:pt>
                <c:pt idx="70">
                  <c:v>121.14</c:v>
                </c:pt>
                <c:pt idx="71">
                  <c:v>120.83</c:v>
                </c:pt>
                <c:pt idx="72">
                  <c:v>120.64</c:v>
                </c:pt>
                <c:pt idx="73">
                  <c:v>120.37</c:v>
                </c:pt>
                <c:pt idx="74">
                  <c:v>119.87</c:v>
                </c:pt>
                <c:pt idx="75">
                  <c:v>119.29</c:v>
                </c:pt>
                <c:pt idx="76">
                  <c:v>118.82</c:v>
                </c:pt>
                <c:pt idx="77">
                  <c:v>118.4</c:v>
                </c:pt>
                <c:pt idx="78">
                  <c:v>118.01</c:v>
                </c:pt>
                <c:pt idx="79">
                  <c:v>117.51</c:v>
                </c:pt>
                <c:pt idx="80">
                  <c:v>117.13</c:v>
                </c:pt>
                <c:pt idx="81">
                  <c:v>116.7</c:v>
                </c:pt>
                <c:pt idx="82">
                  <c:v>116.28</c:v>
                </c:pt>
                <c:pt idx="83">
                  <c:v>115.89</c:v>
                </c:pt>
                <c:pt idx="84">
                  <c:v>115.5</c:v>
                </c:pt>
                <c:pt idx="85">
                  <c:v>115.31</c:v>
                </c:pt>
                <c:pt idx="86">
                  <c:v>115.19</c:v>
                </c:pt>
                <c:pt idx="87">
                  <c:v>114.85</c:v>
                </c:pt>
                <c:pt idx="88">
                  <c:v>114.38</c:v>
                </c:pt>
                <c:pt idx="89">
                  <c:v>113.73</c:v>
                </c:pt>
                <c:pt idx="90">
                  <c:v>113.22</c:v>
                </c:pt>
                <c:pt idx="91">
                  <c:v>112.92</c:v>
                </c:pt>
                <c:pt idx="92">
                  <c:v>112.41</c:v>
                </c:pt>
                <c:pt idx="93">
                  <c:v>112.03</c:v>
                </c:pt>
                <c:pt idx="94">
                  <c:v>111.6</c:v>
                </c:pt>
                <c:pt idx="95">
                  <c:v>111.22</c:v>
                </c:pt>
                <c:pt idx="96">
                  <c:v>110.83</c:v>
                </c:pt>
                <c:pt idx="97">
                  <c:v>110.37</c:v>
                </c:pt>
                <c:pt idx="98">
                  <c:v>109.98</c:v>
                </c:pt>
                <c:pt idx="99">
                  <c:v>109.87</c:v>
                </c:pt>
                <c:pt idx="100">
                  <c:v>109.75</c:v>
                </c:pt>
                <c:pt idx="101">
                  <c:v>109.48</c:v>
                </c:pt>
                <c:pt idx="102">
                  <c:v>109.05</c:v>
                </c:pt>
                <c:pt idx="103">
                  <c:v>108.4</c:v>
                </c:pt>
                <c:pt idx="104">
                  <c:v>107.97</c:v>
                </c:pt>
                <c:pt idx="105">
                  <c:v>107.66</c:v>
                </c:pt>
                <c:pt idx="106">
                  <c:v>107.16</c:v>
                </c:pt>
                <c:pt idx="107">
                  <c:v>106.81</c:v>
                </c:pt>
                <c:pt idx="108">
                  <c:v>106.39</c:v>
                </c:pt>
                <c:pt idx="109">
                  <c:v>105.93</c:v>
                </c:pt>
                <c:pt idx="110">
                  <c:v>105.58</c:v>
                </c:pt>
                <c:pt idx="111">
                  <c:v>105.19</c:v>
                </c:pt>
                <c:pt idx="112">
                  <c:v>104.88</c:v>
                </c:pt>
                <c:pt idx="113">
                  <c:v>104.84</c:v>
                </c:pt>
                <c:pt idx="114">
                  <c:v>104.88</c:v>
                </c:pt>
                <c:pt idx="115">
                  <c:v>104.73</c:v>
                </c:pt>
                <c:pt idx="116">
                  <c:v>104.34</c:v>
                </c:pt>
                <c:pt idx="117">
                  <c:v>103.72</c:v>
                </c:pt>
                <c:pt idx="118">
                  <c:v>103.18</c:v>
                </c:pt>
                <c:pt idx="119">
                  <c:v>102.76</c:v>
                </c:pt>
                <c:pt idx="120">
                  <c:v>102.3</c:v>
                </c:pt>
                <c:pt idx="121">
                  <c:v>101.95</c:v>
                </c:pt>
                <c:pt idx="122">
                  <c:v>101.6</c:v>
                </c:pt>
                <c:pt idx="123">
                  <c:v>101.18</c:v>
                </c:pt>
                <c:pt idx="124">
                  <c:v>100.83</c:v>
                </c:pt>
                <c:pt idx="125">
                  <c:v>100.44</c:v>
                </c:pt>
                <c:pt idx="126">
                  <c:v>100.21</c:v>
                </c:pt>
                <c:pt idx="127">
                  <c:v>100.13</c:v>
                </c:pt>
                <c:pt idx="128">
                  <c:v>100.25</c:v>
                </c:pt>
                <c:pt idx="129">
                  <c:v>100.21</c:v>
                </c:pt>
                <c:pt idx="130">
                  <c:v>99.9</c:v>
                </c:pt>
                <c:pt idx="131">
                  <c:v>99.17</c:v>
                </c:pt>
                <c:pt idx="132">
                  <c:v>98.59</c:v>
                </c:pt>
                <c:pt idx="133">
                  <c:v>98.13</c:v>
                </c:pt>
                <c:pt idx="134">
                  <c:v>97.7</c:v>
                </c:pt>
                <c:pt idx="135">
                  <c:v>97.35</c:v>
                </c:pt>
                <c:pt idx="136">
                  <c:v>96.97</c:v>
                </c:pt>
                <c:pt idx="137">
                  <c:v>96.74</c:v>
                </c:pt>
                <c:pt idx="138">
                  <c:v>96.35</c:v>
                </c:pt>
                <c:pt idx="139">
                  <c:v>96</c:v>
                </c:pt>
                <c:pt idx="140">
                  <c:v>95.62</c:v>
                </c:pt>
                <c:pt idx="141">
                  <c:v>95.62</c:v>
                </c:pt>
                <c:pt idx="142">
                  <c:v>95.96</c:v>
                </c:pt>
                <c:pt idx="143">
                  <c:v>95.96</c:v>
                </c:pt>
                <c:pt idx="144">
                  <c:v>95.62</c:v>
                </c:pt>
                <c:pt idx="145">
                  <c:v>95.19</c:v>
                </c:pt>
                <c:pt idx="146">
                  <c:v>94.61</c:v>
                </c:pt>
                <c:pt idx="147">
                  <c:v>94.07</c:v>
                </c:pt>
                <c:pt idx="148">
                  <c:v>93.61</c:v>
                </c:pt>
                <c:pt idx="149">
                  <c:v>93.22</c:v>
                </c:pt>
                <c:pt idx="150">
                  <c:v>92.8</c:v>
                </c:pt>
                <c:pt idx="151">
                  <c:v>92.49</c:v>
                </c:pt>
                <c:pt idx="152">
                  <c:v>92.18</c:v>
                </c:pt>
                <c:pt idx="153">
                  <c:v>91.83</c:v>
                </c:pt>
                <c:pt idx="154">
                  <c:v>91.48</c:v>
                </c:pt>
                <c:pt idx="155">
                  <c:v>91.48</c:v>
                </c:pt>
                <c:pt idx="156">
                  <c:v>91.75</c:v>
                </c:pt>
                <c:pt idx="157">
                  <c:v>92.02</c:v>
                </c:pt>
                <c:pt idx="158">
                  <c:v>91.64</c:v>
                </c:pt>
                <c:pt idx="159">
                  <c:v>91.21</c:v>
                </c:pt>
                <c:pt idx="160">
                  <c:v>90.71</c:v>
                </c:pt>
                <c:pt idx="161">
                  <c:v>90.21</c:v>
                </c:pt>
                <c:pt idx="162">
                  <c:v>89.82</c:v>
                </c:pt>
                <c:pt idx="163">
                  <c:v>89.28</c:v>
                </c:pt>
                <c:pt idx="164">
                  <c:v>88.82</c:v>
                </c:pt>
                <c:pt idx="165">
                  <c:v>88.43</c:v>
                </c:pt>
                <c:pt idx="166">
                  <c:v>88.12</c:v>
                </c:pt>
                <c:pt idx="167">
                  <c:v>87.89</c:v>
                </c:pt>
                <c:pt idx="168">
                  <c:v>87.51</c:v>
                </c:pt>
                <c:pt idx="169">
                  <c:v>87.39</c:v>
                </c:pt>
                <c:pt idx="170">
                  <c:v>87.74</c:v>
                </c:pt>
                <c:pt idx="171">
                  <c:v>88.09</c:v>
                </c:pt>
                <c:pt idx="172">
                  <c:v>87.85</c:v>
                </c:pt>
                <c:pt idx="173">
                  <c:v>87.51</c:v>
                </c:pt>
                <c:pt idx="174">
                  <c:v>87.12</c:v>
                </c:pt>
                <c:pt idx="175">
                  <c:v>86.69</c:v>
                </c:pt>
                <c:pt idx="176">
                  <c:v>86.15</c:v>
                </c:pt>
                <c:pt idx="177">
                  <c:v>85.69</c:v>
                </c:pt>
                <c:pt idx="178">
                  <c:v>85.19</c:v>
                </c:pt>
                <c:pt idx="179">
                  <c:v>84.73</c:v>
                </c:pt>
                <c:pt idx="180">
                  <c:v>84.42</c:v>
                </c:pt>
                <c:pt idx="181">
                  <c:v>84.03</c:v>
                </c:pt>
                <c:pt idx="182">
                  <c:v>83.61</c:v>
                </c:pt>
                <c:pt idx="183">
                  <c:v>83.57</c:v>
                </c:pt>
                <c:pt idx="184">
                  <c:v>84.03</c:v>
                </c:pt>
                <c:pt idx="185">
                  <c:v>84.22</c:v>
                </c:pt>
                <c:pt idx="186">
                  <c:v>84.11</c:v>
                </c:pt>
                <c:pt idx="187">
                  <c:v>84.07</c:v>
                </c:pt>
                <c:pt idx="188">
                  <c:v>83.61</c:v>
                </c:pt>
                <c:pt idx="189">
                  <c:v>83.37</c:v>
                </c:pt>
                <c:pt idx="190">
                  <c:v>82.91</c:v>
                </c:pt>
                <c:pt idx="191">
                  <c:v>82.49</c:v>
                </c:pt>
                <c:pt idx="192">
                  <c:v>82.02</c:v>
                </c:pt>
                <c:pt idx="193">
                  <c:v>81.44</c:v>
                </c:pt>
                <c:pt idx="194">
                  <c:v>81.02</c:v>
                </c:pt>
                <c:pt idx="195">
                  <c:v>80.709999999999994</c:v>
                </c:pt>
                <c:pt idx="196">
                  <c:v>80.400000000000006</c:v>
                </c:pt>
                <c:pt idx="197">
                  <c:v>80.36</c:v>
                </c:pt>
                <c:pt idx="198">
                  <c:v>80.75</c:v>
                </c:pt>
                <c:pt idx="199">
                  <c:v>81.02</c:v>
                </c:pt>
                <c:pt idx="200">
                  <c:v>81.06</c:v>
                </c:pt>
                <c:pt idx="201">
                  <c:v>80.86</c:v>
                </c:pt>
                <c:pt idx="202">
                  <c:v>80.52</c:v>
                </c:pt>
                <c:pt idx="203">
                  <c:v>80.13</c:v>
                </c:pt>
                <c:pt idx="204">
                  <c:v>79.709999999999994</c:v>
                </c:pt>
                <c:pt idx="205">
                  <c:v>79.28</c:v>
                </c:pt>
                <c:pt idx="206">
                  <c:v>78.739999999999995</c:v>
                </c:pt>
                <c:pt idx="207">
                  <c:v>78.349999999999994</c:v>
                </c:pt>
                <c:pt idx="208">
                  <c:v>77.930000000000007</c:v>
                </c:pt>
                <c:pt idx="209">
                  <c:v>77.5</c:v>
                </c:pt>
                <c:pt idx="210">
                  <c:v>77.2</c:v>
                </c:pt>
                <c:pt idx="211">
                  <c:v>77.16</c:v>
                </c:pt>
                <c:pt idx="212">
                  <c:v>77.7</c:v>
                </c:pt>
                <c:pt idx="213">
                  <c:v>77.97</c:v>
                </c:pt>
                <c:pt idx="214">
                  <c:v>77.97</c:v>
                </c:pt>
                <c:pt idx="215">
                  <c:v>77.849999999999994</c:v>
                </c:pt>
                <c:pt idx="216">
                  <c:v>77.5</c:v>
                </c:pt>
                <c:pt idx="217">
                  <c:v>77.08</c:v>
                </c:pt>
                <c:pt idx="218">
                  <c:v>76.69</c:v>
                </c:pt>
                <c:pt idx="219">
                  <c:v>76.42</c:v>
                </c:pt>
                <c:pt idx="220">
                  <c:v>76.040000000000006</c:v>
                </c:pt>
                <c:pt idx="221">
                  <c:v>75.69</c:v>
                </c:pt>
                <c:pt idx="222">
                  <c:v>75.34</c:v>
                </c:pt>
                <c:pt idx="223">
                  <c:v>74.959999999999994</c:v>
                </c:pt>
                <c:pt idx="224">
                  <c:v>74.53</c:v>
                </c:pt>
                <c:pt idx="225">
                  <c:v>74.260000000000005</c:v>
                </c:pt>
                <c:pt idx="226">
                  <c:v>74.569999999999993</c:v>
                </c:pt>
                <c:pt idx="227">
                  <c:v>75.03</c:v>
                </c:pt>
                <c:pt idx="228">
                  <c:v>75.069999999999993</c:v>
                </c:pt>
                <c:pt idx="229">
                  <c:v>74.989999999999995</c:v>
                </c:pt>
                <c:pt idx="230">
                  <c:v>74.650000000000006</c:v>
                </c:pt>
                <c:pt idx="231">
                  <c:v>74.34</c:v>
                </c:pt>
                <c:pt idx="232">
                  <c:v>74.03</c:v>
                </c:pt>
                <c:pt idx="233">
                  <c:v>73.760000000000005</c:v>
                </c:pt>
                <c:pt idx="234">
                  <c:v>73.37</c:v>
                </c:pt>
                <c:pt idx="235">
                  <c:v>73.099999999999994</c:v>
                </c:pt>
                <c:pt idx="236">
                  <c:v>72.72</c:v>
                </c:pt>
                <c:pt idx="237">
                  <c:v>72.37</c:v>
                </c:pt>
                <c:pt idx="238">
                  <c:v>72.099999999999994</c:v>
                </c:pt>
                <c:pt idx="239">
                  <c:v>71.67</c:v>
                </c:pt>
                <c:pt idx="240">
                  <c:v>71.790000000000006</c:v>
                </c:pt>
                <c:pt idx="241">
                  <c:v>72.14</c:v>
                </c:pt>
                <c:pt idx="242">
                  <c:v>72.17</c:v>
                </c:pt>
                <c:pt idx="243">
                  <c:v>72.17</c:v>
                </c:pt>
                <c:pt idx="244">
                  <c:v>71.790000000000006</c:v>
                </c:pt>
                <c:pt idx="245">
                  <c:v>71.44</c:v>
                </c:pt>
                <c:pt idx="246">
                  <c:v>71.209999999999994</c:v>
                </c:pt>
                <c:pt idx="247">
                  <c:v>71.02</c:v>
                </c:pt>
                <c:pt idx="248">
                  <c:v>70.67</c:v>
                </c:pt>
                <c:pt idx="249">
                  <c:v>70.319999999999993</c:v>
                </c:pt>
                <c:pt idx="250">
                  <c:v>70.05</c:v>
                </c:pt>
                <c:pt idx="251">
                  <c:v>69.819999999999993</c:v>
                </c:pt>
                <c:pt idx="252">
                  <c:v>69.63</c:v>
                </c:pt>
                <c:pt idx="253">
                  <c:v>69.430000000000007</c:v>
                </c:pt>
                <c:pt idx="254">
                  <c:v>69.63</c:v>
                </c:pt>
                <c:pt idx="255">
                  <c:v>69.86</c:v>
                </c:pt>
                <c:pt idx="256">
                  <c:v>69.819999999999993</c:v>
                </c:pt>
                <c:pt idx="257">
                  <c:v>69.739999999999995</c:v>
                </c:pt>
                <c:pt idx="258">
                  <c:v>69.16</c:v>
                </c:pt>
                <c:pt idx="259">
                  <c:v>68.58</c:v>
                </c:pt>
                <c:pt idx="260">
                  <c:v>68.16</c:v>
                </c:pt>
                <c:pt idx="261">
                  <c:v>67.89</c:v>
                </c:pt>
                <c:pt idx="262">
                  <c:v>67.7</c:v>
                </c:pt>
                <c:pt idx="263">
                  <c:v>67.5</c:v>
                </c:pt>
                <c:pt idx="264">
                  <c:v>67.39</c:v>
                </c:pt>
                <c:pt idx="265">
                  <c:v>67.150000000000006</c:v>
                </c:pt>
                <c:pt idx="266">
                  <c:v>67.040000000000006</c:v>
                </c:pt>
                <c:pt idx="267">
                  <c:v>66.959999999999994</c:v>
                </c:pt>
                <c:pt idx="268">
                  <c:v>67.150000000000006</c:v>
                </c:pt>
                <c:pt idx="269">
                  <c:v>67.430000000000007</c:v>
                </c:pt>
                <c:pt idx="270">
                  <c:v>67.58</c:v>
                </c:pt>
                <c:pt idx="271">
                  <c:v>67.77</c:v>
                </c:pt>
                <c:pt idx="272">
                  <c:v>67.62</c:v>
                </c:pt>
                <c:pt idx="273">
                  <c:v>67.349999999999994</c:v>
                </c:pt>
                <c:pt idx="274">
                  <c:v>67.12</c:v>
                </c:pt>
                <c:pt idx="275">
                  <c:v>66.73</c:v>
                </c:pt>
                <c:pt idx="276">
                  <c:v>66.5</c:v>
                </c:pt>
                <c:pt idx="277">
                  <c:v>66.31</c:v>
                </c:pt>
                <c:pt idx="278">
                  <c:v>66.150000000000006</c:v>
                </c:pt>
                <c:pt idx="279">
                  <c:v>65.88</c:v>
                </c:pt>
                <c:pt idx="280">
                  <c:v>65.69</c:v>
                </c:pt>
                <c:pt idx="281">
                  <c:v>65.34</c:v>
                </c:pt>
                <c:pt idx="282">
                  <c:v>65.22</c:v>
                </c:pt>
                <c:pt idx="283">
                  <c:v>65.260000000000005</c:v>
                </c:pt>
                <c:pt idx="284">
                  <c:v>65.069999999999993</c:v>
                </c:pt>
                <c:pt idx="285">
                  <c:v>64.95</c:v>
                </c:pt>
                <c:pt idx="286">
                  <c:v>64.64</c:v>
                </c:pt>
                <c:pt idx="287">
                  <c:v>64.45</c:v>
                </c:pt>
                <c:pt idx="288">
                  <c:v>64.34</c:v>
                </c:pt>
                <c:pt idx="289">
                  <c:v>64.03</c:v>
                </c:pt>
                <c:pt idx="290">
                  <c:v>63.72</c:v>
                </c:pt>
                <c:pt idx="291">
                  <c:v>63.49</c:v>
                </c:pt>
                <c:pt idx="292">
                  <c:v>63.29</c:v>
                </c:pt>
                <c:pt idx="293">
                  <c:v>63.1</c:v>
                </c:pt>
                <c:pt idx="294">
                  <c:v>62.95</c:v>
                </c:pt>
                <c:pt idx="295">
                  <c:v>62.75</c:v>
                </c:pt>
                <c:pt idx="296">
                  <c:v>62.75</c:v>
                </c:pt>
                <c:pt idx="297">
                  <c:v>62.95</c:v>
                </c:pt>
                <c:pt idx="298">
                  <c:v>62.95</c:v>
                </c:pt>
                <c:pt idx="299">
                  <c:v>62.95</c:v>
                </c:pt>
                <c:pt idx="300">
                  <c:v>62.79</c:v>
                </c:pt>
                <c:pt idx="301">
                  <c:v>62.56</c:v>
                </c:pt>
                <c:pt idx="302">
                  <c:v>62.29</c:v>
                </c:pt>
                <c:pt idx="303">
                  <c:v>62.1</c:v>
                </c:pt>
                <c:pt idx="304">
                  <c:v>61.75</c:v>
                </c:pt>
                <c:pt idx="305">
                  <c:v>61.56</c:v>
                </c:pt>
                <c:pt idx="306">
                  <c:v>61.36</c:v>
                </c:pt>
                <c:pt idx="307">
                  <c:v>61.09</c:v>
                </c:pt>
                <c:pt idx="308">
                  <c:v>60.9</c:v>
                </c:pt>
                <c:pt idx="309">
                  <c:v>60.59</c:v>
                </c:pt>
                <c:pt idx="310">
                  <c:v>60.32</c:v>
                </c:pt>
                <c:pt idx="311">
                  <c:v>57.58</c:v>
                </c:pt>
                <c:pt idx="312">
                  <c:v>49.55</c:v>
                </c:pt>
                <c:pt idx="313">
                  <c:v>43.83</c:v>
                </c:pt>
                <c:pt idx="314">
                  <c:v>39.200000000000003</c:v>
                </c:pt>
                <c:pt idx="315">
                  <c:v>35.03</c:v>
                </c:pt>
                <c:pt idx="316">
                  <c:v>31.55</c:v>
                </c:pt>
                <c:pt idx="317">
                  <c:v>28.5</c:v>
                </c:pt>
                <c:pt idx="318">
                  <c:v>25.87</c:v>
                </c:pt>
                <c:pt idx="319">
                  <c:v>23.56</c:v>
                </c:pt>
                <c:pt idx="320">
                  <c:v>21.47</c:v>
                </c:pt>
                <c:pt idx="321">
                  <c:v>19.5</c:v>
                </c:pt>
                <c:pt idx="322">
                  <c:v>17.84</c:v>
                </c:pt>
                <c:pt idx="323">
                  <c:v>16.45</c:v>
                </c:pt>
                <c:pt idx="324">
                  <c:v>15.22</c:v>
                </c:pt>
                <c:pt idx="325">
                  <c:v>14.25</c:v>
                </c:pt>
                <c:pt idx="326">
                  <c:v>13.32</c:v>
                </c:pt>
                <c:pt idx="327">
                  <c:v>12.4</c:v>
                </c:pt>
                <c:pt idx="328">
                  <c:v>11.7</c:v>
                </c:pt>
                <c:pt idx="329">
                  <c:v>11.01</c:v>
                </c:pt>
                <c:pt idx="330">
                  <c:v>10.39</c:v>
                </c:pt>
                <c:pt idx="331">
                  <c:v>9.81</c:v>
                </c:pt>
                <c:pt idx="332">
                  <c:v>9.27</c:v>
                </c:pt>
                <c:pt idx="333">
                  <c:v>8.8000000000000007</c:v>
                </c:pt>
                <c:pt idx="334">
                  <c:v>8.3000000000000007</c:v>
                </c:pt>
                <c:pt idx="335">
                  <c:v>7.96</c:v>
                </c:pt>
                <c:pt idx="336">
                  <c:v>7.61</c:v>
                </c:pt>
                <c:pt idx="337">
                  <c:v>7.22</c:v>
                </c:pt>
                <c:pt idx="338">
                  <c:v>6.84</c:v>
                </c:pt>
                <c:pt idx="339">
                  <c:v>6.6</c:v>
                </c:pt>
                <c:pt idx="340">
                  <c:v>6.37</c:v>
                </c:pt>
                <c:pt idx="341">
                  <c:v>6.18</c:v>
                </c:pt>
                <c:pt idx="342">
                  <c:v>5.87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30-4C60-A7B3-3EC4FB4A1B3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Hoja2!$H$1:$H$343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Hoja2!$J$1:$J$343</c:f>
              <c:numCache>
                <c:formatCode>General</c:formatCode>
                <c:ptCount val="343"/>
                <c:pt idx="1">
                  <c:v>16.999999999999886</c:v>
                </c:pt>
                <c:pt idx="2">
                  <c:v>20.999999999999943</c:v>
                </c:pt>
                <c:pt idx="3">
                  <c:v>23.000000000000114</c:v>
                </c:pt>
                <c:pt idx="4">
                  <c:v>23.199999999999932</c:v>
                </c:pt>
                <c:pt idx="5">
                  <c:v>16.200000000000045</c:v>
                </c:pt>
                <c:pt idx="6">
                  <c:v>16.999999999999886</c:v>
                </c:pt>
                <c:pt idx="7">
                  <c:v>17.800000000000011</c:v>
                </c:pt>
                <c:pt idx="8">
                  <c:v>20</c:v>
                </c:pt>
                <c:pt idx="9">
                  <c:v>18.600000000000136</c:v>
                </c:pt>
                <c:pt idx="10">
                  <c:v>20.199999999999818</c:v>
                </c:pt>
                <c:pt idx="11">
                  <c:v>20</c:v>
                </c:pt>
                <c:pt idx="12">
                  <c:v>20</c:v>
                </c:pt>
                <c:pt idx="13">
                  <c:v>21.800000000000068</c:v>
                </c:pt>
                <c:pt idx="14">
                  <c:v>16.800000000000068</c:v>
                </c:pt>
                <c:pt idx="15">
                  <c:v>16.999999999999886</c:v>
                </c:pt>
                <c:pt idx="16">
                  <c:v>23.199999999999932</c:v>
                </c:pt>
                <c:pt idx="17">
                  <c:v>17.800000000000296</c:v>
                </c:pt>
                <c:pt idx="18">
                  <c:v>19.399999999999977</c:v>
                </c:pt>
                <c:pt idx="19">
                  <c:v>16.999999999999886</c:v>
                </c:pt>
                <c:pt idx="20">
                  <c:v>19.200000000000159</c:v>
                </c:pt>
                <c:pt idx="21">
                  <c:v>19.399999999999977</c:v>
                </c:pt>
                <c:pt idx="22">
                  <c:v>15.399999999999636</c:v>
                </c:pt>
                <c:pt idx="23">
                  <c:v>22.400000000000091</c:v>
                </c:pt>
                <c:pt idx="24">
                  <c:v>15.400000000000205</c:v>
                </c:pt>
                <c:pt idx="25">
                  <c:v>20.199999999999818</c:v>
                </c:pt>
                <c:pt idx="26">
                  <c:v>-3.9999999999997726</c:v>
                </c:pt>
                <c:pt idx="27">
                  <c:v>-13.799999999999955</c:v>
                </c:pt>
                <c:pt idx="28">
                  <c:v>-18.600000000000136</c:v>
                </c:pt>
                <c:pt idx="29">
                  <c:v>-17.799999999999727</c:v>
                </c:pt>
                <c:pt idx="30">
                  <c:v>-10.800000000000409</c:v>
                </c:pt>
                <c:pt idx="31">
                  <c:v>-15.399999999999636</c:v>
                </c:pt>
                <c:pt idx="32">
                  <c:v>-14.600000000000364</c:v>
                </c:pt>
                <c:pt idx="33">
                  <c:v>-13.999999999999773</c:v>
                </c:pt>
                <c:pt idx="34">
                  <c:v>-15.400000000000205</c:v>
                </c:pt>
                <c:pt idx="35">
                  <c:v>-13.999999999999773</c:v>
                </c:pt>
                <c:pt idx="36">
                  <c:v>-10.799999999999841</c:v>
                </c:pt>
                <c:pt idx="37">
                  <c:v>-13.000000000000114</c:v>
                </c:pt>
                <c:pt idx="38">
                  <c:v>-12.400000000000091</c:v>
                </c:pt>
                <c:pt idx="39">
                  <c:v>-12.400000000000091</c:v>
                </c:pt>
                <c:pt idx="40">
                  <c:v>-12.400000000000091</c:v>
                </c:pt>
                <c:pt idx="41">
                  <c:v>-11.599999999999682</c:v>
                </c:pt>
                <c:pt idx="42">
                  <c:v>-10</c:v>
                </c:pt>
                <c:pt idx="43">
                  <c:v>-10.800000000000409</c:v>
                </c:pt>
                <c:pt idx="44">
                  <c:v>-2.9999999999995453</c:v>
                </c:pt>
                <c:pt idx="45">
                  <c:v>-12.400000000000091</c:v>
                </c:pt>
                <c:pt idx="46">
                  <c:v>-11.60000000000025</c:v>
                </c:pt>
                <c:pt idx="47">
                  <c:v>-10.799999999999841</c:v>
                </c:pt>
                <c:pt idx="48">
                  <c:v>-12.400000000000091</c:v>
                </c:pt>
                <c:pt idx="49">
                  <c:v>-10</c:v>
                </c:pt>
                <c:pt idx="50">
                  <c:v>-8.6000000000001364</c:v>
                </c:pt>
                <c:pt idx="51">
                  <c:v>-10.799999999999841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-10.200000000000102</c:v>
                </c:pt>
                <c:pt idx="56">
                  <c:v>-10</c:v>
                </c:pt>
                <c:pt idx="57">
                  <c:v>-5.3999999999999204</c:v>
                </c:pt>
                <c:pt idx="58">
                  <c:v>-3.7999999999999545</c:v>
                </c:pt>
                <c:pt idx="59">
                  <c:v>-10</c:v>
                </c:pt>
                <c:pt idx="60">
                  <c:v>-10.800000000000125</c:v>
                </c:pt>
                <c:pt idx="61">
                  <c:v>-11.599999999999966</c:v>
                </c:pt>
                <c:pt idx="62">
                  <c:v>-10</c:v>
                </c:pt>
                <c:pt idx="63">
                  <c:v>-7.8000000000000114</c:v>
                </c:pt>
                <c:pt idx="64">
                  <c:v>-10</c:v>
                </c:pt>
                <c:pt idx="65">
                  <c:v>-9.3999999999999773</c:v>
                </c:pt>
                <c:pt idx="66">
                  <c:v>-8.4000000000000341</c:v>
                </c:pt>
                <c:pt idx="67">
                  <c:v>-9.1999999999998749</c:v>
                </c:pt>
                <c:pt idx="68">
                  <c:v>-7.8000000000000114</c:v>
                </c:pt>
                <c:pt idx="69">
                  <c:v>-10</c:v>
                </c:pt>
                <c:pt idx="70">
                  <c:v>-7.8000000000000114</c:v>
                </c:pt>
                <c:pt idx="71">
                  <c:v>-6.2000000000000455</c:v>
                </c:pt>
                <c:pt idx="72">
                  <c:v>-3.7999999999999545</c:v>
                </c:pt>
                <c:pt idx="73">
                  <c:v>-5.3999999999999204</c:v>
                </c:pt>
                <c:pt idx="74">
                  <c:v>-10</c:v>
                </c:pt>
                <c:pt idx="75">
                  <c:v>-11.599999999999966</c:v>
                </c:pt>
                <c:pt idx="76">
                  <c:v>-9.4000000000002615</c:v>
                </c:pt>
                <c:pt idx="77">
                  <c:v>-8.3999999999997499</c:v>
                </c:pt>
                <c:pt idx="78">
                  <c:v>-7.8000000000000114</c:v>
                </c:pt>
                <c:pt idx="79">
                  <c:v>-10</c:v>
                </c:pt>
                <c:pt idx="80">
                  <c:v>-7.6000000000001933</c:v>
                </c:pt>
                <c:pt idx="81">
                  <c:v>-8.5999999999998522</c:v>
                </c:pt>
                <c:pt idx="82">
                  <c:v>-8.4000000000000341</c:v>
                </c:pt>
                <c:pt idx="83">
                  <c:v>-7.8000000000000114</c:v>
                </c:pt>
                <c:pt idx="84">
                  <c:v>-7.8000000000000114</c:v>
                </c:pt>
                <c:pt idx="85">
                  <c:v>-3.7999999999999545</c:v>
                </c:pt>
                <c:pt idx="86">
                  <c:v>-2.4000000000000909</c:v>
                </c:pt>
                <c:pt idx="87">
                  <c:v>-6.8000000000000682</c:v>
                </c:pt>
                <c:pt idx="88">
                  <c:v>-9.3999999999999773</c:v>
                </c:pt>
                <c:pt idx="89">
                  <c:v>-12.999999999999829</c:v>
                </c:pt>
                <c:pt idx="90">
                  <c:v>-10.200000000000102</c:v>
                </c:pt>
                <c:pt idx="91">
                  <c:v>-5.9999999999999432</c:v>
                </c:pt>
                <c:pt idx="92">
                  <c:v>-10.200000000000102</c:v>
                </c:pt>
                <c:pt idx="93">
                  <c:v>-7.5999999999999091</c:v>
                </c:pt>
                <c:pt idx="94">
                  <c:v>-8.6000000000001364</c:v>
                </c:pt>
                <c:pt idx="95">
                  <c:v>-7.5999999999999091</c:v>
                </c:pt>
                <c:pt idx="96">
                  <c:v>-7.8000000000000114</c:v>
                </c:pt>
                <c:pt idx="97">
                  <c:v>-9.1999999999998749</c:v>
                </c:pt>
                <c:pt idx="98">
                  <c:v>-7.8000000000000114</c:v>
                </c:pt>
                <c:pt idx="99">
                  <c:v>-2.1999999999999886</c:v>
                </c:pt>
                <c:pt idx="100">
                  <c:v>-2.4000000000000909</c:v>
                </c:pt>
                <c:pt idx="101">
                  <c:v>-5.3999999999999204</c:v>
                </c:pt>
                <c:pt idx="102">
                  <c:v>-8.6000000000001364</c:v>
                </c:pt>
                <c:pt idx="103">
                  <c:v>-12.999999999999829</c:v>
                </c:pt>
                <c:pt idx="104">
                  <c:v>-8.6000000000001364</c:v>
                </c:pt>
                <c:pt idx="105">
                  <c:v>-6.2000000000000455</c:v>
                </c:pt>
                <c:pt idx="106">
                  <c:v>-10</c:v>
                </c:pt>
                <c:pt idx="107">
                  <c:v>-6.9999999999998863</c:v>
                </c:pt>
                <c:pt idx="108">
                  <c:v>-8.4000000000000341</c:v>
                </c:pt>
                <c:pt idx="109">
                  <c:v>-9.1999999999998749</c:v>
                </c:pt>
                <c:pt idx="110">
                  <c:v>-7.0000000000001705</c:v>
                </c:pt>
                <c:pt idx="111">
                  <c:v>-7.8000000000000114</c:v>
                </c:pt>
                <c:pt idx="112">
                  <c:v>-6.2000000000000455</c:v>
                </c:pt>
                <c:pt idx="113">
                  <c:v>-0.79999999999984084</c:v>
                </c:pt>
                <c:pt idx="114">
                  <c:v>0.79999999999984084</c:v>
                </c:pt>
                <c:pt idx="115">
                  <c:v>-2.9999999999998295</c:v>
                </c:pt>
                <c:pt idx="116">
                  <c:v>-7.8000000000000114</c:v>
                </c:pt>
                <c:pt idx="117">
                  <c:v>-12.400000000000091</c:v>
                </c:pt>
                <c:pt idx="118">
                  <c:v>-10.799999999999841</c:v>
                </c:pt>
                <c:pt idx="119">
                  <c:v>-8.4000000000000341</c:v>
                </c:pt>
                <c:pt idx="120">
                  <c:v>-9.2000000000001592</c:v>
                </c:pt>
                <c:pt idx="121">
                  <c:v>-6.9999999999998863</c:v>
                </c:pt>
                <c:pt idx="122">
                  <c:v>-7.0000000000001705</c:v>
                </c:pt>
                <c:pt idx="123">
                  <c:v>-8.3999999999997499</c:v>
                </c:pt>
                <c:pt idx="124">
                  <c:v>-7.0000000000001705</c:v>
                </c:pt>
                <c:pt idx="125">
                  <c:v>-7.8000000000000114</c:v>
                </c:pt>
                <c:pt idx="126">
                  <c:v>-4.6000000000000796</c:v>
                </c:pt>
                <c:pt idx="127">
                  <c:v>-1.5999999999999659</c:v>
                </c:pt>
                <c:pt idx="128">
                  <c:v>2.4000000000000909</c:v>
                </c:pt>
                <c:pt idx="129">
                  <c:v>-0.80000000000012506</c:v>
                </c:pt>
                <c:pt idx="130">
                  <c:v>-6.1999999999997613</c:v>
                </c:pt>
                <c:pt idx="131">
                  <c:v>-14.60000000000008</c:v>
                </c:pt>
                <c:pt idx="132">
                  <c:v>-11.599999999999966</c:v>
                </c:pt>
                <c:pt idx="133">
                  <c:v>-9.2000000000001592</c:v>
                </c:pt>
                <c:pt idx="134">
                  <c:v>-8.5999999999998522</c:v>
                </c:pt>
                <c:pt idx="135">
                  <c:v>-7.0000000000001705</c:v>
                </c:pt>
                <c:pt idx="136">
                  <c:v>-7.5999999999999091</c:v>
                </c:pt>
                <c:pt idx="137">
                  <c:v>-4.6000000000000796</c:v>
                </c:pt>
                <c:pt idx="138">
                  <c:v>-7.8000000000000114</c:v>
                </c:pt>
                <c:pt idx="139">
                  <c:v>-6.9999999999998863</c:v>
                </c:pt>
                <c:pt idx="140">
                  <c:v>-7.5999999999999091</c:v>
                </c:pt>
                <c:pt idx="141">
                  <c:v>0</c:v>
                </c:pt>
                <c:pt idx="142">
                  <c:v>6.799999999999784</c:v>
                </c:pt>
                <c:pt idx="143">
                  <c:v>0</c:v>
                </c:pt>
                <c:pt idx="144">
                  <c:v>-6.799999999999784</c:v>
                </c:pt>
                <c:pt idx="145">
                  <c:v>-8.6000000000001364</c:v>
                </c:pt>
                <c:pt idx="146">
                  <c:v>-11.599999999999966</c:v>
                </c:pt>
                <c:pt idx="147">
                  <c:v>-10.800000000000125</c:v>
                </c:pt>
                <c:pt idx="148">
                  <c:v>-9.1999999999998749</c:v>
                </c:pt>
                <c:pt idx="149">
                  <c:v>-7.8000000000000114</c:v>
                </c:pt>
                <c:pt idx="150">
                  <c:v>-8.4000000000000341</c:v>
                </c:pt>
                <c:pt idx="151">
                  <c:v>-6.2000000000000455</c:v>
                </c:pt>
                <c:pt idx="152">
                  <c:v>-6.1999999999997613</c:v>
                </c:pt>
                <c:pt idx="153">
                  <c:v>-7.0000000000001705</c:v>
                </c:pt>
                <c:pt idx="154">
                  <c:v>-6.9999999999998863</c:v>
                </c:pt>
                <c:pt idx="155">
                  <c:v>0</c:v>
                </c:pt>
                <c:pt idx="156">
                  <c:v>5.3999999999999204</c:v>
                </c:pt>
                <c:pt idx="157">
                  <c:v>5.3999999999999204</c:v>
                </c:pt>
                <c:pt idx="158">
                  <c:v>-7.5999999999999091</c:v>
                </c:pt>
                <c:pt idx="159">
                  <c:v>-8.6000000000001364</c:v>
                </c:pt>
                <c:pt idx="160">
                  <c:v>-10</c:v>
                </c:pt>
                <c:pt idx="161">
                  <c:v>-10</c:v>
                </c:pt>
                <c:pt idx="162">
                  <c:v>-7.8000000000000114</c:v>
                </c:pt>
                <c:pt idx="163">
                  <c:v>-10.799999999999841</c:v>
                </c:pt>
                <c:pt idx="164">
                  <c:v>-9.2000000000001592</c:v>
                </c:pt>
                <c:pt idx="165">
                  <c:v>-7.7999999999997272</c:v>
                </c:pt>
                <c:pt idx="166">
                  <c:v>-6.2000000000000455</c:v>
                </c:pt>
                <c:pt idx="167">
                  <c:v>-4.6000000000000796</c:v>
                </c:pt>
                <c:pt idx="168">
                  <c:v>-7.5999999999999091</c:v>
                </c:pt>
                <c:pt idx="169">
                  <c:v>-2.4000000000000909</c:v>
                </c:pt>
                <c:pt idx="170">
                  <c:v>6.9999999999998863</c:v>
                </c:pt>
                <c:pt idx="171">
                  <c:v>7.0000000000001705</c:v>
                </c:pt>
                <c:pt idx="172">
                  <c:v>-4.8000000000001819</c:v>
                </c:pt>
                <c:pt idx="173">
                  <c:v>-6.799999999999784</c:v>
                </c:pt>
                <c:pt idx="174">
                  <c:v>-7.8000000000000114</c:v>
                </c:pt>
                <c:pt idx="175">
                  <c:v>-8.6000000000001364</c:v>
                </c:pt>
                <c:pt idx="176">
                  <c:v>-10.799999999999841</c:v>
                </c:pt>
                <c:pt idx="177">
                  <c:v>-9.2000000000001592</c:v>
                </c:pt>
                <c:pt idx="178">
                  <c:v>-10</c:v>
                </c:pt>
                <c:pt idx="179">
                  <c:v>-9.1999999999998749</c:v>
                </c:pt>
                <c:pt idx="180">
                  <c:v>-6.2000000000000455</c:v>
                </c:pt>
                <c:pt idx="181">
                  <c:v>-7.8000000000000114</c:v>
                </c:pt>
                <c:pt idx="182">
                  <c:v>-8.4000000000000341</c:v>
                </c:pt>
                <c:pt idx="183">
                  <c:v>-0.80000000000012506</c:v>
                </c:pt>
                <c:pt idx="184">
                  <c:v>9.2000000000001592</c:v>
                </c:pt>
                <c:pt idx="185">
                  <c:v>3.7999999999999545</c:v>
                </c:pt>
                <c:pt idx="186">
                  <c:v>-2.1999999999999886</c:v>
                </c:pt>
                <c:pt idx="187">
                  <c:v>-0.80000000000012506</c:v>
                </c:pt>
                <c:pt idx="188">
                  <c:v>-9.1999999999998749</c:v>
                </c:pt>
                <c:pt idx="189">
                  <c:v>-4.7999999999998977</c:v>
                </c:pt>
                <c:pt idx="190">
                  <c:v>-9.2000000000001592</c:v>
                </c:pt>
                <c:pt idx="191">
                  <c:v>-8.4000000000000341</c:v>
                </c:pt>
                <c:pt idx="192">
                  <c:v>-9.3999999999999773</c:v>
                </c:pt>
                <c:pt idx="193">
                  <c:v>-11.599999999999966</c:v>
                </c:pt>
                <c:pt idx="194">
                  <c:v>-8.4000000000000341</c:v>
                </c:pt>
                <c:pt idx="195">
                  <c:v>-6.2000000000000455</c:v>
                </c:pt>
                <c:pt idx="196">
                  <c:v>-6.1999999999997613</c:v>
                </c:pt>
                <c:pt idx="197">
                  <c:v>-0.80000000000012506</c:v>
                </c:pt>
                <c:pt idx="198">
                  <c:v>7.8000000000000114</c:v>
                </c:pt>
                <c:pt idx="199">
                  <c:v>5.3999999999999204</c:v>
                </c:pt>
                <c:pt idx="200">
                  <c:v>0.80000000000012506</c:v>
                </c:pt>
                <c:pt idx="201">
                  <c:v>-4.0000000000000568</c:v>
                </c:pt>
                <c:pt idx="202">
                  <c:v>-6.8000000000000682</c:v>
                </c:pt>
                <c:pt idx="203">
                  <c:v>-7.8000000000000114</c:v>
                </c:pt>
                <c:pt idx="204">
                  <c:v>-8.4000000000000341</c:v>
                </c:pt>
                <c:pt idx="205">
                  <c:v>-8.5999999999998522</c:v>
                </c:pt>
                <c:pt idx="206">
                  <c:v>-10.800000000000125</c:v>
                </c:pt>
                <c:pt idx="207">
                  <c:v>-7.8000000000000114</c:v>
                </c:pt>
                <c:pt idx="208">
                  <c:v>-8.3999999999997499</c:v>
                </c:pt>
                <c:pt idx="209">
                  <c:v>-8.6000000000001364</c:v>
                </c:pt>
                <c:pt idx="210">
                  <c:v>-5.9999999999999432</c:v>
                </c:pt>
                <c:pt idx="211">
                  <c:v>-0.80000000000012506</c:v>
                </c:pt>
                <c:pt idx="212">
                  <c:v>10.800000000000125</c:v>
                </c:pt>
                <c:pt idx="213">
                  <c:v>5.3999999999999204</c:v>
                </c:pt>
                <c:pt idx="214">
                  <c:v>0</c:v>
                </c:pt>
                <c:pt idx="215">
                  <c:v>-2.4000000000000909</c:v>
                </c:pt>
                <c:pt idx="216">
                  <c:v>-6.9999999999998863</c:v>
                </c:pt>
                <c:pt idx="217">
                  <c:v>-8.4000000000000341</c:v>
                </c:pt>
                <c:pt idx="218">
                  <c:v>-7.8000000000000114</c:v>
                </c:pt>
                <c:pt idx="219">
                  <c:v>-5.3999999999999204</c:v>
                </c:pt>
                <c:pt idx="220">
                  <c:v>-7.5999999999999091</c:v>
                </c:pt>
                <c:pt idx="221">
                  <c:v>-7.0000000000001705</c:v>
                </c:pt>
                <c:pt idx="222">
                  <c:v>-6.9999999999998863</c:v>
                </c:pt>
                <c:pt idx="223">
                  <c:v>-7.6000000000001933</c:v>
                </c:pt>
                <c:pt idx="224">
                  <c:v>-8.5999999999998522</c:v>
                </c:pt>
                <c:pt idx="225">
                  <c:v>-5.3999999999999204</c:v>
                </c:pt>
                <c:pt idx="226">
                  <c:v>6.1999999999997613</c:v>
                </c:pt>
                <c:pt idx="227">
                  <c:v>9.2000000000001592</c:v>
                </c:pt>
                <c:pt idx="228">
                  <c:v>0.79999999999984084</c:v>
                </c:pt>
                <c:pt idx="229">
                  <c:v>-1.5999999999999659</c:v>
                </c:pt>
                <c:pt idx="230">
                  <c:v>-6.799999999999784</c:v>
                </c:pt>
                <c:pt idx="231">
                  <c:v>-6.2000000000000455</c:v>
                </c:pt>
                <c:pt idx="232">
                  <c:v>-6.2000000000000455</c:v>
                </c:pt>
                <c:pt idx="233">
                  <c:v>-5.3999999999999204</c:v>
                </c:pt>
                <c:pt idx="234">
                  <c:v>-7.8000000000000114</c:v>
                </c:pt>
                <c:pt idx="235">
                  <c:v>-5.4000000000002046</c:v>
                </c:pt>
                <c:pt idx="236">
                  <c:v>-7.5999999999999091</c:v>
                </c:pt>
                <c:pt idx="237">
                  <c:v>-6.9999999999998863</c:v>
                </c:pt>
                <c:pt idx="238">
                  <c:v>-5.4000000000002046</c:v>
                </c:pt>
                <c:pt idx="239">
                  <c:v>-8.5999999999998522</c:v>
                </c:pt>
                <c:pt idx="240">
                  <c:v>2.4000000000000909</c:v>
                </c:pt>
                <c:pt idx="241">
                  <c:v>6.9999999999998863</c:v>
                </c:pt>
                <c:pt idx="242">
                  <c:v>0.60000000000002274</c:v>
                </c:pt>
                <c:pt idx="243">
                  <c:v>0</c:v>
                </c:pt>
                <c:pt idx="244">
                  <c:v>-7.5999999999999091</c:v>
                </c:pt>
                <c:pt idx="245">
                  <c:v>-7.0000000000001705</c:v>
                </c:pt>
                <c:pt idx="246">
                  <c:v>-4.6000000000000796</c:v>
                </c:pt>
                <c:pt idx="247">
                  <c:v>-3.7999999999999545</c:v>
                </c:pt>
                <c:pt idx="248">
                  <c:v>-6.9999999999998863</c:v>
                </c:pt>
                <c:pt idx="249">
                  <c:v>-7.0000000000001705</c:v>
                </c:pt>
                <c:pt idx="250">
                  <c:v>-5.3999999999999204</c:v>
                </c:pt>
                <c:pt idx="251">
                  <c:v>-4.6000000000000796</c:v>
                </c:pt>
                <c:pt idx="252">
                  <c:v>-3.7999999999999545</c:v>
                </c:pt>
                <c:pt idx="253">
                  <c:v>-3.9999999999997726</c:v>
                </c:pt>
                <c:pt idx="254">
                  <c:v>3.9999999999997726</c:v>
                </c:pt>
                <c:pt idx="255">
                  <c:v>4.6000000000000796</c:v>
                </c:pt>
                <c:pt idx="256">
                  <c:v>-0.80000000000012506</c:v>
                </c:pt>
                <c:pt idx="257">
                  <c:v>-1.5999999999999659</c:v>
                </c:pt>
                <c:pt idx="258">
                  <c:v>-11.599999999999966</c:v>
                </c:pt>
                <c:pt idx="259">
                  <c:v>-11.599999999999966</c:v>
                </c:pt>
                <c:pt idx="260">
                  <c:v>-8.4000000000000341</c:v>
                </c:pt>
                <c:pt idx="261">
                  <c:v>-5.3999999999999204</c:v>
                </c:pt>
                <c:pt idx="262">
                  <c:v>-3.7999999999999545</c:v>
                </c:pt>
                <c:pt idx="263">
                  <c:v>-4.0000000000000568</c:v>
                </c:pt>
                <c:pt idx="264">
                  <c:v>-2.1999999999999886</c:v>
                </c:pt>
                <c:pt idx="265">
                  <c:v>-4.7999999999998977</c:v>
                </c:pt>
                <c:pt idx="266">
                  <c:v>-2.1999999999999886</c:v>
                </c:pt>
                <c:pt idx="267">
                  <c:v>-1.6000000000002501</c:v>
                </c:pt>
                <c:pt idx="268">
                  <c:v>3.8000000000002387</c:v>
                </c:pt>
                <c:pt idx="269">
                  <c:v>5.6000000000000227</c:v>
                </c:pt>
                <c:pt idx="270">
                  <c:v>2.9999999999998295</c:v>
                </c:pt>
                <c:pt idx="271">
                  <c:v>3.7999999999999545</c:v>
                </c:pt>
                <c:pt idx="272">
                  <c:v>-2.9999999999998295</c:v>
                </c:pt>
                <c:pt idx="273">
                  <c:v>-5.4000000000002046</c:v>
                </c:pt>
                <c:pt idx="274">
                  <c:v>-4.5999999999997954</c:v>
                </c:pt>
                <c:pt idx="275">
                  <c:v>-7.8000000000000114</c:v>
                </c:pt>
                <c:pt idx="276">
                  <c:v>-4.6000000000000796</c:v>
                </c:pt>
                <c:pt idx="277">
                  <c:v>-3.7999999999999545</c:v>
                </c:pt>
                <c:pt idx="278">
                  <c:v>-3.1999999999999318</c:v>
                </c:pt>
                <c:pt idx="279">
                  <c:v>-5.4000000000002046</c:v>
                </c:pt>
                <c:pt idx="280">
                  <c:v>-3.7999999999999545</c:v>
                </c:pt>
                <c:pt idx="281">
                  <c:v>-6.9999999999998863</c:v>
                </c:pt>
                <c:pt idx="282">
                  <c:v>-2.4000000000000909</c:v>
                </c:pt>
                <c:pt idx="283">
                  <c:v>0.80000000000012506</c:v>
                </c:pt>
                <c:pt idx="284">
                  <c:v>-3.8000000000002387</c:v>
                </c:pt>
                <c:pt idx="285">
                  <c:v>-2.3999999999998067</c:v>
                </c:pt>
                <c:pt idx="286">
                  <c:v>-6.2000000000000455</c:v>
                </c:pt>
                <c:pt idx="287">
                  <c:v>-3.7999999999999545</c:v>
                </c:pt>
                <c:pt idx="288">
                  <c:v>-2.1999999999999886</c:v>
                </c:pt>
                <c:pt idx="289">
                  <c:v>-6.2000000000000455</c:v>
                </c:pt>
                <c:pt idx="290">
                  <c:v>-6.2000000000000455</c:v>
                </c:pt>
                <c:pt idx="291">
                  <c:v>-4.5999999999999375</c:v>
                </c:pt>
                <c:pt idx="292">
                  <c:v>-4.0000000000000568</c:v>
                </c:pt>
                <c:pt idx="293">
                  <c:v>-3.7999999999999545</c:v>
                </c:pt>
                <c:pt idx="294">
                  <c:v>-2.9999999999999716</c:v>
                </c:pt>
                <c:pt idx="295">
                  <c:v>-4.0000000000000568</c:v>
                </c:pt>
                <c:pt idx="296">
                  <c:v>0</c:v>
                </c:pt>
                <c:pt idx="297">
                  <c:v>4.0000000000000568</c:v>
                </c:pt>
                <c:pt idx="298">
                  <c:v>0</c:v>
                </c:pt>
                <c:pt idx="299">
                  <c:v>0</c:v>
                </c:pt>
                <c:pt idx="300">
                  <c:v>-3.2000000000000739</c:v>
                </c:pt>
                <c:pt idx="301">
                  <c:v>-4.5999999999999375</c:v>
                </c:pt>
                <c:pt idx="302">
                  <c:v>-5.4000000000000625</c:v>
                </c:pt>
                <c:pt idx="303">
                  <c:v>-3.7999999999999545</c:v>
                </c:pt>
                <c:pt idx="304">
                  <c:v>-7.0000000000000284</c:v>
                </c:pt>
                <c:pt idx="305">
                  <c:v>-3.7999999999999545</c:v>
                </c:pt>
                <c:pt idx="306">
                  <c:v>-4.0000000000000568</c:v>
                </c:pt>
                <c:pt idx="307">
                  <c:v>-5.3999999999999204</c:v>
                </c:pt>
                <c:pt idx="308">
                  <c:v>-3.8000000000000966</c:v>
                </c:pt>
                <c:pt idx="309">
                  <c:v>-6.1999999999999034</c:v>
                </c:pt>
                <c:pt idx="310">
                  <c:v>-5.4000000000000625</c:v>
                </c:pt>
                <c:pt idx="311">
                  <c:v>-54.80000000000004</c:v>
                </c:pt>
                <c:pt idx="312">
                  <c:v>-160.60000000000002</c:v>
                </c:pt>
                <c:pt idx="313">
                  <c:v>-114.39999999999998</c:v>
                </c:pt>
                <c:pt idx="314">
                  <c:v>-92.599999999999909</c:v>
                </c:pt>
                <c:pt idx="315">
                  <c:v>-83.400000000000034</c:v>
                </c:pt>
                <c:pt idx="316">
                  <c:v>-69.600000000000009</c:v>
                </c:pt>
                <c:pt idx="317">
                  <c:v>-61.000000000000014</c:v>
                </c:pt>
                <c:pt idx="318">
                  <c:v>-52.59999999999998</c:v>
                </c:pt>
                <c:pt idx="319">
                  <c:v>-46.200000000000045</c:v>
                </c:pt>
                <c:pt idx="320">
                  <c:v>-41.8</c:v>
                </c:pt>
                <c:pt idx="321">
                  <c:v>-39.399999999999977</c:v>
                </c:pt>
                <c:pt idx="322">
                  <c:v>-33.200000000000003</c:v>
                </c:pt>
                <c:pt idx="323">
                  <c:v>-27.800000000000011</c:v>
                </c:pt>
                <c:pt idx="324">
                  <c:v>-24.599999999999973</c:v>
                </c:pt>
                <c:pt idx="325">
                  <c:v>-19.400000000000013</c:v>
                </c:pt>
                <c:pt idx="326">
                  <c:v>-18.599999999999994</c:v>
                </c:pt>
                <c:pt idx="327">
                  <c:v>-18.399999999999999</c:v>
                </c:pt>
                <c:pt idx="328">
                  <c:v>-14.000000000000021</c:v>
                </c:pt>
                <c:pt idx="329">
                  <c:v>-13.79999999999999</c:v>
                </c:pt>
                <c:pt idx="330">
                  <c:v>-12.399999999999984</c:v>
                </c:pt>
                <c:pt idx="331">
                  <c:v>-11.600000000000001</c:v>
                </c:pt>
                <c:pt idx="332">
                  <c:v>-10.800000000000018</c:v>
                </c:pt>
                <c:pt idx="333">
                  <c:v>-9.3999999999999773</c:v>
                </c:pt>
                <c:pt idx="334">
                  <c:v>-10</c:v>
                </c:pt>
                <c:pt idx="335">
                  <c:v>-6.8000000000000149</c:v>
                </c:pt>
                <c:pt idx="336">
                  <c:v>-6.9999999999999929</c:v>
                </c:pt>
                <c:pt idx="337">
                  <c:v>-7.8000000000000114</c:v>
                </c:pt>
                <c:pt idx="338">
                  <c:v>-7.5999999999999979</c:v>
                </c:pt>
                <c:pt idx="339">
                  <c:v>-4.8000000000000043</c:v>
                </c:pt>
                <c:pt idx="340">
                  <c:v>-4.5999999999999908</c:v>
                </c:pt>
                <c:pt idx="341">
                  <c:v>-3.8000000000000078</c:v>
                </c:pt>
                <c:pt idx="342">
                  <c:v>-6.1999999999999922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30-4C60-A7B3-3EC4FB4A1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43328"/>
        <c:axId val="290943216"/>
      </c:scatterChart>
      <c:valAx>
        <c:axId val="121943328"/>
        <c:scaling>
          <c:orientation val="minMax"/>
          <c:max val="3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0943216"/>
        <c:crosses val="autoZero"/>
        <c:crossBetween val="midCat"/>
      </c:valAx>
      <c:valAx>
        <c:axId val="290943216"/>
        <c:scaling>
          <c:orientation val="minMax"/>
          <c:max val="16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4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141/74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Hoja2!$R$2:$R$395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xVal>
          <c:yVal>
            <c:numRef>
              <c:f>Hoja2!$S$2:$S$395</c:f>
              <c:numCache>
                <c:formatCode>0.0</c:formatCode>
                <c:ptCount val="394"/>
                <c:pt idx="0">
                  <c:v>150.61000000000001</c:v>
                </c:pt>
                <c:pt idx="1">
                  <c:v>151.61000000000001</c:v>
                </c:pt>
                <c:pt idx="2">
                  <c:v>152.41999999999999</c:v>
                </c:pt>
                <c:pt idx="3">
                  <c:v>153.31</c:v>
                </c:pt>
                <c:pt idx="4">
                  <c:v>154.69999999999999</c:v>
                </c:pt>
                <c:pt idx="5">
                  <c:v>155.9</c:v>
                </c:pt>
                <c:pt idx="6">
                  <c:v>156.63</c:v>
                </c:pt>
                <c:pt idx="7">
                  <c:v>157.21</c:v>
                </c:pt>
                <c:pt idx="8">
                  <c:v>157.9</c:v>
                </c:pt>
                <c:pt idx="9">
                  <c:v>158.79</c:v>
                </c:pt>
                <c:pt idx="10">
                  <c:v>159.53</c:v>
                </c:pt>
                <c:pt idx="11">
                  <c:v>160.38</c:v>
                </c:pt>
                <c:pt idx="12">
                  <c:v>161.30000000000001</c:v>
                </c:pt>
                <c:pt idx="13">
                  <c:v>161.80000000000001</c:v>
                </c:pt>
                <c:pt idx="14">
                  <c:v>162.41999999999999</c:v>
                </c:pt>
                <c:pt idx="15">
                  <c:v>163.08000000000001</c:v>
                </c:pt>
                <c:pt idx="16">
                  <c:v>163.89</c:v>
                </c:pt>
                <c:pt idx="17">
                  <c:v>164.86</c:v>
                </c:pt>
                <c:pt idx="18">
                  <c:v>165.51</c:v>
                </c:pt>
                <c:pt idx="19">
                  <c:v>166.71</c:v>
                </c:pt>
                <c:pt idx="20">
                  <c:v>167.6</c:v>
                </c:pt>
                <c:pt idx="21">
                  <c:v>168.02</c:v>
                </c:pt>
                <c:pt idx="22">
                  <c:v>168.91</c:v>
                </c:pt>
                <c:pt idx="23">
                  <c:v>169.34</c:v>
                </c:pt>
                <c:pt idx="24">
                  <c:v>170.22</c:v>
                </c:pt>
                <c:pt idx="25">
                  <c:v>171.15</c:v>
                </c:pt>
                <c:pt idx="26">
                  <c:v>171.5</c:v>
                </c:pt>
                <c:pt idx="27">
                  <c:v>170.92</c:v>
                </c:pt>
                <c:pt idx="28">
                  <c:v>170.07</c:v>
                </c:pt>
                <c:pt idx="29">
                  <c:v>169.18</c:v>
                </c:pt>
                <c:pt idx="30">
                  <c:v>168.52</c:v>
                </c:pt>
                <c:pt idx="31">
                  <c:v>167.71</c:v>
                </c:pt>
                <c:pt idx="32">
                  <c:v>167.13</c:v>
                </c:pt>
                <c:pt idx="33">
                  <c:v>166.75</c:v>
                </c:pt>
                <c:pt idx="34">
                  <c:v>166.44</c:v>
                </c:pt>
                <c:pt idx="35">
                  <c:v>165.55</c:v>
                </c:pt>
                <c:pt idx="36">
                  <c:v>164.93</c:v>
                </c:pt>
                <c:pt idx="37">
                  <c:v>164.16</c:v>
                </c:pt>
                <c:pt idx="38">
                  <c:v>163.47</c:v>
                </c:pt>
                <c:pt idx="39">
                  <c:v>162.81</c:v>
                </c:pt>
                <c:pt idx="40">
                  <c:v>162.11000000000001</c:v>
                </c:pt>
                <c:pt idx="41">
                  <c:v>161.46</c:v>
                </c:pt>
                <c:pt idx="42">
                  <c:v>160.84</c:v>
                </c:pt>
                <c:pt idx="43">
                  <c:v>160.22</c:v>
                </c:pt>
                <c:pt idx="44">
                  <c:v>159.68</c:v>
                </c:pt>
                <c:pt idx="45">
                  <c:v>159.13999999999999</c:v>
                </c:pt>
                <c:pt idx="46">
                  <c:v>158.63999999999999</c:v>
                </c:pt>
                <c:pt idx="47">
                  <c:v>158.1</c:v>
                </c:pt>
                <c:pt idx="48">
                  <c:v>158.06</c:v>
                </c:pt>
                <c:pt idx="49">
                  <c:v>157.9</c:v>
                </c:pt>
                <c:pt idx="50">
                  <c:v>157.13</c:v>
                </c:pt>
                <c:pt idx="51">
                  <c:v>156.55000000000001</c:v>
                </c:pt>
                <c:pt idx="52">
                  <c:v>155.69999999999999</c:v>
                </c:pt>
                <c:pt idx="53">
                  <c:v>155.09</c:v>
                </c:pt>
                <c:pt idx="54">
                  <c:v>154.51</c:v>
                </c:pt>
                <c:pt idx="55">
                  <c:v>154</c:v>
                </c:pt>
                <c:pt idx="56">
                  <c:v>153.38999999999999</c:v>
                </c:pt>
                <c:pt idx="57">
                  <c:v>152.91999999999999</c:v>
                </c:pt>
                <c:pt idx="58">
                  <c:v>152.31</c:v>
                </c:pt>
                <c:pt idx="59">
                  <c:v>151.84</c:v>
                </c:pt>
                <c:pt idx="60">
                  <c:v>151.41999999999999</c:v>
                </c:pt>
                <c:pt idx="61">
                  <c:v>150.91</c:v>
                </c:pt>
                <c:pt idx="62">
                  <c:v>150.94999999999999</c:v>
                </c:pt>
                <c:pt idx="63">
                  <c:v>150.99</c:v>
                </c:pt>
                <c:pt idx="64">
                  <c:v>150.34</c:v>
                </c:pt>
                <c:pt idx="65">
                  <c:v>149.63999999999999</c:v>
                </c:pt>
                <c:pt idx="66">
                  <c:v>148.94999999999999</c:v>
                </c:pt>
                <c:pt idx="67">
                  <c:v>148.29</c:v>
                </c:pt>
                <c:pt idx="68">
                  <c:v>147.9</c:v>
                </c:pt>
                <c:pt idx="69">
                  <c:v>147.32</c:v>
                </c:pt>
                <c:pt idx="70">
                  <c:v>146.86000000000001</c:v>
                </c:pt>
                <c:pt idx="71">
                  <c:v>146.28</c:v>
                </c:pt>
                <c:pt idx="72">
                  <c:v>145.86000000000001</c:v>
                </c:pt>
                <c:pt idx="73">
                  <c:v>145.43</c:v>
                </c:pt>
                <c:pt idx="74">
                  <c:v>144.97</c:v>
                </c:pt>
                <c:pt idx="75">
                  <c:v>144.5</c:v>
                </c:pt>
                <c:pt idx="76">
                  <c:v>144.19999999999999</c:v>
                </c:pt>
                <c:pt idx="77">
                  <c:v>144.54</c:v>
                </c:pt>
                <c:pt idx="78">
                  <c:v>144.5</c:v>
                </c:pt>
                <c:pt idx="79">
                  <c:v>144</c:v>
                </c:pt>
                <c:pt idx="80">
                  <c:v>143.19</c:v>
                </c:pt>
                <c:pt idx="81">
                  <c:v>141.99</c:v>
                </c:pt>
                <c:pt idx="82">
                  <c:v>141.53</c:v>
                </c:pt>
                <c:pt idx="83">
                  <c:v>141.03</c:v>
                </c:pt>
                <c:pt idx="84">
                  <c:v>140.57</c:v>
                </c:pt>
                <c:pt idx="85">
                  <c:v>140.1</c:v>
                </c:pt>
                <c:pt idx="86">
                  <c:v>139.68</c:v>
                </c:pt>
                <c:pt idx="87">
                  <c:v>139.13999999999999</c:v>
                </c:pt>
                <c:pt idx="88">
                  <c:v>138.63</c:v>
                </c:pt>
                <c:pt idx="89">
                  <c:v>138.21</c:v>
                </c:pt>
                <c:pt idx="90">
                  <c:v>137.97999999999999</c:v>
                </c:pt>
                <c:pt idx="91">
                  <c:v>138.52000000000001</c:v>
                </c:pt>
                <c:pt idx="92">
                  <c:v>138.66999999999999</c:v>
                </c:pt>
                <c:pt idx="93">
                  <c:v>138.29</c:v>
                </c:pt>
                <c:pt idx="94">
                  <c:v>137.47999999999999</c:v>
                </c:pt>
                <c:pt idx="95">
                  <c:v>136.12</c:v>
                </c:pt>
                <c:pt idx="96">
                  <c:v>135.66</c:v>
                </c:pt>
                <c:pt idx="97">
                  <c:v>135.12</c:v>
                </c:pt>
                <c:pt idx="98">
                  <c:v>134.62</c:v>
                </c:pt>
                <c:pt idx="99">
                  <c:v>134.22999999999999</c:v>
                </c:pt>
                <c:pt idx="100">
                  <c:v>133.72999999999999</c:v>
                </c:pt>
                <c:pt idx="101">
                  <c:v>133.34</c:v>
                </c:pt>
                <c:pt idx="102">
                  <c:v>132.96</c:v>
                </c:pt>
                <c:pt idx="103">
                  <c:v>132.41999999999999</c:v>
                </c:pt>
                <c:pt idx="104">
                  <c:v>132.11000000000001</c:v>
                </c:pt>
                <c:pt idx="105">
                  <c:v>132.22</c:v>
                </c:pt>
                <c:pt idx="106">
                  <c:v>133</c:v>
                </c:pt>
                <c:pt idx="107">
                  <c:v>132.76</c:v>
                </c:pt>
                <c:pt idx="108">
                  <c:v>132.34</c:v>
                </c:pt>
                <c:pt idx="109">
                  <c:v>131.30000000000001</c:v>
                </c:pt>
                <c:pt idx="110">
                  <c:v>130.06</c:v>
                </c:pt>
                <c:pt idx="111">
                  <c:v>129.52000000000001</c:v>
                </c:pt>
                <c:pt idx="112">
                  <c:v>129.1</c:v>
                </c:pt>
                <c:pt idx="113">
                  <c:v>128.63</c:v>
                </c:pt>
                <c:pt idx="114">
                  <c:v>128.13</c:v>
                </c:pt>
                <c:pt idx="115">
                  <c:v>127.71</c:v>
                </c:pt>
                <c:pt idx="116">
                  <c:v>127.28</c:v>
                </c:pt>
                <c:pt idx="117">
                  <c:v>126.86</c:v>
                </c:pt>
                <c:pt idx="118">
                  <c:v>126.39</c:v>
                </c:pt>
                <c:pt idx="119">
                  <c:v>126.16</c:v>
                </c:pt>
                <c:pt idx="120">
                  <c:v>126.97</c:v>
                </c:pt>
                <c:pt idx="121">
                  <c:v>127.4</c:v>
                </c:pt>
                <c:pt idx="122">
                  <c:v>126.9</c:v>
                </c:pt>
                <c:pt idx="123">
                  <c:v>126.2</c:v>
                </c:pt>
                <c:pt idx="124">
                  <c:v>124.85</c:v>
                </c:pt>
                <c:pt idx="125">
                  <c:v>124.27</c:v>
                </c:pt>
                <c:pt idx="126">
                  <c:v>123.77</c:v>
                </c:pt>
                <c:pt idx="127">
                  <c:v>123.27</c:v>
                </c:pt>
                <c:pt idx="128">
                  <c:v>122.8</c:v>
                </c:pt>
                <c:pt idx="129">
                  <c:v>122.38</c:v>
                </c:pt>
                <c:pt idx="130">
                  <c:v>121.91</c:v>
                </c:pt>
                <c:pt idx="131">
                  <c:v>121.53</c:v>
                </c:pt>
                <c:pt idx="132">
                  <c:v>121.14</c:v>
                </c:pt>
                <c:pt idx="133">
                  <c:v>120.79</c:v>
                </c:pt>
                <c:pt idx="134">
                  <c:v>121.37</c:v>
                </c:pt>
                <c:pt idx="135">
                  <c:v>122.26</c:v>
                </c:pt>
                <c:pt idx="136">
                  <c:v>121.99</c:v>
                </c:pt>
                <c:pt idx="137">
                  <c:v>121.64</c:v>
                </c:pt>
                <c:pt idx="138">
                  <c:v>120.79</c:v>
                </c:pt>
                <c:pt idx="139">
                  <c:v>119.64</c:v>
                </c:pt>
                <c:pt idx="140">
                  <c:v>118.94</c:v>
                </c:pt>
                <c:pt idx="141">
                  <c:v>118.36</c:v>
                </c:pt>
                <c:pt idx="142">
                  <c:v>117.82</c:v>
                </c:pt>
                <c:pt idx="143">
                  <c:v>117.43</c:v>
                </c:pt>
                <c:pt idx="144">
                  <c:v>116.97</c:v>
                </c:pt>
                <c:pt idx="145">
                  <c:v>116.51</c:v>
                </c:pt>
                <c:pt idx="146">
                  <c:v>116.12</c:v>
                </c:pt>
                <c:pt idx="147">
                  <c:v>115.77</c:v>
                </c:pt>
                <c:pt idx="148">
                  <c:v>115.77</c:v>
                </c:pt>
                <c:pt idx="149">
                  <c:v>116.85</c:v>
                </c:pt>
                <c:pt idx="150">
                  <c:v>117.01</c:v>
                </c:pt>
                <c:pt idx="151">
                  <c:v>116.85</c:v>
                </c:pt>
                <c:pt idx="152">
                  <c:v>116.28</c:v>
                </c:pt>
                <c:pt idx="153">
                  <c:v>115.16</c:v>
                </c:pt>
                <c:pt idx="154">
                  <c:v>114.42</c:v>
                </c:pt>
                <c:pt idx="155">
                  <c:v>113.88</c:v>
                </c:pt>
                <c:pt idx="156">
                  <c:v>113.38</c:v>
                </c:pt>
                <c:pt idx="157">
                  <c:v>112.95</c:v>
                </c:pt>
                <c:pt idx="158">
                  <c:v>112.53</c:v>
                </c:pt>
                <c:pt idx="159">
                  <c:v>112.1</c:v>
                </c:pt>
                <c:pt idx="160">
                  <c:v>111.68</c:v>
                </c:pt>
                <c:pt idx="161">
                  <c:v>111.33</c:v>
                </c:pt>
                <c:pt idx="162">
                  <c:v>111.14</c:v>
                </c:pt>
                <c:pt idx="163">
                  <c:v>112.14</c:v>
                </c:pt>
                <c:pt idx="164">
                  <c:v>112.41</c:v>
                </c:pt>
                <c:pt idx="165">
                  <c:v>112.03</c:v>
                </c:pt>
                <c:pt idx="166">
                  <c:v>111.22</c:v>
                </c:pt>
                <c:pt idx="167">
                  <c:v>110.29</c:v>
                </c:pt>
                <c:pt idx="168">
                  <c:v>109.71</c:v>
                </c:pt>
                <c:pt idx="169">
                  <c:v>109.21</c:v>
                </c:pt>
                <c:pt idx="170">
                  <c:v>108.75</c:v>
                </c:pt>
                <c:pt idx="171">
                  <c:v>108.32</c:v>
                </c:pt>
                <c:pt idx="172">
                  <c:v>107.86</c:v>
                </c:pt>
                <c:pt idx="173">
                  <c:v>107.47</c:v>
                </c:pt>
                <c:pt idx="174">
                  <c:v>107.08</c:v>
                </c:pt>
                <c:pt idx="175">
                  <c:v>106.66</c:v>
                </c:pt>
                <c:pt idx="176">
                  <c:v>106.39</c:v>
                </c:pt>
                <c:pt idx="177">
                  <c:v>107.32</c:v>
                </c:pt>
                <c:pt idx="178">
                  <c:v>107.86</c:v>
                </c:pt>
                <c:pt idx="179">
                  <c:v>107.66</c:v>
                </c:pt>
                <c:pt idx="180">
                  <c:v>107.28</c:v>
                </c:pt>
                <c:pt idx="181">
                  <c:v>106.31</c:v>
                </c:pt>
                <c:pt idx="182">
                  <c:v>105.46</c:v>
                </c:pt>
                <c:pt idx="183">
                  <c:v>105</c:v>
                </c:pt>
                <c:pt idx="184">
                  <c:v>104.46</c:v>
                </c:pt>
                <c:pt idx="185">
                  <c:v>104.07</c:v>
                </c:pt>
                <c:pt idx="186">
                  <c:v>103.61</c:v>
                </c:pt>
                <c:pt idx="187">
                  <c:v>103.34</c:v>
                </c:pt>
                <c:pt idx="188">
                  <c:v>102.91</c:v>
                </c:pt>
                <c:pt idx="189">
                  <c:v>102.57</c:v>
                </c:pt>
                <c:pt idx="190">
                  <c:v>102.49</c:v>
                </c:pt>
                <c:pt idx="191">
                  <c:v>103.8</c:v>
                </c:pt>
                <c:pt idx="192">
                  <c:v>104.42</c:v>
                </c:pt>
                <c:pt idx="193">
                  <c:v>104.34</c:v>
                </c:pt>
                <c:pt idx="194">
                  <c:v>103.92</c:v>
                </c:pt>
                <c:pt idx="195">
                  <c:v>102.95</c:v>
                </c:pt>
                <c:pt idx="196">
                  <c:v>101.91</c:v>
                </c:pt>
                <c:pt idx="197">
                  <c:v>101.14</c:v>
                </c:pt>
                <c:pt idx="198">
                  <c:v>100.75</c:v>
                </c:pt>
                <c:pt idx="199">
                  <c:v>100.29</c:v>
                </c:pt>
                <c:pt idx="200">
                  <c:v>99.9</c:v>
                </c:pt>
                <c:pt idx="201">
                  <c:v>99.59</c:v>
                </c:pt>
                <c:pt idx="202">
                  <c:v>99.13</c:v>
                </c:pt>
                <c:pt idx="203">
                  <c:v>98.74</c:v>
                </c:pt>
                <c:pt idx="204">
                  <c:v>98.43</c:v>
                </c:pt>
                <c:pt idx="205">
                  <c:v>99.48</c:v>
                </c:pt>
                <c:pt idx="206">
                  <c:v>100.44</c:v>
                </c:pt>
                <c:pt idx="207">
                  <c:v>100.4</c:v>
                </c:pt>
                <c:pt idx="208">
                  <c:v>100.06</c:v>
                </c:pt>
                <c:pt idx="209">
                  <c:v>99.21</c:v>
                </c:pt>
                <c:pt idx="210">
                  <c:v>98.36</c:v>
                </c:pt>
                <c:pt idx="211">
                  <c:v>97.47</c:v>
                </c:pt>
                <c:pt idx="212">
                  <c:v>96.77</c:v>
                </c:pt>
                <c:pt idx="213">
                  <c:v>96.39</c:v>
                </c:pt>
                <c:pt idx="214">
                  <c:v>96</c:v>
                </c:pt>
                <c:pt idx="215">
                  <c:v>95.65</c:v>
                </c:pt>
                <c:pt idx="216">
                  <c:v>95.42</c:v>
                </c:pt>
                <c:pt idx="217">
                  <c:v>95.04</c:v>
                </c:pt>
                <c:pt idx="218">
                  <c:v>94.61</c:v>
                </c:pt>
                <c:pt idx="219">
                  <c:v>95.5</c:v>
                </c:pt>
                <c:pt idx="220">
                  <c:v>96.54</c:v>
                </c:pt>
                <c:pt idx="221">
                  <c:v>96.47</c:v>
                </c:pt>
                <c:pt idx="222">
                  <c:v>96.08</c:v>
                </c:pt>
                <c:pt idx="223">
                  <c:v>95.31</c:v>
                </c:pt>
                <c:pt idx="224">
                  <c:v>94.5</c:v>
                </c:pt>
                <c:pt idx="225">
                  <c:v>93.68</c:v>
                </c:pt>
                <c:pt idx="226">
                  <c:v>92.95</c:v>
                </c:pt>
                <c:pt idx="227">
                  <c:v>92.49</c:v>
                </c:pt>
                <c:pt idx="228">
                  <c:v>92.18</c:v>
                </c:pt>
                <c:pt idx="229">
                  <c:v>91.79</c:v>
                </c:pt>
                <c:pt idx="230">
                  <c:v>91.48</c:v>
                </c:pt>
                <c:pt idx="231">
                  <c:v>91.1</c:v>
                </c:pt>
                <c:pt idx="232">
                  <c:v>90.87</c:v>
                </c:pt>
                <c:pt idx="233">
                  <c:v>92.18</c:v>
                </c:pt>
                <c:pt idx="234">
                  <c:v>92.84</c:v>
                </c:pt>
                <c:pt idx="235">
                  <c:v>92.8</c:v>
                </c:pt>
                <c:pt idx="236">
                  <c:v>92.45</c:v>
                </c:pt>
                <c:pt idx="237">
                  <c:v>91.72</c:v>
                </c:pt>
                <c:pt idx="238">
                  <c:v>91.06</c:v>
                </c:pt>
                <c:pt idx="239">
                  <c:v>90.4</c:v>
                </c:pt>
                <c:pt idx="240">
                  <c:v>89.75</c:v>
                </c:pt>
                <c:pt idx="241">
                  <c:v>89.09</c:v>
                </c:pt>
                <c:pt idx="242">
                  <c:v>88.55</c:v>
                </c:pt>
                <c:pt idx="243">
                  <c:v>88.16</c:v>
                </c:pt>
                <c:pt idx="244">
                  <c:v>87.89</c:v>
                </c:pt>
                <c:pt idx="245">
                  <c:v>87.54</c:v>
                </c:pt>
                <c:pt idx="246">
                  <c:v>87.35</c:v>
                </c:pt>
                <c:pt idx="247">
                  <c:v>87.66</c:v>
                </c:pt>
                <c:pt idx="248">
                  <c:v>89.13</c:v>
                </c:pt>
                <c:pt idx="249">
                  <c:v>89.17</c:v>
                </c:pt>
                <c:pt idx="250">
                  <c:v>88.93</c:v>
                </c:pt>
                <c:pt idx="251">
                  <c:v>88.51</c:v>
                </c:pt>
                <c:pt idx="252">
                  <c:v>87.78</c:v>
                </c:pt>
                <c:pt idx="253">
                  <c:v>87.31</c:v>
                </c:pt>
                <c:pt idx="254">
                  <c:v>86.81</c:v>
                </c:pt>
                <c:pt idx="255">
                  <c:v>86.23</c:v>
                </c:pt>
                <c:pt idx="256">
                  <c:v>85.58</c:v>
                </c:pt>
                <c:pt idx="257">
                  <c:v>84.96</c:v>
                </c:pt>
                <c:pt idx="258">
                  <c:v>84.53</c:v>
                </c:pt>
                <c:pt idx="259">
                  <c:v>84.22</c:v>
                </c:pt>
                <c:pt idx="260">
                  <c:v>84.03</c:v>
                </c:pt>
                <c:pt idx="261">
                  <c:v>83.84</c:v>
                </c:pt>
                <c:pt idx="262">
                  <c:v>85.42</c:v>
                </c:pt>
                <c:pt idx="263">
                  <c:v>85.58</c:v>
                </c:pt>
                <c:pt idx="264">
                  <c:v>85.5</c:v>
                </c:pt>
                <c:pt idx="265">
                  <c:v>85.11</c:v>
                </c:pt>
                <c:pt idx="266">
                  <c:v>84.49</c:v>
                </c:pt>
                <c:pt idx="267">
                  <c:v>84.03</c:v>
                </c:pt>
                <c:pt idx="268">
                  <c:v>83.53</c:v>
                </c:pt>
                <c:pt idx="269">
                  <c:v>83.03</c:v>
                </c:pt>
                <c:pt idx="270">
                  <c:v>82.56</c:v>
                </c:pt>
                <c:pt idx="271">
                  <c:v>82.06</c:v>
                </c:pt>
                <c:pt idx="272">
                  <c:v>81.44</c:v>
                </c:pt>
                <c:pt idx="273">
                  <c:v>80.94</c:v>
                </c:pt>
                <c:pt idx="274">
                  <c:v>80.63</c:v>
                </c:pt>
                <c:pt idx="275">
                  <c:v>80.48</c:v>
                </c:pt>
                <c:pt idx="276">
                  <c:v>82.06</c:v>
                </c:pt>
                <c:pt idx="277">
                  <c:v>82.22</c:v>
                </c:pt>
                <c:pt idx="278">
                  <c:v>82.18</c:v>
                </c:pt>
                <c:pt idx="279">
                  <c:v>81.790000000000006</c:v>
                </c:pt>
                <c:pt idx="280">
                  <c:v>81.290000000000006</c:v>
                </c:pt>
                <c:pt idx="281">
                  <c:v>80.790000000000006</c:v>
                </c:pt>
                <c:pt idx="282">
                  <c:v>80.400000000000006</c:v>
                </c:pt>
                <c:pt idx="283">
                  <c:v>80.010000000000005</c:v>
                </c:pt>
                <c:pt idx="284">
                  <c:v>79.59</c:v>
                </c:pt>
                <c:pt idx="285">
                  <c:v>79.13</c:v>
                </c:pt>
                <c:pt idx="286">
                  <c:v>78.62</c:v>
                </c:pt>
                <c:pt idx="287">
                  <c:v>78.12</c:v>
                </c:pt>
                <c:pt idx="288">
                  <c:v>77.66</c:v>
                </c:pt>
                <c:pt idx="289">
                  <c:v>77.27</c:v>
                </c:pt>
                <c:pt idx="290">
                  <c:v>77.81</c:v>
                </c:pt>
                <c:pt idx="291">
                  <c:v>79.09</c:v>
                </c:pt>
                <c:pt idx="292">
                  <c:v>79.239999999999995</c:v>
                </c:pt>
                <c:pt idx="293">
                  <c:v>79.010000000000005</c:v>
                </c:pt>
                <c:pt idx="294">
                  <c:v>78.66</c:v>
                </c:pt>
                <c:pt idx="295">
                  <c:v>78.010000000000005</c:v>
                </c:pt>
                <c:pt idx="296">
                  <c:v>77.7</c:v>
                </c:pt>
                <c:pt idx="297">
                  <c:v>77.27</c:v>
                </c:pt>
                <c:pt idx="298">
                  <c:v>76.92</c:v>
                </c:pt>
                <c:pt idx="299">
                  <c:v>76.5</c:v>
                </c:pt>
                <c:pt idx="300">
                  <c:v>76.08</c:v>
                </c:pt>
                <c:pt idx="301">
                  <c:v>75.650000000000006</c:v>
                </c:pt>
                <c:pt idx="302">
                  <c:v>75.23</c:v>
                </c:pt>
                <c:pt idx="303">
                  <c:v>74.760000000000005</c:v>
                </c:pt>
                <c:pt idx="304">
                  <c:v>74.38</c:v>
                </c:pt>
                <c:pt idx="305">
                  <c:v>75.5</c:v>
                </c:pt>
                <c:pt idx="306">
                  <c:v>75.959999999999994</c:v>
                </c:pt>
                <c:pt idx="307">
                  <c:v>75.959999999999994</c:v>
                </c:pt>
                <c:pt idx="308">
                  <c:v>75.69</c:v>
                </c:pt>
                <c:pt idx="309">
                  <c:v>75.23</c:v>
                </c:pt>
                <c:pt idx="310">
                  <c:v>74.760000000000005</c:v>
                </c:pt>
                <c:pt idx="311">
                  <c:v>74.489999999999995</c:v>
                </c:pt>
                <c:pt idx="312">
                  <c:v>74.11</c:v>
                </c:pt>
                <c:pt idx="313">
                  <c:v>73.760000000000005</c:v>
                </c:pt>
                <c:pt idx="314">
                  <c:v>73.41</c:v>
                </c:pt>
                <c:pt idx="315">
                  <c:v>72.989999999999995</c:v>
                </c:pt>
                <c:pt idx="316">
                  <c:v>72.599999999999994</c:v>
                </c:pt>
                <c:pt idx="317">
                  <c:v>72.290000000000006</c:v>
                </c:pt>
                <c:pt idx="318">
                  <c:v>71.900000000000006</c:v>
                </c:pt>
                <c:pt idx="319">
                  <c:v>72.099999999999994</c:v>
                </c:pt>
                <c:pt idx="320">
                  <c:v>72.87</c:v>
                </c:pt>
                <c:pt idx="321">
                  <c:v>73.06</c:v>
                </c:pt>
                <c:pt idx="322">
                  <c:v>72.87</c:v>
                </c:pt>
                <c:pt idx="323">
                  <c:v>72.599999999999994</c:v>
                </c:pt>
                <c:pt idx="324">
                  <c:v>72.17</c:v>
                </c:pt>
                <c:pt idx="325">
                  <c:v>71.790000000000006</c:v>
                </c:pt>
                <c:pt idx="326">
                  <c:v>71.44</c:v>
                </c:pt>
                <c:pt idx="327">
                  <c:v>71.13</c:v>
                </c:pt>
                <c:pt idx="328">
                  <c:v>70.75</c:v>
                </c:pt>
                <c:pt idx="329">
                  <c:v>70.44</c:v>
                </c:pt>
                <c:pt idx="330">
                  <c:v>70.05</c:v>
                </c:pt>
                <c:pt idx="331">
                  <c:v>69.739999999999995</c:v>
                </c:pt>
                <c:pt idx="332">
                  <c:v>69.39</c:v>
                </c:pt>
                <c:pt idx="333">
                  <c:v>69.09</c:v>
                </c:pt>
                <c:pt idx="334">
                  <c:v>69.97</c:v>
                </c:pt>
                <c:pt idx="335">
                  <c:v>70.209999999999994</c:v>
                </c:pt>
                <c:pt idx="336">
                  <c:v>70.17</c:v>
                </c:pt>
                <c:pt idx="337">
                  <c:v>70.010000000000005</c:v>
                </c:pt>
                <c:pt idx="338">
                  <c:v>69.66</c:v>
                </c:pt>
                <c:pt idx="339">
                  <c:v>69.319999999999993</c:v>
                </c:pt>
                <c:pt idx="340">
                  <c:v>69.09</c:v>
                </c:pt>
                <c:pt idx="341">
                  <c:v>68.819999999999993</c:v>
                </c:pt>
                <c:pt idx="342">
                  <c:v>68.540000000000006</c:v>
                </c:pt>
                <c:pt idx="343">
                  <c:v>68.239999999999995</c:v>
                </c:pt>
                <c:pt idx="344">
                  <c:v>67.849999999999994</c:v>
                </c:pt>
                <c:pt idx="345">
                  <c:v>67.540000000000006</c:v>
                </c:pt>
                <c:pt idx="346">
                  <c:v>67.23</c:v>
                </c:pt>
                <c:pt idx="347">
                  <c:v>66.849999999999994</c:v>
                </c:pt>
                <c:pt idx="348">
                  <c:v>66.77</c:v>
                </c:pt>
                <c:pt idx="349">
                  <c:v>67.58</c:v>
                </c:pt>
                <c:pt idx="350">
                  <c:v>67.73</c:v>
                </c:pt>
                <c:pt idx="351">
                  <c:v>67.7</c:v>
                </c:pt>
                <c:pt idx="352">
                  <c:v>67.459999999999994</c:v>
                </c:pt>
                <c:pt idx="353">
                  <c:v>67</c:v>
                </c:pt>
                <c:pt idx="354">
                  <c:v>66.650000000000006</c:v>
                </c:pt>
                <c:pt idx="355">
                  <c:v>66.34</c:v>
                </c:pt>
                <c:pt idx="356">
                  <c:v>66.069999999999993</c:v>
                </c:pt>
                <c:pt idx="357">
                  <c:v>65.73</c:v>
                </c:pt>
                <c:pt idx="358">
                  <c:v>65.459999999999994</c:v>
                </c:pt>
                <c:pt idx="359">
                  <c:v>65.11</c:v>
                </c:pt>
                <c:pt idx="360">
                  <c:v>64.84</c:v>
                </c:pt>
                <c:pt idx="361">
                  <c:v>64.64</c:v>
                </c:pt>
                <c:pt idx="362">
                  <c:v>64.37</c:v>
                </c:pt>
                <c:pt idx="363">
                  <c:v>64.989999999999995</c:v>
                </c:pt>
                <c:pt idx="364">
                  <c:v>65.22</c:v>
                </c:pt>
                <c:pt idx="365">
                  <c:v>65.22</c:v>
                </c:pt>
                <c:pt idx="366">
                  <c:v>65.069999999999993</c:v>
                </c:pt>
                <c:pt idx="367">
                  <c:v>64.8</c:v>
                </c:pt>
                <c:pt idx="368">
                  <c:v>64.45</c:v>
                </c:pt>
                <c:pt idx="369">
                  <c:v>64.14</c:v>
                </c:pt>
                <c:pt idx="370">
                  <c:v>63.91</c:v>
                </c:pt>
                <c:pt idx="371">
                  <c:v>63.6</c:v>
                </c:pt>
                <c:pt idx="372">
                  <c:v>63.37</c:v>
                </c:pt>
                <c:pt idx="373">
                  <c:v>63.1</c:v>
                </c:pt>
                <c:pt idx="374">
                  <c:v>62.79</c:v>
                </c:pt>
                <c:pt idx="375">
                  <c:v>62.52</c:v>
                </c:pt>
                <c:pt idx="376">
                  <c:v>62.02</c:v>
                </c:pt>
                <c:pt idx="377">
                  <c:v>53.56</c:v>
                </c:pt>
                <c:pt idx="378">
                  <c:v>47.61</c:v>
                </c:pt>
                <c:pt idx="379">
                  <c:v>42.71</c:v>
                </c:pt>
                <c:pt idx="380">
                  <c:v>38.31</c:v>
                </c:pt>
                <c:pt idx="381">
                  <c:v>34.450000000000003</c:v>
                </c:pt>
                <c:pt idx="382">
                  <c:v>31.01</c:v>
                </c:pt>
                <c:pt idx="383">
                  <c:v>27.96</c:v>
                </c:pt>
                <c:pt idx="384">
                  <c:v>25.18</c:v>
                </c:pt>
                <c:pt idx="385">
                  <c:v>22.75</c:v>
                </c:pt>
                <c:pt idx="386">
                  <c:v>20.58</c:v>
                </c:pt>
                <c:pt idx="387">
                  <c:v>18.73</c:v>
                </c:pt>
                <c:pt idx="388">
                  <c:v>17.03</c:v>
                </c:pt>
                <c:pt idx="389">
                  <c:v>15.49</c:v>
                </c:pt>
                <c:pt idx="390">
                  <c:v>14.13</c:v>
                </c:pt>
                <c:pt idx="391">
                  <c:v>13.05</c:v>
                </c:pt>
                <c:pt idx="392">
                  <c:v>12.16</c:v>
                </c:pt>
                <c:pt idx="393">
                  <c:v>11.35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C6-43F4-B686-D92DB0B87E6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Hoja2!$R$2:$R$395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xVal>
          <c:yVal>
            <c:numRef>
              <c:f>Hoja2!$T$2:$T$395</c:f>
              <c:numCache>
                <c:formatCode>General</c:formatCode>
                <c:ptCount val="394"/>
                <c:pt idx="1">
                  <c:v>20</c:v>
                </c:pt>
                <c:pt idx="2">
                  <c:v>16.199999999999477</c:v>
                </c:pt>
                <c:pt idx="3">
                  <c:v>17.800000000000296</c:v>
                </c:pt>
                <c:pt idx="4">
                  <c:v>27.799999999999727</c:v>
                </c:pt>
                <c:pt idx="5">
                  <c:v>24.000000000000341</c:v>
                </c:pt>
                <c:pt idx="6">
                  <c:v>14.599999999999795</c:v>
                </c:pt>
                <c:pt idx="7">
                  <c:v>11.60000000000025</c:v>
                </c:pt>
                <c:pt idx="8">
                  <c:v>13.799999999999955</c:v>
                </c:pt>
                <c:pt idx="9">
                  <c:v>17.799999999999727</c:v>
                </c:pt>
                <c:pt idx="10">
                  <c:v>14.800000000000182</c:v>
                </c:pt>
                <c:pt idx="11">
                  <c:v>16.999999999999886</c:v>
                </c:pt>
                <c:pt idx="12">
                  <c:v>18.400000000000318</c:v>
                </c:pt>
                <c:pt idx="13">
                  <c:v>10</c:v>
                </c:pt>
                <c:pt idx="14">
                  <c:v>12.399999999999523</c:v>
                </c:pt>
                <c:pt idx="15">
                  <c:v>13.2000000000005</c:v>
                </c:pt>
                <c:pt idx="16">
                  <c:v>16.199999999999477</c:v>
                </c:pt>
                <c:pt idx="17">
                  <c:v>19.400000000000546</c:v>
                </c:pt>
                <c:pt idx="18">
                  <c:v>12.999999999999545</c:v>
                </c:pt>
                <c:pt idx="19">
                  <c:v>24.000000000000341</c:v>
                </c:pt>
                <c:pt idx="20">
                  <c:v>17.799999999999727</c:v>
                </c:pt>
                <c:pt idx="21">
                  <c:v>8.4000000000003183</c:v>
                </c:pt>
                <c:pt idx="22">
                  <c:v>17.799999999999727</c:v>
                </c:pt>
                <c:pt idx="23">
                  <c:v>8.6000000000001364</c:v>
                </c:pt>
                <c:pt idx="24">
                  <c:v>17.599999999999909</c:v>
                </c:pt>
                <c:pt idx="25">
                  <c:v>18.600000000000136</c:v>
                </c:pt>
                <c:pt idx="26">
                  <c:v>6.9999999999998863</c:v>
                </c:pt>
                <c:pt idx="27">
                  <c:v>-11.60000000000025</c:v>
                </c:pt>
                <c:pt idx="28">
                  <c:v>-16.999999999999886</c:v>
                </c:pt>
                <c:pt idx="29">
                  <c:v>-17.799999999999727</c:v>
                </c:pt>
                <c:pt idx="30">
                  <c:v>-13.199999999999932</c:v>
                </c:pt>
                <c:pt idx="31">
                  <c:v>-16.200000000000045</c:v>
                </c:pt>
                <c:pt idx="32">
                  <c:v>-11.60000000000025</c:v>
                </c:pt>
                <c:pt idx="33">
                  <c:v>-7.5999999999999091</c:v>
                </c:pt>
                <c:pt idx="34">
                  <c:v>-6.2000000000000455</c:v>
                </c:pt>
                <c:pt idx="35">
                  <c:v>-17.799999999999727</c:v>
                </c:pt>
                <c:pt idx="36">
                  <c:v>-12.400000000000091</c:v>
                </c:pt>
                <c:pt idx="37">
                  <c:v>-15.400000000000205</c:v>
                </c:pt>
                <c:pt idx="38">
                  <c:v>-13.799999999999955</c:v>
                </c:pt>
                <c:pt idx="39">
                  <c:v>-13.199999999999932</c:v>
                </c:pt>
                <c:pt idx="40">
                  <c:v>-13.999999999999773</c:v>
                </c:pt>
                <c:pt idx="41">
                  <c:v>-13.000000000000114</c:v>
                </c:pt>
                <c:pt idx="42">
                  <c:v>-12.400000000000091</c:v>
                </c:pt>
                <c:pt idx="43">
                  <c:v>-12.400000000000091</c:v>
                </c:pt>
                <c:pt idx="44">
                  <c:v>-10.799999999999841</c:v>
                </c:pt>
                <c:pt idx="45">
                  <c:v>-10.800000000000409</c:v>
                </c:pt>
                <c:pt idx="46">
                  <c:v>-10</c:v>
                </c:pt>
                <c:pt idx="47">
                  <c:v>-10.799999999999841</c:v>
                </c:pt>
                <c:pt idx="48">
                  <c:v>-0.79999999999984084</c:v>
                </c:pt>
                <c:pt idx="49">
                  <c:v>-3.1999999999999318</c:v>
                </c:pt>
                <c:pt idx="50">
                  <c:v>-15.400000000000205</c:v>
                </c:pt>
                <c:pt idx="51">
                  <c:v>-11.599999999999682</c:v>
                </c:pt>
                <c:pt idx="52">
                  <c:v>-17.000000000000455</c:v>
                </c:pt>
                <c:pt idx="53">
                  <c:v>-12.199999999999704</c:v>
                </c:pt>
                <c:pt idx="54">
                  <c:v>-11.60000000000025</c:v>
                </c:pt>
                <c:pt idx="55">
                  <c:v>-10.199999999999818</c:v>
                </c:pt>
                <c:pt idx="56">
                  <c:v>-12.200000000000273</c:v>
                </c:pt>
                <c:pt idx="57">
                  <c:v>-9.3999999999999773</c:v>
                </c:pt>
                <c:pt idx="58">
                  <c:v>-12.199999999999704</c:v>
                </c:pt>
                <c:pt idx="59">
                  <c:v>-9.3999999999999773</c:v>
                </c:pt>
                <c:pt idx="60">
                  <c:v>-8.4000000000003183</c:v>
                </c:pt>
                <c:pt idx="61">
                  <c:v>-10.199999999999818</c:v>
                </c:pt>
                <c:pt idx="62">
                  <c:v>0.79999999999984084</c:v>
                </c:pt>
                <c:pt idx="63">
                  <c:v>0.80000000000040927</c:v>
                </c:pt>
                <c:pt idx="64">
                  <c:v>-13.000000000000114</c:v>
                </c:pt>
                <c:pt idx="65">
                  <c:v>-14.000000000000341</c:v>
                </c:pt>
                <c:pt idx="66">
                  <c:v>-13.799999999999955</c:v>
                </c:pt>
                <c:pt idx="67">
                  <c:v>-13.199999999999932</c:v>
                </c:pt>
                <c:pt idx="68">
                  <c:v>-7.7999999999997272</c:v>
                </c:pt>
                <c:pt idx="69">
                  <c:v>-11.60000000000025</c:v>
                </c:pt>
                <c:pt idx="70">
                  <c:v>-9.1999999999995907</c:v>
                </c:pt>
                <c:pt idx="71">
                  <c:v>-11.60000000000025</c:v>
                </c:pt>
                <c:pt idx="72">
                  <c:v>-8.3999999999997499</c:v>
                </c:pt>
                <c:pt idx="73">
                  <c:v>-8.6000000000001364</c:v>
                </c:pt>
                <c:pt idx="74">
                  <c:v>-9.2000000000001592</c:v>
                </c:pt>
                <c:pt idx="75">
                  <c:v>-9.3999999999999773</c:v>
                </c:pt>
                <c:pt idx="76">
                  <c:v>-6.0000000000002274</c:v>
                </c:pt>
                <c:pt idx="77">
                  <c:v>6.8000000000000682</c:v>
                </c:pt>
                <c:pt idx="78">
                  <c:v>-0.79999999999984084</c:v>
                </c:pt>
                <c:pt idx="79">
                  <c:v>-10</c:v>
                </c:pt>
                <c:pt idx="80">
                  <c:v>-16.200000000000045</c:v>
                </c:pt>
                <c:pt idx="81">
                  <c:v>-23.999999999999773</c:v>
                </c:pt>
                <c:pt idx="82">
                  <c:v>-9.2000000000001592</c:v>
                </c:pt>
                <c:pt idx="83">
                  <c:v>-10</c:v>
                </c:pt>
                <c:pt idx="84">
                  <c:v>-9.2000000000001592</c:v>
                </c:pt>
                <c:pt idx="85">
                  <c:v>-9.3999999999999773</c:v>
                </c:pt>
                <c:pt idx="86">
                  <c:v>-8.3999999999997499</c:v>
                </c:pt>
                <c:pt idx="87">
                  <c:v>-10.800000000000409</c:v>
                </c:pt>
                <c:pt idx="88">
                  <c:v>-10.199999999999818</c:v>
                </c:pt>
                <c:pt idx="89">
                  <c:v>-8.3999999999997499</c:v>
                </c:pt>
                <c:pt idx="90">
                  <c:v>-4.6000000000003638</c:v>
                </c:pt>
                <c:pt idx="91">
                  <c:v>10.800000000000409</c:v>
                </c:pt>
                <c:pt idx="92">
                  <c:v>2.9999999999995453</c:v>
                </c:pt>
                <c:pt idx="93">
                  <c:v>-7.5999999999999091</c:v>
                </c:pt>
                <c:pt idx="94">
                  <c:v>-16.200000000000045</c:v>
                </c:pt>
                <c:pt idx="95">
                  <c:v>-27.199999999999704</c:v>
                </c:pt>
                <c:pt idx="96">
                  <c:v>-9.2000000000001592</c:v>
                </c:pt>
                <c:pt idx="97">
                  <c:v>-10.799999999999841</c:v>
                </c:pt>
                <c:pt idx="98">
                  <c:v>-10</c:v>
                </c:pt>
                <c:pt idx="99">
                  <c:v>-7.8000000000002956</c:v>
                </c:pt>
                <c:pt idx="100">
                  <c:v>-10</c:v>
                </c:pt>
                <c:pt idx="101">
                  <c:v>-7.7999999999997272</c:v>
                </c:pt>
                <c:pt idx="102">
                  <c:v>-7.5999999999999091</c:v>
                </c:pt>
                <c:pt idx="103">
                  <c:v>-10.800000000000409</c:v>
                </c:pt>
                <c:pt idx="104">
                  <c:v>-6.199999999999477</c:v>
                </c:pt>
                <c:pt idx="105">
                  <c:v>2.1999999999997044</c:v>
                </c:pt>
                <c:pt idx="106">
                  <c:v>15.600000000000023</c:v>
                </c:pt>
                <c:pt idx="107">
                  <c:v>-4.8000000000001819</c:v>
                </c:pt>
                <c:pt idx="108">
                  <c:v>-8.3999999999997499</c:v>
                </c:pt>
                <c:pt idx="109">
                  <c:v>-20.799999999999841</c:v>
                </c:pt>
                <c:pt idx="110">
                  <c:v>-24.800000000000182</c:v>
                </c:pt>
                <c:pt idx="111">
                  <c:v>-10.799999999999841</c:v>
                </c:pt>
                <c:pt idx="112">
                  <c:v>-8.4000000000003183</c:v>
                </c:pt>
                <c:pt idx="113">
                  <c:v>-9.3999999999999773</c:v>
                </c:pt>
                <c:pt idx="114">
                  <c:v>-10</c:v>
                </c:pt>
                <c:pt idx="115">
                  <c:v>-8.4000000000000341</c:v>
                </c:pt>
                <c:pt idx="116">
                  <c:v>-8.5999999999998522</c:v>
                </c:pt>
                <c:pt idx="117">
                  <c:v>-8.4000000000000341</c:v>
                </c:pt>
                <c:pt idx="118">
                  <c:v>-9.3999999999999773</c:v>
                </c:pt>
                <c:pt idx="119">
                  <c:v>-4.6000000000000796</c:v>
                </c:pt>
                <c:pt idx="120">
                  <c:v>16.200000000000045</c:v>
                </c:pt>
                <c:pt idx="121">
                  <c:v>8.6000000000001364</c:v>
                </c:pt>
                <c:pt idx="122">
                  <c:v>-10</c:v>
                </c:pt>
                <c:pt idx="123">
                  <c:v>-14.000000000000057</c:v>
                </c:pt>
                <c:pt idx="124">
                  <c:v>-27.000000000000171</c:v>
                </c:pt>
                <c:pt idx="125">
                  <c:v>-11.599999999999966</c:v>
                </c:pt>
                <c:pt idx="126">
                  <c:v>-10</c:v>
                </c:pt>
                <c:pt idx="127">
                  <c:v>-10</c:v>
                </c:pt>
                <c:pt idx="128">
                  <c:v>-9.3999999999999773</c:v>
                </c:pt>
                <c:pt idx="129">
                  <c:v>-8.4000000000000341</c:v>
                </c:pt>
                <c:pt idx="130">
                  <c:v>-9.3999999999999773</c:v>
                </c:pt>
                <c:pt idx="131">
                  <c:v>-7.5999999999999091</c:v>
                </c:pt>
                <c:pt idx="132">
                  <c:v>-7.8000000000000114</c:v>
                </c:pt>
                <c:pt idx="133">
                  <c:v>-6.9999999999998863</c:v>
                </c:pt>
                <c:pt idx="134">
                  <c:v>11.599999999999966</c:v>
                </c:pt>
                <c:pt idx="135">
                  <c:v>17.800000000000011</c:v>
                </c:pt>
                <c:pt idx="136">
                  <c:v>-5.4000000000002046</c:v>
                </c:pt>
                <c:pt idx="137">
                  <c:v>-6.9999999999998863</c:v>
                </c:pt>
                <c:pt idx="138">
                  <c:v>-16.999999999999886</c:v>
                </c:pt>
                <c:pt idx="139">
                  <c:v>-23.000000000000114</c:v>
                </c:pt>
                <c:pt idx="140">
                  <c:v>-14.000000000000057</c:v>
                </c:pt>
                <c:pt idx="141">
                  <c:v>-11.599999999999966</c:v>
                </c:pt>
                <c:pt idx="142">
                  <c:v>-10.800000000000125</c:v>
                </c:pt>
                <c:pt idx="143">
                  <c:v>-7.7999999999997272</c:v>
                </c:pt>
                <c:pt idx="144">
                  <c:v>-9.2000000000001592</c:v>
                </c:pt>
                <c:pt idx="145">
                  <c:v>-9.1999999999998749</c:v>
                </c:pt>
                <c:pt idx="146">
                  <c:v>-7.8000000000000114</c:v>
                </c:pt>
                <c:pt idx="147">
                  <c:v>-7.0000000000001705</c:v>
                </c:pt>
                <c:pt idx="148">
                  <c:v>0</c:v>
                </c:pt>
                <c:pt idx="149">
                  <c:v>21.599999999999966</c:v>
                </c:pt>
                <c:pt idx="150">
                  <c:v>3.200000000000216</c:v>
                </c:pt>
                <c:pt idx="151">
                  <c:v>-3.200000000000216</c:v>
                </c:pt>
                <c:pt idx="152">
                  <c:v>-11.399999999999864</c:v>
                </c:pt>
                <c:pt idx="153">
                  <c:v>-22.400000000000091</c:v>
                </c:pt>
                <c:pt idx="154">
                  <c:v>-14.799999999999898</c:v>
                </c:pt>
                <c:pt idx="155">
                  <c:v>-10.800000000000125</c:v>
                </c:pt>
                <c:pt idx="156">
                  <c:v>-10</c:v>
                </c:pt>
                <c:pt idx="157">
                  <c:v>-8.5999999999998522</c:v>
                </c:pt>
                <c:pt idx="158">
                  <c:v>-8.4000000000000341</c:v>
                </c:pt>
                <c:pt idx="159">
                  <c:v>-8.6000000000001364</c:v>
                </c:pt>
                <c:pt idx="160">
                  <c:v>-8.3999999999997499</c:v>
                </c:pt>
                <c:pt idx="161">
                  <c:v>-7.0000000000001705</c:v>
                </c:pt>
                <c:pt idx="162">
                  <c:v>-3.7999999999999545</c:v>
                </c:pt>
                <c:pt idx="163">
                  <c:v>20</c:v>
                </c:pt>
                <c:pt idx="164">
                  <c:v>5.3999999999999204</c:v>
                </c:pt>
                <c:pt idx="165">
                  <c:v>-7.5999999999999091</c:v>
                </c:pt>
                <c:pt idx="166">
                  <c:v>-16.200000000000045</c:v>
                </c:pt>
                <c:pt idx="167">
                  <c:v>-18.599999999999852</c:v>
                </c:pt>
                <c:pt idx="168">
                  <c:v>-11.60000000000025</c:v>
                </c:pt>
                <c:pt idx="169">
                  <c:v>-10</c:v>
                </c:pt>
                <c:pt idx="170">
                  <c:v>-9.1999999999998749</c:v>
                </c:pt>
                <c:pt idx="171">
                  <c:v>-8.6000000000001364</c:v>
                </c:pt>
                <c:pt idx="172">
                  <c:v>-9.1999999999998749</c:v>
                </c:pt>
                <c:pt idx="173">
                  <c:v>-7.8000000000000114</c:v>
                </c:pt>
                <c:pt idx="174">
                  <c:v>-7.8000000000000114</c:v>
                </c:pt>
                <c:pt idx="175">
                  <c:v>-8.4000000000000341</c:v>
                </c:pt>
                <c:pt idx="176">
                  <c:v>-5.3999999999999204</c:v>
                </c:pt>
                <c:pt idx="177">
                  <c:v>18.599999999999852</c:v>
                </c:pt>
                <c:pt idx="178">
                  <c:v>10.800000000000125</c:v>
                </c:pt>
                <c:pt idx="179">
                  <c:v>-4.0000000000000568</c:v>
                </c:pt>
                <c:pt idx="180">
                  <c:v>-7.5999999999999091</c:v>
                </c:pt>
                <c:pt idx="181">
                  <c:v>-19.399999999999977</c:v>
                </c:pt>
                <c:pt idx="182">
                  <c:v>-17.000000000000171</c:v>
                </c:pt>
                <c:pt idx="183">
                  <c:v>-9.1999999999998749</c:v>
                </c:pt>
                <c:pt idx="184">
                  <c:v>-10.800000000000125</c:v>
                </c:pt>
                <c:pt idx="185">
                  <c:v>-7.8000000000000114</c:v>
                </c:pt>
                <c:pt idx="186">
                  <c:v>-9.1999999999998749</c:v>
                </c:pt>
                <c:pt idx="187">
                  <c:v>-5.3999999999999204</c:v>
                </c:pt>
                <c:pt idx="188">
                  <c:v>-8.6000000000001364</c:v>
                </c:pt>
                <c:pt idx="189">
                  <c:v>-6.8000000000000682</c:v>
                </c:pt>
                <c:pt idx="190">
                  <c:v>-1.5999999999999659</c:v>
                </c:pt>
                <c:pt idx="191">
                  <c:v>26.200000000000045</c:v>
                </c:pt>
                <c:pt idx="192">
                  <c:v>12.400000000000091</c:v>
                </c:pt>
                <c:pt idx="193">
                  <c:v>-1.5999999999999659</c:v>
                </c:pt>
                <c:pt idx="194">
                  <c:v>-8.4000000000000341</c:v>
                </c:pt>
                <c:pt idx="195">
                  <c:v>-19.399999999999977</c:v>
                </c:pt>
                <c:pt idx="196">
                  <c:v>-20.800000000000125</c:v>
                </c:pt>
                <c:pt idx="197">
                  <c:v>-15.39999999999992</c:v>
                </c:pt>
                <c:pt idx="198">
                  <c:v>-7.8000000000000114</c:v>
                </c:pt>
                <c:pt idx="199">
                  <c:v>-9.1999999999998749</c:v>
                </c:pt>
                <c:pt idx="200">
                  <c:v>-7.8000000000000114</c:v>
                </c:pt>
                <c:pt idx="201">
                  <c:v>-6.2000000000000455</c:v>
                </c:pt>
                <c:pt idx="202">
                  <c:v>-9.2000000000001592</c:v>
                </c:pt>
                <c:pt idx="203">
                  <c:v>-7.8000000000000114</c:v>
                </c:pt>
                <c:pt idx="204">
                  <c:v>-6.1999999999997613</c:v>
                </c:pt>
                <c:pt idx="205">
                  <c:v>20.999999999999943</c:v>
                </c:pt>
                <c:pt idx="206">
                  <c:v>19.199999999999875</c:v>
                </c:pt>
                <c:pt idx="207">
                  <c:v>-0.79999999999984084</c:v>
                </c:pt>
                <c:pt idx="208">
                  <c:v>-6.8000000000000682</c:v>
                </c:pt>
                <c:pt idx="209">
                  <c:v>-17.000000000000171</c:v>
                </c:pt>
                <c:pt idx="210">
                  <c:v>-16.999999999999886</c:v>
                </c:pt>
                <c:pt idx="211">
                  <c:v>-17.800000000000011</c:v>
                </c:pt>
                <c:pt idx="212">
                  <c:v>-14.000000000000057</c:v>
                </c:pt>
                <c:pt idx="213">
                  <c:v>-7.5999999999999091</c:v>
                </c:pt>
                <c:pt idx="214">
                  <c:v>-7.8000000000000114</c:v>
                </c:pt>
                <c:pt idx="215">
                  <c:v>-6.9999999999998863</c:v>
                </c:pt>
                <c:pt idx="216">
                  <c:v>-4.6000000000000796</c:v>
                </c:pt>
                <c:pt idx="217">
                  <c:v>-7.5999999999999091</c:v>
                </c:pt>
                <c:pt idx="218">
                  <c:v>-8.6000000000001364</c:v>
                </c:pt>
                <c:pt idx="219">
                  <c:v>17.800000000000011</c:v>
                </c:pt>
                <c:pt idx="220">
                  <c:v>20.800000000000125</c:v>
                </c:pt>
                <c:pt idx="221">
                  <c:v>-1.4000000000001478</c:v>
                </c:pt>
                <c:pt idx="222">
                  <c:v>-7.8000000000000114</c:v>
                </c:pt>
                <c:pt idx="223">
                  <c:v>-15.39999999999992</c:v>
                </c:pt>
                <c:pt idx="224">
                  <c:v>-16.200000000000045</c:v>
                </c:pt>
                <c:pt idx="225">
                  <c:v>-16.399999999999864</c:v>
                </c:pt>
                <c:pt idx="226">
                  <c:v>-14.60000000000008</c:v>
                </c:pt>
                <c:pt idx="227">
                  <c:v>-9.2000000000001592</c:v>
                </c:pt>
                <c:pt idx="228">
                  <c:v>-6.1999999999997613</c:v>
                </c:pt>
                <c:pt idx="229">
                  <c:v>-7.8000000000000114</c:v>
                </c:pt>
                <c:pt idx="230">
                  <c:v>-6.2000000000000455</c:v>
                </c:pt>
                <c:pt idx="231">
                  <c:v>-7.6000000000001933</c:v>
                </c:pt>
                <c:pt idx="232">
                  <c:v>-4.5999999999997954</c:v>
                </c:pt>
                <c:pt idx="233">
                  <c:v>26.200000000000045</c:v>
                </c:pt>
                <c:pt idx="234">
                  <c:v>13.199999999999932</c:v>
                </c:pt>
                <c:pt idx="235">
                  <c:v>-0.80000000000012506</c:v>
                </c:pt>
                <c:pt idx="236">
                  <c:v>-6.9999999999998863</c:v>
                </c:pt>
                <c:pt idx="237">
                  <c:v>-14.60000000000008</c:v>
                </c:pt>
                <c:pt idx="238">
                  <c:v>-13.199999999999932</c:v>
                </c:pt>
                <c:pt idx="239">
                  <c:v>-13.199999999999932</c:v>
                </c:pt>
                <c:pt idx="240">
                  <c:v>-13.000000000000114</c:v>
                </c:pt>
                <c:pt idx="241">
                  <c:v>-13.199999999999932</c:v>
                </c:pt>
                <c:pt idx="242">
                  <c:v>-10.800000000000125</c:v>
                </c:pt>
                <c:pt idx="243">
                  <c:v>-7.8000000000000114</c:v>
                </c:pt>
                <c:pt idx="244">
                  <c:v>-5.3999999999999204</c:v>
                </c:pt>
                <c:pt idx="245">
                  <c:v>-6.9999999999998863</c:v>
                </c:pt>
                <c:pt idx="246">
                  <c:v>-3.8000000000002387</c:v>
                </c:pt>
                <c:pt idx="247">
                  <c:v>6.2000000000000455</c:v>
                </c:pt>
                <c:pt idx="248">
                  <c:v>29.399999999999977</c:v>
                </c:pt>
                <c:pt idx="249">
                  <c:v>0.80000000000012506</c:v>
                </c:pt>
                <c:pt idx="250">
                  <c:v>-4.7999999999998977</c:v>
                </c:pt>
                <c:pt idx="251">
                  <c:v>-8.4000000000000341</c:v>
                </c:pt>
                <c:pt idx="252">
                  <c:v>-14.60000000000008</c:v>
                </c:pt>
                <c:pt idx="253">
                  <c:v>-9.3999999999999773</c:v>
                </c:pt>
                <c:pt idx="254">
                  <c:v>-10</c:v>
                </c:pt>
                <c:pt idx="255">
                  <c:v>-11.599999999999966</c:v>
                </c:pt>
                <c:pt idx="256">
                  <c:v>-13.000000000000114</c:v>
                </c:pt>
                <c:pt idx="257">
                  <c:v>-12.400000000000091</c:v>
                </c:pt>
                <c:pt idx="258">
                  <c:v>-8.5999999999998522</c:v>
                </c:pt>
                <c:pt idx="259">
                  <c:v>-6.2000000000000455</c:v>
                </c:pt>
                <c:pt idx="260">
                  <c:v>-3.7999999999999545</c:v>
                </c:pt>
                <c:pt idx="261">
                  <c:v>-3.7999999999999545</c:v>
                </c:pt>
                <c:pt idx="262">
                  <c:v>31.599999999999966</c:v>
                </c:pt>
                <c:pt idx="263">
                  <c:v>3.1999999999999318</c:v>
                </c:pt>
                <c:pt idx="264">
                  <c:v>-1.5999999999999659</c:v>
                </c:pt>
                <c:pt idx="265">
                  <c:v>-7.8000000000000114</c:v>
                </c:pt>
                <c:pt idx="266">
                  <c:v>-12.400000000000091</c:v>
                </c:pt>
                <c:pt idx="267">
                  <c:v>-9.1999999999998749</c:v>
                </c:pt>
                <c:pt idx="268">
                  <c:v>-10</c:v>
                </c:pt>
                <c:pt idx="269">
                  <c:v>-10</c:v>
                </c:pt>
                <c:pt idx="270">
                  <c:v>-9.3999999999999773</c:v>
                </c:pt>
                <c:pt idx="271">
                  <c:v>-10</c:v>
                </c:pt>
                <c:pt idx="272">
                  <c:v>-12.400000000000091</c:v>
                </c:pt>
                <c:pt idx="273">
                  <c:v>-10</c:v>
                </c:pt>
                <c:pt idx="274">
                  <c:v>-6.2000000000000455</c:v>
                </c:pt>
                <c:pt idx="275">
                  <c:v>-2.9999999999998295</c:v>
                </c:pt>
                <c:pt idx="276">
                  <c:v>31.599999999999966</c:v>
                </c:pt>
                <c:pt idx="277">
                  <c:v>3.1999999999999318</c:v>
                </c:pt>
                <c:pt idx="278">
                  <c:v>-0.79999999999984084</c:v>
                </c:pt>
                <c:pt idx="279">
                  <c:v>-7.8000000000000114</c:v>
                </c:pt>
                <c:pt idx="280">
                  <c:v>-10</c:v>
                </c:pt>
                <c:pt idx="281">
                  <c:v>-10</c:v>
                </c:pt>
                <c:pt idx="282">
                  <c:v>-7.8000000000000114</c:v>
                </c:pt>
                <c:pt idx="283">
                  <c:v>-7.8000000000000114</c:v>
                </c:pt>
                <c:pt idx="284">
                  <c:v>-8.4000000000000341</c:v>
                </c:pt>
                <c:pt idx="285">
                  <c:v>-9.2000000000001592</c:v>
                </c:pt>
                <c:pt idx="286">
                  <c:v>-10.199999999999818</c:v>
                </c:pt>
                <c:pt idx="287">
                  <c:v>-10</c:v>
                </c:pt>
                <c:pt idx="288">
                  <c:v>-9.2000000000001592</c:v>
                </c:pt>
                <c:pt idx="289">
                  <c:v>-7.8000000000000114</c:v>
                </c:pt>
                <c:pt idx="290">
                  <c:v>10.800000000000125</c:v>
                </c:pt>
                <c:pt idx="291">
                  <c:v>25.600000000000023</c:v>
                </c:pt>
                <c:pt idx="292">
                  <c:v>2.9999999999998295</c:v>
                </c:pt>
                <c:pt idx="293">
                  <c:v>-4.5999999999997954</c:v>
                </c:pt>
                <c:pt idx="294">
                  <c:v>-7.0000000000001705</c:v>
                </c:pt>
                <c:pt idx="295">
                  <c:v>-12.999999999999829</c:v>
                </c:pt>
                <c:pt idx="296">
                  <c:v>-6.2000000000000455</c:v>
                </c:pt>
                <c:pt idx="297">
                  <c:v>-8.6000000000001364</c:v>
                </c:pt>
                <c:pt idx="298">
                  <c:v>-6.9999999999998863</c:v>
                </c:pt>
                <c:pt idx="299">
                  <c:v>-8.4000000000000341</c:v>
                </c:pt>
                <c:pt idx="300">
                  <c:v>-8.4000000000000341</c:v>
                </c:pt>
                <c:pt idx="301">
                  <c:v>-8.5999999999998522</c:v>
                </c:pt>
                <c:pt idx="302">
                  <c:v>-8.4000000000000341</c:v>
                </c:pt>
                <c:pt idx="303">
                  <c:v>-9.3999999999999773</c:v>
                </c:pt>
                <c:pt idx="304">
                  <c:v>-7.6000000000001933</c:v>
                </c:pt>
                <c:pt idx="305">
                  <c:v>22.400000000000091</c:v>
                </c:pt>
                <c:pt idx="306">
                  <c:v>9.1999999999998749</c:v>
                </c:pt>
                <c:pt idx="307">
                  <c:v>0</c:v>
                </c:pt>
                <c:pt idx="308">
                  <c:v>-5.3999999999999204</c:v>
                </c:pt>
                <c:pt idx="309">
                  <c:v>-9.1999999999998749</c:v>
                </c:pt>
                <c:pt idx="310">
                  <c:v>-9.3999999999999773</c:v>
                </c:pt>
                <c:pt idx="311">
                  <c:v>-5.4000000000002046</c:v>
                </c:pt>
                <c:pt idx="312">
                  <c:v>-7.5999999999999091</c:v>
                </c:pt>
                <c:pt idx="313">
                  <c:v>-6.9999999999998863</c:v>
                </c:pt>
                <c:pt idx="314">
                  <c:v>-7.0000000000001705</c:v>
                </c:pt>
                <c:pt idx="315">
                  <c:v>-8.4000000000000341</c:v>
                </c:pt>
                <c:pt idx="316">
                  <c:v>-7.8000000000000114</c:v>
                </c:pt>
                <c:pt idx="317">
                  <c:v>-6.1999999999997613</c:v>
                </c:pt>
                <c:pt idx="318">
                  <c:v>-7.8000000000000114</c:v>
                </c:pt>
                <c:pt idx="319">
                  <c:v>3.9999999999997726</c:v>
                </c:pt>
                <c:pt idx="320">
                  <c:v>15.400000000000205</c:v>
                </c:pt>
                <c:pt idx="321">
                  <c:v>3.7999999999999545</c:v>
                </c:pt>
                <c:pt idx="322">
                  <c:v>-3.7999999999999545</c:v>
                </c:pt>
                <c:pt idx="323">
                  <c:v>-5.4000000000002046</c:v>
                </c:pt>
                <c:pt idx="324">
                  <c:v>-8.5999999999998522</c:v>
                </c:pt>
                <c:pt idx="325">
                  <c:v>-7.5999999999999091</c:v>
                </c:pt>
                <c:pt idx="326">
                  <c:v>-7.0000000000001705</c:v>
                </c:pt>
                <c:pt idx="327">
                  <c:v>-6.2000000000000455</c:v>
                </c:pt>
                <c:pt idx="328">
                  <c:v>-7.5999999999999091</c:v>
                </c:pt>
                <c:pt idx="329">
                  <c:v>-6.2000000000000455</c:v>
                </c:pt>
                <c:pt idx="330">
                  <c:v>-7.8000000000000114</c:v>
                </c:pt>
                <c:pt idx="331">
                  <c:v>-6.2000000000000455</c:v>
                </c:pt>
                <c:pt idx="332">
                  <c:v>-6.9999999999998863</c:v>
                </c:pt>
                <c:pt idx="333">
                  <c:v>-5.9999999999999432</c:v>
                </c:pt>
                <c:pt idx="334">
                  <c:v>17.599999999999909</c:v>
                </c:pt>
                <c:pt idx="335">
                  <c:v>4.7999999999998977</c:v>
                </c:pt>
                <c:pt idx="336">
                  <c:v>-0.79999999999984084</c:v>
                </c:pt>
                <c:pt idx="337">
                  <c:v>-3.1999999999999318</c:v>
                </c:pt>
                <c:pt idx="338">
                  <c:v>-7.0000000000001705</c:v>
                </c:pt>
                <c:pt idx="339">
                  <c:v>-6.8000000000000682</c:v>
                </c:pt>
                <c:pt idx="340">
                  <c:v>-4.5999999999997954</c:v>
                </c:pt>
                <c:pt idx="341">
                  <c:v>-5.4000000000002046</c:v>
                </c:pt>
                <c:pt idx="342">
                  <c:v>-5.5999999999997385</c:v>
                </c:pt>
                <c:pt idx="343">
                  <c:v>-6.0000000000002274</c:v>
                </c:pt>
                <c:pt idx="344">
                  <c:v>-7.8000000000000114</c:v>
                </c:pt>
                <c:pt idx="345">
                  <c:v>-6.1999999999997613</c:v>
                </c:pt>
                <c:pt idx="346">
                  <c:v>-6.2000000000000455</c:v>
                </c:pt>
                <c:pt idx="347">
                  <c:v>-7.6000000000001933</c:v>
                </c:pt>
                <c:pt idx="348">
                  <c:v>-1.5999999999999659</c:v>
                </c:pt>
                <c:pt idx="349">
                  <c:v>16.200000000000045</c:v>
                </c:pt>
                <c:pt idx="350">
                  <c:v>3.0000000000001137</c:v>
                </c:pt>
                <c:pt idx="351">
                  <c:v>-0.60000000000002274</c:v>
                </c:pt>
                <c:pt idx="352">
                  <c:v>-4.8000000000001819</c:v>
                </c:pt>
                <c:pt idx="353">
                  <c:v>-9.1999999999998749</c:v>
                </c:pt>
                <c:pt idx="354">
                  <c:v>-6.9999999999998863</c:v>
                </c:pt>
                <c:pt idx="355">
                  <c:v>-6.2000000000000455</c:v>
                </c:pt>
                <c:pt idx="356">
                  <c:v>-5.4000000000002046</c:v>
                </c:pt>
                <c:pt idx="357">
                  <c:v>-6.799999999999784</c:v>
                </c:pt>
                <c:pt idx="358">
                  <c:v>-5.4000000000002046</c:v>
                </c:pt>
                <c:pt idx="359">
                  <c:v>-6.9999999999998863</c:v>
                </c:pt>
                <c:pt idx="360">
                  <c:v>-5.3999999999999204</c:v>
                </c:pt>
                <c:pt idx="361">
                  <c:v>-4.0000000000000568</c:v>
                </c:pt>
                <c:pt idx="362">
                  <c:v>-5.3999999999999204</c:v>
                </c:pt>
                <c:pt idx="363">
                  <c:v>12.399999999999807</c:v>
                </c:pt>
                <c:pt idx="364">
                  <c:v>4.6000000000000796</c:v>
                </c:pt>
                <c:pt idx="365">
                  <c:v>0</c:v>
                </c:pt>
                <c:pt idx="366">
                  <c:v>-3.0000000000001137</c:v>
                </c:pt>
                <c:pt idx="367">
                  <c:v>-5.3999999999999204</c:v>
                </c:pt>
                <c:pt idx="368">
                  <c:v>-6.9999999999998863</c:v>
                </c:pt>
                <c:pt idx="369">
                  <c:v>-6.2000000000000455</c:v>
                </c:pt>
                <c:pt idx="370">
                  <c:v>-4.6000000000000796</c:v>
                </c:pt>
                <c:pt idx="371">
                  <c:v>-6.1999999999999034</c:v>
                </c:pt>
                <c:pt idx="372">
                  <c:v>-4.6000000000000796</c:v>
                </c:pt>
                <c:pt idx="373">
                  <c:v>-5.3999999999999204</c:v>
                </c:pt>
                <c:pt idx="374">
                  <c:v>-6.2000000000000455</c:v>
                </c:pt>
                <c:pt idx="375">
                  <c:v>-5.3999999999999204</c:v>
                </c:pt>
                <c:pt idx="376">
                  <c:v>-10</c:v>
                </c:pt>
                <c:pt idx="377">
                  <c:v>-169.20000000000002</c:v>
                </c:pt>
                <c:pt idx="378">
                  <c:v>-119.00000000000006</c:v>
                </c:pt>
                <c:pt idx="379">
                  <c:v>-97.999999999999972</c:v>
                </c:pt>
                <c:pt idx="380">
                  <c:v>-87.999999999999972</c:v>
                </c:pt>
                <c:pt idx="381">
                  <c:v>-77.199999999999989</c:v>
                </c:pt>
                <c:pt idx="382">
                  <c:v>-68.800000000000026</c:v>
                </c:pt>
                <c:pt idx="383">
                  <c:v>-61.000000000000014</c:v>
                </c:pt>
                <c:pt idx="384">
                  <c:v>-55.600000000000023</c:v>
                </c:pt>
                <c:pt idx="385">
                  <c:v>-48.599999999999994</c:v>
                </c:pt>
                <c:pt idx="386">
                  <c:v>-43.400000000000034</c:v>
                </c:pt>
                <c:pt idx="387">
                  <c:v>-36.999999999999957</c:v>
                </c:pt>
                <c:pt idx="388">
                  <c:v>-33.999999999999986</c:v>
                </c:pt>
                <c:pt idx="389">
                  <c:v>-30.800000000000018</c:v>
                </c:pt>
                <c:pt idx="390">
                  <c:v>-27.199999999999989</c:v>
                </c:pt>
                <c:pt idx="391">
                  <c:v>-21.6</c:v>
                </c:pt>
                <c:pt idx="392">
                  <c:v>-17.800000000000011</c:v>
                </c:pt>
                <c:pt idx="393">
                  <c:v>-16.20000000000001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C6-43F4-B686-D92DB0B87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02640"/>
        <c:axId val="292503056"/>
      </c:scatterChart>
      <c:valAx>
        <c:axId val="292502640"/>
        <c:scaling>
          <c:orientation val="minMax"/>
          <c:max val="3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2503056"/>
        <c:crosses val="autoZero"/>
        <c:crossBetween val="midCat"/>
      </c:valAx>
      <c:valAx>
        <c:axId val="292503056"/>
        <c:scaling>
          <c:orientation val="minMax"/>
          <c:max val="16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250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97/66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Hoja2!$AC$2:$AC$402</c:f>
              <c:numCache>
                <c:formatCode>General</c:formatCode>
                <c:ptCount val="4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</c:numCache>
            </c:numRef>
          </c:xVal>
          <c:yVal>
            <c:numRef>
              <c:f>Hoja2!$AD$2:$AD$402</c:f>
              <c:numCache>
                <c:formatCode>General</c:formatCode>
                <c:ptCount val="401"/>
                <c:pt idx="0">
                  <c:v>150.94999999999999</c:v>
                </c:pt>
                <c:pt idx="1">
                  <c:v>151.80000000000001</c:v>
                </c:pt>
                <c:pt idx="2">
                  <c:v>152.72999999999999</c:v>
                </c:pt>
                <c:pt idx="3">
                  <c:v>153.81</c:v>
                </c:pt>
                <c:pt idx="4">
                  <c:v>155.05000000000001</c:v>
                </c:pt>
                <c:pt idx="5">
                  <c:v>156.09</c:v>
                </c:pt>
                <c:pt idx="6">
                  <c:v>157.05000000000001</c:v>
                </c:pt>
                <c:pt idx="7">
                  <c:v>158.1</c:v>
                </c:pt>
                <c:pt idx="8">
                  <c:v>159.13999999999999</c:v>
                </c:pt>
                <c:pt idx="9">
                  <c:v>159.87</c:v>
                </c:pt>
                <c:pt idx="10">
                  <c:v>160.80000000000001</c:v>
                </c:pt>
                <c:pt idx="11">
                  <c:v>161.80000000000001</c:v>
                </c:pt>
                <c:pt idx="12">
                  <c:v>162.77000000000001</c:v>
                </c:pt>
                <c:pt idx="13">
                  <c:v>162.85</c:v>
                </c:pt>
                <c:pt idx="14">
                  <c:v>162.11000000000001</c:v>
                </c:pt>
                <c:pt idx="15">
                  <c:v>161.19</c:v>
                </c:pt>
                <c:pt idx="16">
                  <c:v>160.34</c:v>
                </c:pt>
                <c:pt idx="17">
                  <c:v>159.49</c:v>
                </c:pt>
                <c:pt idx="18">
                  <c:v>158.68</c:v>
                </c:pt>
                <c:pt idx="19">
                  <c:v>157.94</c:v>
                </c:pt>
                <c:pt idx="20">
                  <c:v>157.16999999999999</c:v>
                </c:pt>
                <c:pt idx="21">
                  <c:v>156.51</c:v>
                </c:pt>
                <c:pt idx="22">
                  <c:v>155.78</c:v>
                </c:pt>
                <c:pt idx="23">
                  <c:v>155.05000000000001</c:v>
                </c:pt>
                <c:pt idx="24">
                  <c:v>154.43</c:v>
                </c:pt>
                <c:pt idx="25">
                  <c:v>153.72999999999999</c:v>
                </c:pt>
                <c:pt idx="26">
                  <c:v>153.08000000000001</c:v>
                </c:pt>
                <c:pt idx="27">
                  <c:v>152.5</c:v>
                </c:pt>
                <c:pt idx="28">
                  <c:v>152.15</c:v>
                </c:pt>
                <c:pt idx="29">
                  <c:v>151.49</c:v>
                </c:pt>
                <c:pt idx="30">
                  <c:v>150.80000000000001</c:v>
                </c:pt>
                <c:pt idx="31">
                  <c:v>150.18</c:v>
                </c:pt>
                <c:pt idx="32">
                  <c:v>149.56</c:v>
                </c:pt>
                <c:pt idx="33">
                  <c:v>148.94999999999999</c:v>
                </c:pt>
                <c:pt idx="34">
                  <c:v>148.33000000000001</c:v>
                </c:pt>
                <c:pt idx="35">
                  <c:v>147.75</c:v>
                </c:pt>
                <c:pt idx="36">
                  <c:v>147.13</c:v>
                </c:pt>
                <c:pt idx="37">
                  <c:v>146.51</c:v>
                </c:pt>
                <c:pt idx="38">
                  <c:v>145.93</c:v>
                </c:pt>
                <c:pt idx="39">
                  <c:v>145.32</c:v>
                </c:pt>
                <c:pt idx="40">
                  <c:v>144.81</c:v>
                </c:pt>
                <c:pt idx="41">
                  <c:v>144.19999999999999</c:v>
                </c:pt>
                <c:pt idx="42">
                  <c:v>143.69</c:v>
                </c:pt>
                <c:pt idx="43">
                  <c:v>143.08000000000001</c:v>
                </c:pt>
                <c:pt idx="44">
                  <c:v>142.5</c:v>
                </c:pt>
                <c:pt idx="45">
                  <c:v>141.99</c:v>
                </c:pt>
                <c:pt idx="46">
                  <c:v>141.44999999999999</c:v>
                </c:pt>
                <c:pt idx="47">
                  <c:v>140.94999999999999</c:v>
                </c:pt>
                <c:pt idx="48">
                  <c:v>140.37</c:v>
                </c:pt>
                <c:pt idx="49">
                  <c:v>139.83000000000001</c:v>
                </c:pt>
                <c:pt idx="50">
                  <c:v>139.21</c:v>
                </c:pt>
                <c:pt idx="51">
                  <c:v>138.79</c:v>
                </c:pt>
                <c:pt idx="52">
                  <c:v>138.47999999999999</c:v>
                </c:pt>
                <c:pt idx="53">
                  <c:v>138.06</c:v>
                </c:pt>
                <c:pt idx="54">
                  <c:v>137.44</c:v>
                </c:pt>
                <c:pt idx="55">
                  <c:v>136.97</c:v>
                </c:pt>
                <c:pt idx="56">
                  <c:v>136.36000000000001</c:v>
                </c:pt>
                <c:pt idx="57">
                  <c:v>135.85</c:v>
                </c:pt>
                <c:pt idx="58">
                  <c:v>135.35</c:v>
                </c:pt>
                <c:pt idx="59">
                  <c:v>134.97</c:v>
                </c:pt>
                <c:pt idx="60">
                  <c:v>134.35</c:v>
                </c:pt>
                <c:pt idx="61">
                  <c:v>133.81</c:v>
                </c:pt>
                <c:pt idx="62">
                  <c:v>133.34</c:v>
                </c:pt>
                <c:pt idx="63">
                  <c:v>132.76</c:v>
                </c:pt>
                <c:pt idx="64">
                  <c:v>132.38</c:v>
                </c:pt>
                <c:pt idx="65">
                  <c:v>131.80000000000001</c:v>
                </c:pt>
                <c:pt idx="66">
                  <c:v>131.30000000000001</c:v>
                </c:pt>
                <c:pt idx="67">
                  <c:v>130.87</c:v>
                </c:pt>
                <c:pt idx="68">
                  <c:v>130.41</c:v>
                </c:pt>
                <c:pt idx="69">
                  <c:v>129.87</c:v>
                </c:pt>
                <c:pt idx="70">
                  <c:v>129.41</c:v>
                </c:pt>
                <c:pt idx="71">
                  <c:v>128.97999999999999</c:v>
                </c:pt>
                <c:pt idx="72">
                  <c:v>128.44</c:v>
                </c:pt>
                <c:pt idx="73">
                  <c:v>128.02000000000001</c:v>
                </c:pt>
                <c:pt idx="74">
                  <c:v>127.51</c:v>
                </c:pt>
                <c:pt idx="75">
                  <c:v>127.09</c:v>
                </c:pt>
                <c:pt idx="76">
                  <c:v>126.97</c:v>
                </c:pt>
                <c:pt idx="77">
                  <c:v>126.62</c:v>
                </c:pt>
                <c:pt idx="78">
                  <c:v>126.05</c:v>
                </c:pt>
                <c:pt idx="79">
                  <c:v>125.5</c:v>
                </c:pt>
                <c:pt idx="80">
                  <c:v>125.04</c:v>
                </c:pt>
                <c:pt idx="81">
                  <c:v>124.5</c:v>
                </c:pt>
                <c:pt idx="82">
                  <c:v>124.11</c:v>
                </c:pt>
                <c:pt idx="83">
                  <c:v>123.73</c:v>
                </c:pt>
                <c:pt idx="84">
                  <c:v>123.15</c:v>
                </c:pt>
                <c:pt idx="85">
                  <c:v>122.69</c:v>
                </c:pt>
                <c:pt idx="86">
                  <c:v>122.22</c:v>
                </c:pt>
                <c:pt idx="87">
                  <c:v>121.76</c:v>
                </c:pt>
                <c:pt idx="88">
                  <c:v>121.37</c:v>
                </c:pt>
                <c:pt idx="89">
                  <c:v>120.87</c:v>
                </c:pt>
                <c:pt idx="90">
                  <c:v>120.41</c:v>
                </c:pt>
                <c:pt idx="91">
                  <c:v>119.91</c:v>
                </c:pt>
                <c:pt idx="92">
                  <c:v>119.52</c:v>
                </c:pt>
                <c:pt idx="93">
                  <c:v>119.06</c:v>
                </c:pt>
                <c:pt idx="94">
                  <c:v>118.67</c:v>
                </c:pt>
                <c:pt idx="95">
                  <c:v>118.21</c:v>
                </c:pt>
                <c:pt idx="96">
                  <c:v>117.78</c:v>
                </c:pt>
                <c:pt idx="97">
                  <c:v>117.43</c:v>
                </c:pt>
                <c:pt idx="98">
                  <c:v>116.97</c:v>
                </c:pt>
                <c:pt idx="99">
                  <c:v>116.66</c:v>
                </c:pt>
                <c:pt idx="100">
                  <c:v>116.7</c:v>
                </c:pt>
                <c:pt idx="101">
                  <c:v>116.39</c:v>
                </c:pt>
                <c:pt idx="102">
                  <c:v>115.73</c:v>
                </c:pt>
                <c:pt idx="103">
                  <c:v>115.27</c:v>
                </c:pt>
                <c:pt idx="104">
                  <c:v>114.77</c:v>
                </c:pt>
                <c:pt idx="105">
                  <c:v>114.34</c:v>
                </c:pt>
                <c:pt idx="106">
                  <c:v>113.92</c:v>
                </c:pt>
                <c:pt idx="107">
                  <c:v>113.5</c:v>
                </c:pt>
                <c:pt idx="108">
                  <c:v>113.03</c:v>
                </c:pt>
                <c:pt idx="109">
                  <c:v>112.65</c:v>
                </c:pt>
                <c:pt idx="110">
                  <c:v>112.22</c:v>
                </c:pt>
                <c:pt idx="111">
                  <c:v>111.8</c:v>
                </c:pt>
                <c:pt idx="112">
                  <c:v>111.41</c:v>
                </c:pt>
                <c:pt idx="113">
                  <c:v>110.95</c:v>
                </c:pt>
                <c:pt idx="114">
                  <c:v>110.52</c:v>
                </c:pt>
                <c:pt idx="115">
                  <c:v>110.17</c:v>
                </c:pt>
                <c:pt idx="116">
                  <c:v>109.75</c:v>
                </c:pt>
                <c:pt idx="117">
                  <c:v>109.4</c:v>
                </c:pt>
                <c:pt idx="118">
                  <c:v>109.05</c:v>
                </c:pt>
                <c:pt idx="119">
                  <c:v>108.59</c:v>
                </c:pt>
                <c:pt idx="120">
                  <c:v>108.24</c:v>
                </c:pt>
                <c:pt idx="121">
                  <c:v>108.01</c:v>
                </c:pt>
                <c:pt idx="122">
                  <c:v>108.17</c:v>
                </c:pt>
                <c:pt idx="123">
                  <c:v>107.9</c:v>
                </c:pt>
                <c:pt idx="124">
                  <c:v>107.12</c:v>
                </c:pt>
                <c:pt idx="125">
                  <c:v>106.7</c:v>
                </c:pt>
                <c:pt idx="126">
                  <c:v>106.24</c:v>
                </c:pt>
                <c:pt idx="127">
                  <c:v>105.81</c:v>
                </c:pt>
                <c:pt idx="128">
                  <c:v>105.58</c:v>
                </c:pt>
                <c:pt idx="129">
                  <c:v>105.12</c:v>
                </c:pt>
                <c:pt idx="130">
                  <c:v>104.73</c:v>
                </c:pt>
                <c:pt idx="131">
                  <c:v>104.3</c:v>
                </c:pt>
                <c:pt idx="132">
                  <c:v>103.96</c:v>
                </c:pt>
                <c:pt idx="133">
                  <c:v>103.57</c:v>
                </c:pt>
                <c:pt idx="134">
                  <c:v>103.18</c:v>
                </c:pt>
                <c:pt idx="135">
                  <c:v>102.88</c:v>
                </c:pt>
                <c:pt idx="136">
                  <c:v>102.41</c:v>
                </c:pt>
                <c:pt idx="137">
                  <c:v>102.14</c:v>
                </c:pt>
                <c:pt idx="138">
                  <c:v>101.79</c:v>
                </c:pt>
                <c:pt idx="139">
                  <c:v>101.33</c:v>
                </c:pt>
                <c:pt idx="140">
                  <c:v>100.94</c:v>
                </c:pt>
                <c:pt idx="141">
                  <c:v>100.67</c:v>
                </c:pt>
                <c:pt idx="142">
                  <c:v>100.91</c:v>
                </c:pt>
                <c:pt idx="143">
                  <c:v>101.18</c:v>
                </c:pt>
                <c:pt idx="144">
                  <c:v>100.83</c:v>
                </c:pt>
                <c:pt idx="145">
                  <c:v>100.13</c:v>
                </c:pt>
                <c:pt idx="146">
                  <c:v>99.63</c:v>
                </c:pt>
                <c:pt idx="147">
                  <c:v>98.98</c:v>
                </c:pt>
                <c:pt idx="148">
                  <c:v>98.63</c:v>
                </c:pt>
                <c:pt idx="149">
                  <c:v>98.4</c:v>
                </c:pt>
                <c:pt idx="150">
                  <c:v>97.97</c:v>
                </c:pt>
                <c:pt idx="151">
                  <c:v>97.47</c:v>
                </c:pt>
                <c:pt idx="152">
                  <c:v>97.04</c:v>
                </c:pt>
                <c:pt idx="153">
                  <c:v>96.74</c:v>
                </c:pt>
                <c:pt idx="154">
                  <c:v>96.39</c:v>
                </c:pt>
                <c:pt idx="155">
                  <c:v>95.96</c:v>
                </c:pt>
                <c:pt idx="156">
                  <c:v>95.62</c:v>
                </c:pt>
                <c:pt idx="157">
                  <c:v>95.31</c:v>
                </c:pt>
                <c:pt idx="158">
                  <c:v>94.92</c:v>
                </c:pt>
                <c:pt idx="159">
                  <c:v>94.57</c:v>
                </c:pt>
                <c:pt idx="160">
                  <c:v>94.23</c:v>
                </c:pt>
                <c:pt idx="161">
                  <c:v>93.95</c:v>
                </c:pt>
                <c:pt idx="162">
                  <c:v>93.61</c:v>
                </c:pt>
                <c:pt idx="163">
                  <c:v>94.19</c:v>
                </c:pt>
                <c:pt idx="164">
                  <c:v>94.88</c:v>
                </c:pt>
                <c:pt idx="165">
                  <c:v>95.15</c:v>
                </c:pt>
                <c:pt idx="166">
                  <c:v>94.5</c:v>
                </c:pt>
                <c:pt idx="167">
                  <c:v>94.15</c:v>
                </c:pt>
                <c:pt idx="168">
                  <c:v>93.34</c:v>
                </c:pt>
                <c:pt idx="169">
                  <c:v>92.56</c:v>
                </c:pt>
                <c:pt idx="170">
                  <c:v>92.18</c:v>
                </c:pt>
                <c:pt idx="171">
                  <c:v>91.64</c:v>
                </c:pt>
                <c:pt idx="172">
                  <c:v>90.98</c:v>
                </c:pt>
                <c:pt idx="173">
                  <c:v>90.56</c:v>
                </c:pt>
                <c:pt idx="174">
                  <c:v>90.17</c:v>
                </c:pt>
                <c:pt idx="175">
                  <c:v>89.71</c:v>
                </c:pt>
                <c:pt idx="176">
                  <c:v>89.48</c:v>
                </c:pt>
                <c:pt idx="177">
                  <c:v>89.09</c:v>
                </c:pt>
                <c:pt idx="178">
                  <c:v>88.74</c:v>
                </c:pt>
                <c:pt idx="179">
                  <c:v>88.36</c:v>
                </c:pt>
                <c:pt idx="180">
                  <c:v>88.01</c:v>
                </c:pt>
                <c:pt idx="181">
                  <c:v>87.66</c:v>
                </c:pt>
                <c:pt idx="182">
                  <c:v>87.39</c:v>
                </c:pt>
                <c:pt idx="183">
                  <c:v>87.12</c:v>
                </c:pt>
                <c:pt idx="184">
                  <c:v>86.81</c:v>
                </c:pt>
                <c:pt idx="185">
                  <c:v>86.93</c:v>
                </c:pt>
                <c:pt idx="186">
                  <c:v>88.01</c:v>
                </c:pt>
                <c:pt idx="187">
                  <c:v>88.78</c:v>
                </c:pt>
                <c:pt idx="188">
                  <c:v>88.43</c:v>
                </c:pt>
                <c:pt idx="189">
                  <c:v>88.28</c:v>
                </c:pt>
                <c:pt idx="190">
                  <c:v>87.89</c:v>
                </c:pt>
                <c:pt idx="191">
                  <c:v>87.2</c:v>
                </c:pt>
                <c:pt idx="192">
                  <c:v>86.81</c:v>
                </c:pt>
                <c:pt idx="193">
                  <c:v>86.31</c:v>
                </c:pt>
                <c:pt idx="194">
                  <c:v>85.69</c:v>
                </c:pt>
                <c:pt idx="195">
                  <c:v>84.96</c:v>
                </c:pt>
                <c:pt idx="196">
                  <c:v>84.38</c:v>
                </c:pt>
                <c:pt idx="197">
                  <c:v>83.84</c:v>
                </c:pt>
                <c:pt idx="198">
                  <c:v>83.26</c:v>
                </c:pt>
                <c:pt idx="199">
                  <c:v>82.91</c:v>
                </c:pt>
                <c:pt idx="200">
                  <c:v>82.56</c:v>
                </c:pt>
                <c:pt idx="201">
                  <c:v>82.22</c:v>
                </c:pt>
                <c:pt idx="202">
                  <c:v>81.98</c:v>
                </c:pt>
                <c:pt idx="203">
                  <c:v>81.599999999999994</c:v>
                </c:pt>
                <c:pt idx="204">
                  <c:v>81.290000000000006</c:v>
                </c:pt>
                <c:pt idx="205">
                  <c:v>80.94</c:v>
                </c:pt>
                <c:pt idx="206">
                  <c:v>80.63</c:v>
                </c:pt>
                <c:pt idx="207">
                  <c:v>80.75</c:v>
                </c:pt>
                <c:pt idx="208">
                  <c:v>81.98</c:v>
                </c:pt>
                <c:pt idx="209">
                  <c:v>82.83</c:v>
                </c:pt>
                <c:pt idx="210">
                  <c:v>82.72</c:v>
                </c:pt>
                <c:pt idx="211">
                  <c:v>82.79</c:v>
                </c:pt>
                <c:pt idx="212">
                  <c:v>82.72</c:v>
                </c:pt>
                <c:pt idx="213">
                  <c:v>82.41</c:v>
                </c:pt>
                <c:pt idx="214">
                  <c:v>82.06</c:v>
                </c:pt>
                <c:pt idx="215">
                  <c:v>81.64</c:v>
                </c:pt>
                <c:pt idx="216">
                  <c:v>81.02</c:v>
                </c:pt>
                <c:pt idx="217">
                  <c:v>80.44</c:v>
                </c:pt>
                <c:pt idx="218">
                  <c:v>79.709999999999994</c:v>
                </c:pt>
                <c:pt idx="219">
                  <c:v>79.13</c:v>
                </c:pt>
                <c:pt idx="220">
                  <c:v>78.55</c:v>
                </c:pt>
                <c:pt idx="221">
                  <c:v>78.010000000000005</c:v>
                </c:pt>
                <c:pt idx="222">
                  <c:v>77.58</c:v>
                </c:pt>
                <c:pt idx="223">
                  <c:v>77.16</c:v>
                </c:pt>
                <c:pt idx="224">
                  <c:v>76.69</c:v>
                </c:pt>
                <c:pt idx="225">
                  <c:v>76.38</c:v>
                </c:pt>
                <c:pt idx="226">
                  <c:v>76.040000000000006</c:v>
                </c:pt>
                <c:pt idx="227">
                  <c:v>76.5</c:v>
                </c:pt>
                <c:pt idx="228">
                  <c:v>77.849999999999994</c:v>
                </c:pt>
                <c:pt idx="229">
                  <c:v>78.430000000000007</c:v>
                </c:pt>
                <c:pt idx="230">
                  <c:v>78.7</c:v>
                </c:pt>
                <c:pt idx="231">
                  <c:v>78.62</c:v>
                </c:pt>
                <c:pt idx="232">
                  <c:v>78.010000000000005</c:v>
                </c:pt>
                <c:pt idx="233">
                  <c:v>77.66</c:v>
                </c:pt>
                <c:pt idx="234">
                  <c:v>77.23</c:v>
                </c:pt>
                <c:pt idx="235">
                  <c:v>76.69</c:v>
                </c:pt>
                <c:pt idx="236">
                  <c:v>76.19</c:v>
                </c:pt>
                <c:pt idx="237">
                  <c:v>75.69</c:v>
                </c:pt>
                <c:pt idx="238">
                  <c:v>75.150000000000006</c:v>
                </c:pt>
                <c:pt idx="239">
                  <c:v>74.569999999999993</c:v>
                </c:pt>
                <c:pt idx="240">
                  <c:v>74.14</c:v>
                </c:pt>
                <c:pt idx="241">
                  <c:v>73.599999999999994</c:v>
                </c:pt>
                <c:pt idx="242">
                  <c:v>73.180000000000007</c:v>
                </c:pt>
                <c:pt idx="243">
                  <c:v>72.75</c:v>
                </c:pt>
                <c:pt idx="244">
                  <c:v>72.33</c:v>
                </c:pt>
                <c:pt idx="245">
                  <c:v>71.94</c:v>
                </c:pt>
                <c:pt idx="246">
                  <c:v>71.599999999999994</c:v>
                </c:pt>
                <c:pt idx="247">
                  <c:v>72.209999999999994</c:v>
                </c:pt>
                <c:pt idx="248">
                  <c:v>73.72</c:v>
                </c:pt>
                <c:pt idx="249">
                  <c:v>74.34</c:v>
                </c:pt>
                <c:pt idx="250">
                  <c:v>74.3</c:v>
                </c:pt>
                <c:pt idx="251">
                  <c:v>74.03</c:v>
                </c:pt>
                <c:pt idx="252">
                  <c:v>73.489999999999995</c:v>
                </c:pt>
                <c:pt idx="253">
                  <c:v>73.02</c:v>
                </c:pt>
                <c:pt idx="254">
                  <c:v>72.72</c:v>
                </c:pt>
                <c:pt idx="255">
                  <c:v>72.33</c:v>
                </c:pt>
                <c:pt idx="256">
                  <c:v>71.900000000000006</c:v>
                </c:pt>
                <c:pt idx="257">
                  <c:v>71.48</c:v>
                </c:pt>
                <c:pt idx="258">
                  <c:v>71.06</c:v>
                </c:pt>
                <c:pt idx="259">
                  <c:v>70.67</c:v>
                </c:pt>
                <c:pt idx="260">
                  <c:v>70.209999999999994</c:v>
                </c:pt>
                <c:pt idx="261">
                  <c:v>69.78</c:v>
                </c:pt>
                <c:pt idx="262">
                  <c:v>69.39</c:v>
                </c:pt>
                <c:pt idx="263">
                  <c:v>69.09</c:v>
                </c:pt>
                <c:pt idx="264">
                  <c:v>68.540000000000006</c:v>
                </c:pt>
                <c:pt idx="265">
                  <c:v>68.239999999999995</c:v>
                </c:pt>
                <c:pt idx="266">
                  <c:v>67.77</c:v>
                </c:pt>
                <c:pt idx="267">
                  <c:v>67.459999999999994</c:v>
                </c:pt>
                <c:pt idx="268">
                  <c:v>68.16</c:v>
                </c:pt>
                <c:pt idx="269">
                  <c:v>69.430000000000007</c:v>
                </c:pt>
                <c:pt idx="270">
                  <c:v>69.59</c:v>
                </c:pt>
                <c:pt idx="271">
                  <c:v>69.430000000000007</c:v>
                </c:pt>
                <c:pt idx="272">
                  <c:v>69.12</c:v>
                </c:pt>
                <c:pt idx="273">
                  <c:v>68.58</c:v>
                </c:pt>
                <c:pt idx="274">
                  <c:v>68.27</c:v>
                </c:pt>
                <c:pt idx="275">
                  <c:v>68</c:v>
                </c:pt>
                <c:pt idx="276">
                  <c:v>67.73</c:v>
                </c:pt>
                <c:pt idx="277">
                  <c:v>67.39</c:v>
                </c:pt>
                <c:pt idx="278">
                  <c:v>67</c:v>
                </c:pt>
                <c:pt idx="279">
                  <c:v>66.650000000000006</c:v>
                </c:pt>
                <c:pt idx="280">
                  <c:v>66.31</c:v>
                </c:pt>
                <c:pt idx="281">
                  <c:v>66</c:v>
                </c:pt>
                <c:pt idx="282">
                  <c:v>65.69</c:v>
                </c:pt>
                <c:pt idx="283">
                  <c:v>65.34</c:v>
                </c:pt>
                <c:pt idx="284">
                  <c:v>64.989999999999995</c:v>
                </c:pt>
                <c:pt idx="285">
                  <c:v>64.64</c:v>
                </c:pt>
                <c:pt idx="286">
                  <c:v>64.3</c:v>
                </c:pt>
                <c:pt idx="287">
                  <c:v>63.91</c:v>
                </c:pt>
                <c:pt idx="288">
                  <c:v>64.45</c:v>
                </c:pt>
                <c:pt idx="289">
                  <c:v>65.34</c:v>
                </c:pt>
                <c:pt idx="290">
                  <c:v>65.38</c:v>
                </c:pt>
                <c:pt idx="291">
                  <c:v>65.19</c:v>
                </c:pt>
                <c:pt idx="292">
                  <c:v>64.92</c:v>
                </c:pt>
                <c:pt idx="293">
                  <c:v>64.45</c:v>
                </c:pt>
                <c:pt idx="294">
                  <c:v>64.14</c:v>
                </c:pt>
                <c:pt idx="295">
                  <c:v>64.03</c:v>
                </c:pt>
                <c:pt idx="296">
                  <c:v>63.6</c:v>
                </c:pt>
                <c:pt idx="297">
                  <c:v>63.37</c:v>
                </c:pt>
                <c:pt idx="298">
                  <c:v>63.06</c:v>
                </c:pt>
                <c:pt idx="299">
                  <c:v>62.79</c:v>
                </c:pt>
                <c:pt idx="300">
                  <c:v>62.52</c:v>
                </c:pt>
                <c:pt idx="301">
                  <c:v>62.21</c:v>
                </c:pt>
                <c:pt idx="302">
                  <c:v>61.86</c:v>
                </c:pt>
                <c:pt idx="303">
                  <c:v>61.67</c:v>
                </c:pt>
                <c:pt idx="304">
                  <c:v>61.44</c:v>
                </c:pt>
                <c:pt idx="305">
                  <c:v>60.98</c:v>
                </c:pt>
                <c:pt idx="306">
                  <c:v>60.9</c:v>
                </c:pt>
                <c:pt idx="307">
                  <c:v>61.63</c:v>
                </c:pt>
                <c:pt idx="308">
                  <c:v>61.79</c:v>
                </c:pt>
                <c:pt idx="309">
                  <c:v>61.63</c:v>
                </c:pt>
                <c:pt idx="310">
                  <c:v>61.48</c:v>
                </c:pt>
                <c:pt idx="311">
                  <c:v>61.01</c:v>
                </c:pt>
                <c:pt idx="312">
                  <c:v>60.82</c:v>
                </c:pt>
                <c:pt idx="313">
                  <c:v>60.59</c:v>
                </c:pt>
                <c:pt idx="314">
                  <c:v>60.36</c:v>
                </c:pt>
                <c:pt idx="315">
                  <c:v>60.17</c:v>
                </c:pt>
                <c:pt idx="316">
                  <c:v>59.82</c:v>
                </c:pt>
                <c:pt idx="317">
                  <c:v>59.51</c:v>
                </c:pt>
                <c:pt idx="318">
                  <c:v>59.28</c:v>
                </c:pt>
                <c:pt idx="319">
                  <c:v>59.05</c:v>
                </c:pt>
                <c:pt idx="320">
                  <c:v>58.81</c:v>
                </c:pt>
                <c:pt idx="321">
                  <c:v>58.54</c:v>
                </c:pt>
                <c:pt idx="322">
                  <c:v>58.27</c:v>
                </c:pt>
                <c:pt idx="323">
                  <c:v>58.08</c:v>
                </c:pt>
                <c:pt idx="324">
                  <c:v>57.77</c:v>
                </c:pt>
                <c:pt idx="325">
                  <c:v>57.66</c:v>
                </c:pt>
                <c:pt idx="326">
                  <c:v>58.23</c:v>
                </c:pt>
                <c:pt idx="327">
                  <c:v>58.39</c:v>
                </c:pt>
                <c:pt idx="328">
                  <c:v>58.31</c:v>
                </c:pt>
                <c:pt idx="329">
                  <c:v>58.16</c:v>
                </c:pt>
                <c:pt idx="330">
                  <c:v>57.89</c:v>
                </c:pt>
                <c:pt idx="331">
                  <c:v>57.62</c:v>
                </c:pt>
                <c:pt idx="332">
                  <c:v>57.42</c:v>
                </c:pt>
                <c:pt idx="333">
                  <c:v>57.15</c:v>
                </c:pt>
                <c:pt idx="334">
                  <c:v>56.92</c:v>
                </c:pt>
                <c:pt idx="335">
                  <c:v>56.73</c:v>
                </c:pt>
                <c:pt idx="336">
                  <c:v>56.5</c:v>
                </c:pt>
                <c:pt idx="337">
                  <c:v>56.26</c:v>
                </c:pt>
                <c:pt idx="338">
                  <c:v>56.03</c:v>
                </c:pt>
                <c:pt idx="339">
                  <c:v>55.8</c:v>
                </c:pt>
                <c:pt idx="340">
                  <c:v>55.57</c:v>
                </c:pt>
                <c:pt idx="341">
                  <c:v>55.34</c:v>
                </c:pt>
                <c:pt idx="342">
                  <c:v>55.11</c:v>
                </c:pt>
                <c:pt idx="343">
                  <c:v>54.84</c:v>
                </c:pt>
                <c:pt idx="344">
                  <c:v>54.68</c:v>
                </c:pt>
                <c:pt idx="345">
                  <c:v>54.41</c:v>
                </c:pt>
                <c:pt idx="346">
                  <c:v>54.14</c:v>
                </c:pt>
                <c:pt idx="347">
                  <c:v>54.53</c:v>
                </c:pt>
                <c:pt idx="348">
                  <c:v>54.95</c:v>
                </c:pt>
                <c:pt idx="349">
                  <c:v>54.95</c:v>
                </c:pt>
                <c:pt idx="350">
                  <c:v>54.72</c:v>
                </c:pt>
                <c:pt idx="351">
                  <c:v>54.64</c:v>
                </c:pt>
                <c:pt idx="352">
                  <c:v>54.37</c:v>
                </c:pt>
                <c:pt idx="353">
                  <c:v>54.14</c:v>
                </c:pt>
                <c:pt idx="354">
                  <c:v>53.99</c:v>
                </c:pt>
                <c:pt idx="355">
                  <c:v>53.83</c:v>
                </c:pt>
                <c:pt idx="356">
                  <c:v>53.52</c:v>
                </c:pt>
                <c:pt idx="357">
                  <c:v>53.37</c:v>
                </c:pt>
                <c:pt idx="358">
                  <c:v>53.14</c:v>
                </c:pt>
                <c:pt idx="359">
                  <c:v>52.91</c:v>
                </c:pt>
                <c:pt idx="360">
                  <c:v>52.75</c:v>
                </c:pt>
                <c:pt idx="361">
                  <c:v>52.56</c:v>
                </c:pt>
                <c:pt idx="362">
                  <c:v>52.25</c:v>
                </c:pt>
                <c:pt idx="363">
                  <c:v>48.7</c:v>
                </c:pt>
                <c:pt idx="364">
                  <c:v>41.78</c:v>
                </c:pt>
                <c:pt idx="365">
                  <c:v>37.11</c:v>
                </c:pt>
                <c:pt idx="366">
                  <c:v>33.25</c:v>
                </c:pt>
                <c:pt idx="367">
                  <c:v>29.93</c:v>
                </c:pt>
                <c:pt idx="368">
                  <c:v>27.15</c:v>
                </c:pt>
                <c:pt idx="369">
                  <c:v>24.91</c:v>
                </c:pt>
                <c:pt idx="370">
                  <c:v>22.94</c:v>
                </c:pt>
                <c:pt idx="371">
                  <c:v>21.05</c:v>
                </c:pt>
                <c:pt idx="372">
                  <c:v>19.420000000000002</c:v>
                </c:pt>
                <c:pt idx="373">
                  <c:v>17.760000000000002</c:v>
                </c:pt>
                <c:pt idx="374">
                  <c:v>16.329999999999998</c:v>
                </c:pt>
                <c:pt idx="375">
                  <c:v>15.06</c:v>
                </c:pt>
                <c:pt idx="376">
                  <c:v>13.9</c:v>
                </c:pt>
                <c:pt idx="377">
                  <c:v>12.94</c:v>
                </c:pt>
                <c:pt idx="378">
                  <c:v>11.97</c:v>
                </c:pt>
                <c:pt idx="379">
                  <c:v>11.12</c:v>
                </c:pt>
                <c:pt idx="380">
                  <c:v>10.35</c:v>
                </c:pt>
                <c:pt idx="381">
                  <c:v>9.6199999999999992</c:v>
                </c:pt>
                <c:pt idx="382">
                  <c:v>9</c:v>
                </c:pt>
                <c:pt idx="383">
                  <c:v>8.3800000000000008</c:v>
                </c:pt>
                <c:pt idx="384">
                  <c:v>7.96</c:v>
                </c:pt>
                <c:pt idx="385">
                  <c:v>7.41</c:v>
                </c:pt>
                <c:pt idx="386">
                  <c:v>7.03</c:v>
                </c:pt>
                <c:pt idx="387">
                  <c:v>6.64</c:v>
                </c:pt>
                <c:pt idx="388">
                  <c:v>6.26</c:v>
                </c:pt>
                <c:pt idx="389">
                  <c:v>6.02</c:v>
                </c:pt>
                <c:pt idx="390">
                  <c:v>5.72</c:v>
                </c:pt>
                <c:pt idx="391">
                  <c:v>5.48</c:v>
                </c:pt>
                <c:pt idx="392">
                  <c:v>5.29</c:v>
                </c:pt>
                <c:pt idx="393">
                  <c:v>4.9000000000000004</c:v>
                </c:pt>
                <c:pt idx="394">
                  <c:v>4.79</c:v>
                </c:pt>
                <c:pt idx="395">
                  <c:v>4.5599999999999996</c:v>
                </c:pt>
                <c:pt idx="396">
                  <c:v>4.3600000000000003</c:v>
                </c:pt>
                <c:pt idx="397">
                  <c:v>4.13</c:v>
                </c:pt>
                <c:pt idx="398">
                  <c:v>3.98</c:v>
                </c:pt>
                <c:pt idx="399">
                  <c:v>3.75</c:v>
                </c:pt>
                <c:pt idx="40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0B-413E-9B79-7E42B03CD62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Hoja2!$AC$2:$AC$402</c:f>
              <c:numCache>
                <c:formatCode>General</c:formatCode>
                <c:ptCount val="4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</c:numCache>
            </c:numRef>
          </c:xVal>
          <c:yVal>
            <c:numRef>
              <c:f>Hoja2!$AE$2:$AE$402</c:f>
              <c:numCache>
                <c:formatCode>General</c:formatCode>
                <c:ptCount val="401"/>
                <c:pt idx="1">
                  <c:v>17.000000000000455</c:v>
                </c:pt>
                <c:pt idx="2">
                  <c:v>18.599999999999568</c:v>
                </c:pt>
                <c:pt idx="3">
                  <c:v>21.60000000000025</c:v>
                </c:pt>
                <c:pt idx="4">
                  <c:v>24.800000000000182</c:v>
                </c:pt>
                <c:pt idx="5">
                  <c:v>20.799999999999841</c:v>
                </c:pt>
                <c:pt idx="6">
                  <c:v>19.200000000000159</c:v>
                </c:pt>
                <c:pt idx="7">
                  <c:v>20.999999999999659</c:v>
                </c:pt>
                <c:pt idx="8">
                  <c:v>20.799999999999841</c:v>
                </c:pt>
                <c:pt idx="9">
                  <c:v>14.600000000000364</c:v>
                </c:pt>
                <c:pt idx="10">
                  <c:v>18.600000000000136</c:v>
                </c:pt>
                <c:pt idx="11">
                  <c:v>20</c:v>
                </c:pt>
                <c:pt idx="12">
                  <c:v>19.399999999999977</c:v>
                </c:pt>
                <c:pt idx="13">
                  <c:v>1.5999999999996817</c:v>
                </c:pt>
                <c:pt idx="14">
                  <c:v>-14.799999999999613</c:v>
                </c:pt>
                <c:pt idx="15">
                  <c:v>-18.400000000000318</c:v>
                </c:pt>
                <c:pt idx="16">
                  <c:v>-16.999999999999886</c:v>
                </c:pt>
                <c:pt idx="17">
                  <c:v>-16.999999999999886</c:v>
                </c:pt>
                <c:pt idx="18">
                  <c:v>-16.200000000000045</c:v>
                </c:pt>
                <c:pt idx="19">
                  <c:v>-14.800000000000182</c:v>
                </c:pt>
                <c:pt idx="20">
                  <c:v>-15.400000000000205</c:v>
                </c:pt>
                <c:pt idx="21">
                  <c:v>-13.199999999999932</c:v>
                </c:pt>
                <c:pt idx="22">
                  <c:v>-14.599999999999795</c:v>
                </c:pt>
                <c:pt idx="23">
                  <c:v>-14.599999999999795</c:v>
                </c:pt>
                <c:pt idx="24">
                  <c:v>-12.400000000000091</c:v>
                </c:pt>
                <c:pt idx="25">
                  <c:v>-14.000000000000341</c:v>
                </c:pt>
                <c:pt idx="26">
                  <c:v>-12.999999999999545</c:v>
                </c:pt>
                <c:pt idx="27">
                  <c:v>-11.60000000000025</c:v>
                </c:pt>
                <c:pt idx="28">
                  <c:v>-6.9999999999998863</c:v>
                </c:pt>
                <c:pt idx="29">
                  <c:v>-13.199999999999932</c:v>
                </c:pt>
                <c:pt idx="30">
                  <c:v>-13.799999999999955</c:v>
                </c:pt>
                <c:pt idx="31">
                  <c:v>-12.400000000000091</c:v>
                </c:pt>
                <c:pt idx="32">
                  <c:v>-12.400000000000091</c:v>
                </c:pt>
                <c:pt idx="33">
                  <c:v>-12.200000000000273</c:v>
                </c:pt>
                <c:pt idx="34">
                  <c:v>-12.399999999999523</c:v>
                </c:pt>
                <c:pt idx="35">
                  <c:v>-11.60000000000025</c:v>
                </c:pt>
                <c:pt idx="36">
                  <c:v>-12.400000000000091</c:v>
                </c:pt>
                <c:pt idx="37">
                  <c:v>-12.400000000000091</c:v>
                </c:pt>
                <c:pt idx="38">
                  <c:v>-11.599999999999682</c:v>
                </c:pt>
                <c:pt idx="39">
                  <c:v>-12.200000000000273</c:v>
                </c:pt>
                <c:pt idx="40">
                  <c:v>-10.199999999999818</c:v>
                </c:pt>
                <c:pt idx="41">
                  <c:v>-12.200000000000273</c:v>
                </c:pt>
                <c:pt idx="42">
                  <c:v>-10.199999999999818</c:v>
                </c:pt>
                <c:pt idx="43">
                  <c:v>-12.199999999999704</c:v>
                </c:pt>
                <c:pt idx="44">
                  <c:v>-11.60000000000025</c:v>
                </c:pt>
                <c:pt idx="45">
                  <c:v>-10.199999999999818</c:v>
                </c:pt>
                <c:pt idx="46">
                  <c:v>-10.800000000000409</c:v>
                </c:pt>
                <c:pt idx="47">
                  <c:v>-10</c:v>
                </c:pt>
                <c:pt idx="48">
                  <c:v>-11.599999999999682</c:v>
                </c:pt>
                <c:pt idx="49">
                  <c:v>-10.799999999999841</c:v>
                </c:pt>
                <c:pt idx="50">
                  <c:v>-12.400000000000091</c:v>
                </c:pt>
                <c:pt idx="51">
                  <c:v>-8.4000000000003183</c:v>
                </c:pt>
                <c:pt idx="52">
                  <c:v>-6.2000000000000455</c:v>
                </c:pt>
                <c:pt idx="53">
                  <c:v>-8.3999999999997499</c:v>
                </c:pt>
                <c:pt idx="54">
                  <c:v>-12.400000000000091</c:v>
                </c:pt>
                <c:pt idx="55">
                  <c:v>-9.3999999999999773</c:v>
                </c:pt>
                <c:pt idx="56">
                  <c:v>-12.199999999999704</c:v>
                </c:pt>
                <c:pt idx="57">
                  <c:v>-10.200000000000387</c:v>
                </c:pt>
                <c:pt idx="58">
                  <c:v>-10</c:v>
                </c:pt>
                <c:pt idx="59">
                  <c:v>-7.5999999999999091</c:v>
                </c:pt>
                <c:pt idx="60">
                  <c:v>-12.400000000000091</c:v>
                </c:pt>
                <c:pt idx="61">
                  <c:v>-10.799999999999841</c:v>
                </c:pt>
                <c:pt idx="62">
                  <c:v>-9.3999999999999773</c:v>
                </c:pt>
                <c:pt idx="63">
                  <c:v>-11.60000000000025</c:v>
                </c:pt>
                <c:pt idx="64">
                  <c:v>-7.5999999999999091</c:v>
                </c:pt>
                <c:pt idx="65">
                  <c:v>-11.599999999999682</c:v>
                </c:pt>
                <c:pt idx="66">
                  <c:v>-10</c:v>
                </c:pt>
                <c:pt idx="67">
                  <c:v>-8.6000000000001364</c:v>
                </c:pt>
                <c:pt idx="68">
                  <c:v>-9.2000000000001592</c:v>
                </c:pt>
                <c:pt idx="69">
                  <c:v>-10.799999999999841</c:v>
                </c:pt>
                <c:pt idx="70">
                  <c:v>-9.2000000000001592</c:v>
                </c:pt>
                <c:pt idx="71">
                  <c:v>-8.6000000000001364</c:v>
                </c:pt>
                <c:pt idx="72">
                  <c:v>-10.799999999999841</c:v>
                </c:pt>
                <c:pt idx="73">
                  <c:v>-8.3999999999997499</c:v>
                </c:pt>
                <c:pt idx="74">
                  <c:v>-10.200000000000102</c:v>
                </c:pt>
                <c:pt idx="75">
                  <c:v>-8.4000000000000341</c:v>
                </c:pt>
                <c:pt idx="76">
                  <c:v>-2.4000000000000909</c:v>
                </c:pt>
                <c:pt idx="77">
                  <c:v>-6.9999999999998863</c:v>
                </c:pt>
                <c:pt idx="78">
                  <c:v>-11.400000000000148</c:v>
                </c:pt>
                <c:pt idx="79">
                  <c:v>-10.999999999999943</c:v>
                </c:pt>
                <c:pt idx="80">
                  <c:v>-9.1999999999998749</c:v>
                </c:pt>
                <c:pt idx="81">
                  <c:v>-10.800000000000125</c:v>
                </c:pt>
                <c:pt idx="82">
                  <c:v>-7.8000000000000114</c:v>
                </c:pt>
                <c:pt idx="83">
                  <c:v>-7.5999999999999091</c:v>
                </c:pt>
                <c:pt idx="84">
                  <c:v>-11.599999999999966</c:v>
                </c:pt>
                <c:pt idx="85">
                  <c:v>-9.2000000000001592</c:v>
                </c:pt>
                <c:pt idx="86">
                  <c:v>-9.3999999999999773</c:v>
                </c:pt>
                <c:pt idx="87">
                  <c:v>-9.1999999999998749</c:v>
                </c:pt>
                <c:pt idx="88">
                  <c:v>-7.8000000000000114</c:v>
                </c:pt>
                <c:pt idx="89">
                  <c:v>-10</c:v>
                </c:pt>
                <c:pt idx="90">
                  <c:v>-9.2000000000001592</c:v>
                </c:pt>
                <c:pt idx="91">
                  <c:v>-10</c:v>
                </c:pt>
                <c:pt idx="92">
                  <c:v>-7.8000000000000114</c:v>
                </c:pt>
                <c:pt idx="93">
                  <c:v>-9.1999999999998749</c:v>
                </c:pt>
                <c:pt idx="94">
                  <c:v>-7.8000000000000114</c:v>
                </c:pt>
                <c:pt idx="95">
                  <c:v>-9.2000000000001592</c:v>
                </c:pt>
                <c:pt idx="96">
                  <c:v>-8.5999999999998522</c:v>
                </c:pt>
                <c:pt idx="97">
                  <c:v>-6.9999999999998863</c:v>
                </c:pt>
                <c:pt idx="98">
                  <c:v>-9.2000000000001592</c:v>
                </c:pt>
                <c:pt idx="99">
                  <c:v>-6.2000000000000455</c:v>
                </c:pt>
                <c:pt idx="100">
                  <c:v>0.80000000000012506</c:v>
                </c:pt>
                <c:pt idx="101">
                  <c:v>-6.2000000000000455</c:v>
                </c:pt>
                <c:pt idx="102">
                  <c:v>-13.199999999999932</c:v>
                </c:pt>
                <c:pt idx="103">
                  <c:v>-9.2000000000001592</c:v>
                </c:pt>
                <c:pt idx="104">
                  <c:v>-10</c:v>
                </c:pt>
                <c:pt idx="105">
                  <c:v>-8.5999999999998522</c:v>
                </c:pt>
                <c:pt idx="106">
                  <c:v>-8.4000000000000341</c:v>
                </c:pt>
                <c:pt idx="107">
                  <c:v>-8.4000000000000341</c:v>
                </c:pt>
                <c:pt idx="108">
                  <c:v>-9.3999999999999773</c:v>
                </c:pt>
                <c:pt idx="109">
                  <c:v>-7.5999999999999091</c:v>
                </c:pt>
                <c:pt idx="110">
                  <c:v>-8.6000000000001364</c:v>
                </c:pt>
                <c:pt idx="111">
                  <c:v>-8.4000000000000341</c:v>
                </c:pt>
                <c:pt idx="112">
                  <c:v>-7.8000000000000114</c:v>
                </c:pt>
                <c:pt idx="113">
                  <c:v>-9.1999999999998749</c:v>
                </c:pt>
                <c:pt idx="114">
                  <c:v>-8.6000000000001364</c:v>
                </c:pt>
                <c:pt idx="115">
                  <c:v>-6.9999999999998863</c:v>
                </c:pt>
                <c:pt idx="116">
                  <c:v>-8.4000000000000341</c:v>
                </c:pt>
                <c:pt idx="117">
                  <c:v>-6.9999999999998863</c:v>
                </c:pt>
                <c:pt idx="118">
                  <c:v>-7.0000000000001705</c:v>
                </c:pt>
                <c:pt idx="119">
                  <c:v>-9.1999999999998749</c:v>
                </c:pt>
                <c:pt idx="120">
                  <c:v>-7.0000000000001705</c:v>
                </c:pt>
                <c:pt idx="121">
                  <c:v>-4.5999999999997954</c:v>
                </c:pt>
                <c:pt idx="122">
                  <c:v>3.1999999999999318</c:v>
                </c:pt>
                <c:pt idx="123">
                  <c:v>-5.3999999999999204</c:v>
                </c:pt>
                <c:pt idx="124">
                  <c:v>-15.600000000000023</c:v>
                </c:pt>
                <c:pt idx="125">
                  <c:v>-8.4000000000000341</c:v>
                </c:pt>
                <c:pt idx="126">
                  <c:v>-9.2000000000001592</c:v>
                </c:pt>
                <c:pt idx="127">
                  <c:v>-8.5999999999998522</c:v>
                </c:pt>
                <c:pt idx="128">
                  <c:v>-4.6000000000000796</c:v>
                </c:pt>
                <c:pt idx="129">
                  <c:v>-9.1999999999998749</c:v>
                </c:pt>
                <c:pt idx="130">
                  <c:v>-7.8000000000000114</c:v>
                </c:pt>
                <c:pt idx="131">
                  <c:v>-8.6000000000001364</c:v>
                </c:pt>
                <c:pt idx="132">
                  <c:v>-6.8000000000000682</c:v>
                </c:pt>
                <c:pt idx="133">
                  <c:v>-7.8000000000000114</c:v>
                </c:pt>
                <c:pt idx="134">
                  <c:v>-7.7999999999997272</c:v>
                </c:pt>
                <c:pt idx="135">
                  <c:v>-6.0000000000002274</c:v>
                </c:pt>
                <c:pt idx="136">
                  <c:v>-9.3999999999999773</c:v>
                </c:pt>
                <c:pt idx="137">
                  <c:v>-5.3999999999999204</c:v>
                </c:pt>
                <c:pt idx="138">
                  <c:v>-6.9999999999998863</c:v>
                </c:pt>
                <c:pt idx="139">
                  <c:v>-9.2000000000001592</c:v>
                </c:pt>
                <c:pt idx="140">
                  <c:v>-7.8000000000000114</c:v>
                </c:pt>
                <c:pt idx="141">
                  <c:v>-5.3999999999999204</c:v>
                </c:pt>
                <c:pt idx="142">
                  <c:v>4.7999999999998977</c:v>
                </c:pt>
                <c:pt idx="143">
                  <c:v>5.4000000000002046</c:v>
                </c:pt>
                <c:pt idx="144">
                  <c:v>-7.0000000000001705</c:v>
                </c:pt>
                <c:pt idx="145">
                  <c:v>-14.000000000000057</c:v>
                </c:pt>
                <c:pt idx="146">
                  <c:v>-10</c:v>
                </c:pt>
                <c:pt idx="147">
                  <c:v>-12.999999999999829</c:v>
                </c:pt>
                <c:pt idx="148">
                  <c:v>-7.0000000000001705</c:v>
                </c:pt>
                <c:pt idx="149">
                  <c:v>-4.5999999999997954</c:v>
                </c:pt>
                <c:pt idx="150">
                  <c:v>-8.6000000000001364</c:v>
                </c:pt>
                <c:pt idx="151">
                  <c:v>-10</c:v>
                </c:pt>
                <c:pt idx="152">
                  <c:v>-8.5999999999998522</c:v>
                </c:pt>
                <c:pt idx="153">
                  <c:v>-6.0000000000002274</c:v>
                </c:pt>
                <c:pt idx="154">
                  <c:v>-6.9999999999998863</c:v>
                </c:pt>
                <c:pt idx="155">
                  <c:v>-8.6000000000001364</c:v>
                </c:pt>
                <c:pt idx="156">
                  <c:v>-6.799999999999784</c:v>
                </c:pt>
                <c:pt idx="157">
                  <c:v>-6.2000000000000455</c:v>
                </c:pt>
                <c:pt idx="158">
                  <c:v>-7.8000000000000114</c:v>
                </c:pt>
                <c:pt idx="159">
                  <c:v>-7.0000000000001705</c:v>
                </c:pt>
                <c:pt idx="160">
                  <c:v>-6.799999999999784</c:v>
                </c:pt>
                <c:pt idx="161">
                  <c:v>-5.6000000000000227</c:v>
                </c:pt>
                <c:pt idx="162">
                  <c:v>-6.8000000000000682</c:v>
                </c:pt>
                <c:pt idx="163">
                  <c:v>11.599999999999966</c:v>
                </c:pt>
                <c:pt idx="164">
                  <c:v>13.799999999999955</c:v>
                </c:pt>
                <c:pt idx="165">
                  <c:v>5.4000000000002046</c:v>
                </c:pt>
                <c:pt idx="166">
                  <c:v>-13.000000000000114</c:v>
                </c:pt>
                <c:pt idx="167">
                  <c:v>-6.9999999999998863</c:v>
                </c:pt>
                <c:pt idx="168">
                  <c:v>-16.200000000000045</c:v>
                </c:pt>
                <c:pt idx="169">
                  <c:v>-15.600000000000023</c:v>
                </c:pt>
                <c:pt idx="170">
                  <c:v>-7.5999999999999091</c:v>
                </c:pt>
                <c:pt idx="171">
                  <c:v>-10.800000000000125</c:v>
                </c:pt>
                <c:pt idx="172">
                  <c:v>-13.199999999999932</c:v>
                </c:pt>
                <c:pt idx="173">
                  <c:v>-8.4000000000000341</c:v>
                </c:pt>
                <c:pt idx="174">
                  <c:v>-7.8000000000000114</c:v>
                </c:pt>
                <c:pt idx="175">
                  <c:v>-9.2000000000001592</c:v>
                </c:pt>
                <c:pt idx="176">
                  <c:v>-4.5999999999997954</c:v>
                </c:pt>
                <c:pt idx="177">
                  <c:v>-7.8000000000000114</c:v>
                </c:pt>
                <c:pt idx="178">
                  <c:v>-7.0000000000001705</c:v>
                </c:pt>
                <c:pt idx="179">
                  <c:v>-7.5999999999999091</c:v>
                </c:pt>
                <c:pt idx="180">
                  <c:v>-6.9999999999998863</c:v>
                </c:pt>
                <c:pt idx="181">
                  <c:v>-7.0000000000001705</c:v>
                </c:pt>
                <c:pt idx="182">
                  <c:v>-5.3999999999999204</c:v>
                </c:pt>
                <c:pt idx="183">
                  <c:v>-5.3999999999999204</c:v>
                </c:pt>
                <c:pt idx="184">
                  <c:v>-6.2000000000000455</c:v>
                </c:pt>
                <c:pt idx="185">
                  <c:v>2.4000000000000909</c:v>
                </c:pt>
                <c:pt idx="186">
                  <c:v>21.599999999999966</c:v>
                </c:pt>
                <c:pt idx="187">
                  <c:v>15.39999999999992</c:v>
                </c:pt>
                <c:pt idx="188">
                  <c:v>-6.9999999999998863</c:v>
                </c:pt>
                <c:pt idx="189">
                  <c:v>-3.0000000000001137</c:v>
                </c:pt>
                <c:pt idx="190">
                  <c:v>-7.8000000000000114</c:v>
                </c:pt>
                <c:pt idx="191">
                  <c:v>-13.799999999999955</c:v>
                </c:pt>
                <c:pt idx="192">
                  <c:v>-7.8000000000000114</c:v>
                </c:pt>
                <c:pt idx="193">
                  <c:v>-10</c:v>
                </c:pt>
                <c:pt idx="194">
                  <c:v>-12.400000000000091</c:v>
                </c:pt>
                <c:pt idx="195">
                  <c:v>-14.60000000000008</c:v>
                </c:pt>
                <c:pt idx="196">
                  <c:v>-11.599999999999966</c:v>
                </c:pt>
                <c:pt idx="197">
                  <c:v>-10.799999999999841</c:v>
                </c:pt>
                <c:pt idx="198">
                  <c:v>-11.599999999999966</c:v>
                </c:pt>
                <c:pt idx="199">
                  <c:v>-7.0000000000001705</c:v>
                </c:pt>
                <c:pt idx="200">
                  <c:v>-6.9999999999998863</c:v>
                </c:pt>
                <c:pt idx="201">
                  <c:v>-6.8000000000000682</c:v>
                </c:pt>
                <c:pt idx="202">
                  <c:v>-4.7999999999998977</c:v>
                </c:pt>
                <c:pt idx="203">
                  <c:v>-7.6000000000001933</c:v>
                </c:pt>
                <c:pt idx="204">
                  <c:v>-6.1999999999997613</c:v>
                </c:pt>
                <c:pt idx="205">
                  <c:v>-7.0000000000001705</c:v>
                </c:pt>
                <c:pt idx="206">
                  <c:v>-6.2000000000000455</c:v>
                </c:pt>
                <c:pt idx="207">
                  <c:v>2.4000000000000909</c:v>
                </c:pt>
                <c:pt idx="208">
                  <c:v>24.60000000000008</c:v>
                </c:pt>
                <c:pt idx="209">
                  <c:v>16.999999999999886</c:v>
                </c:pt>
                <c:pt idx="210">
                  <c:v>-2.1999999999999886</c:v>
                </c:pt>
                <c:pt idx="211">
                  <c:v>1.4000000000001478</c:v>
                </c:pt>
                <c:pt idx="212">
                  <c:v>-1.4000000000001478</c:v>
                </c:pt>
                <c:pt idx="213">
                  <c:v>-6.2000000000000455</c:v>
                </c:pt>
                <c:pt idx="214">
                  <c:v>-6.9999999999998863</c:v>
                </c:pt>
                <c:pt idx="215">
                  <c:v>-8.4000000000000341</c:v>
                </c:pt>
                <c:pt idx="216">
                  <c:v>-12.400000000000091</c:v>
                </c:pt>
                <c:pt idx="217">
                  <c:v>-11.599999999999966</c:v>
                </c:pt>
                <c:pt idx="218">
                  <c:v>-14.60000000000008</c:v>
                </c:pt>
                <c:pt idx="219">
                  <c:v>-11.599999999999966</c:v>
                </c:pt>
                <c:pt idx="220">
                  <c:v>-11.599999999999966</c:v>
                </c:pt>
                <c:pt idx="221">
                  <c:v>-10.799999999999841</c:v>
                </c:pt>
                <c:pt idx="222">
                  <c:v>-8.6000000000001364</c:v>
                </c:pt>
                <c:pt idx="223">
                  <c:v>-8.4000000000000341</c:v>
                </c:pt>
                <c:pt idx="224">
                  <c:v>-9.3999999999999773</c:v>
                </c:pt>
                <c:pt idx="225">
                  <c:v>-6.2000000000000455</c:v>
                </c:pt>
                <c:pt idx="226">
                  <c:v>-6.799999999999784</c:v>
                </c:pt>
                <c:pt idx="227">
                  <c:v>9.1999999999998749</c:v>
                </c:pt>
                <c:pt idx="228">
                  <c:v>26.999999999999886</c:v>
                </c:pt>
                <c:pt idx="229">
                  <c:v>11.60000000000025</c:v>
                </c:pt>
                <c:pt idx="230">
                  <c:v>5.3999999999999204</c:v>
                </c:pt>
                <c:pt idx="231">
                  <c:v>-1.5999999999999659</c:v>
                </c:pt>
                <c:pt idx="232">
                  <c:v>-12.199999999999989</c:v>
                </c:pt>
                <c:pt idx="233">
                  <c:v>-7.0000000000001705</c:v>
                </c:pt>
                <c:pt idx="234">
                  <c:v>-8.5999999999998522</c:v>
                </c:pt>
                <c:pt idx="235">
                  <c:v>-10.800000000000125</c:v>
                </c:pt>
                <c:pt idx="236">
                  <c:v>-10</c:v>
                </c:pt>
                <c:pt idx="237">
                  <c:v>-10</c:v>
                </c:pt>
                <c:pt idx="238">
                  <c:v>-10.799999999999841</c:v>
                </c:pt>
                <c:pt idx="239">
                  <c:v>-11.60000000000025</c:v>
                </c:pt>
                <c:pt idx="240">
                  <c:v>-8.5999999999998522</c:v>
                </c:pt>
                <c:pt idx="241">
                  <c:v>-10.800000000000125</c:v>
                </c:pt>
                <c:pt idx="242">
                  <c:v>-8.3999999999997499</c:v>
                </c:pt>
                <c:pt idx="243">
                  <c:v>-8.6000000000001364</c:v>
                </c:pt>
                <c:pt idx="244">
                  <c:v>-8.4000000000000341</c:v>
                </c:pt>
                <c:pt idx="245">
                  <c:v>-7.8000000000000114</c:v>
                </c:pt>
                <c:pt idx="246">
                  <c:v>-6.8000000000000682</c:v>
                </c:pt>
                <c:pt idx="247">
                  <c:v>12.199999999999989</c:v>
                </c:pt>
                <c:pt idx="248">
                  <c:v>30.200000000000102</c:v>
                </c:pt>
                <c:pt idx="249">
                  <c:v>12.400000000000091</c:v>
                </c:pt>
                <c:pt idx="250">
                  <c:v>-0.80000000000012506</c:v>
                </c:pt>
                <c:pt idx="251">
                  <c:v>-5.3999999999999204</c:v>
                </c:pt>
                <c:pt idx="252">
                  <c:v>-10.800000000000125</c:v>
                </c:pt>
                <c:pt idx="253">
                  <c:v>-9.3999999999999773</c:v>
                </c:pt>
                <c:pt idx="254">
                  <c:v>-5.9999999999999432</c:v>
                </c:pt>
                <c:pt idx="255">
                  <c:v>-7.8000000000000114</c:v>
                </c:pt>
                <c:pt idx="256">
                  <c:v>-8.5999999999998522</c:v>
                </c:pt>
                <c:pt idx="257">
                  <c:v>-8.4000000000000341</c:v>
                </c:pt>
                <c:pt idx="258">
                  <c:v>-8.4000000000000341</c:v>
                </c:pt>
                <c:pt idx="259">
                  <c:v>-7.8000000000000114</c:v>
                </c:pt>
                <c:pt idx="260">
                  <c:v>-9.2000000000001592</c:v>
                </c:pt>
                <c:pt idx="261">
                  <c:v>-8.5999999999998522</c:v>
                </c:pt>
                <c:pt idx="262">
                  <c:v>-7.8000000000000114</c:v>
                </c:pt>
                <c:pt idx="263">
                  <c:v>-5.9999999999999432</c:v>
                </c:pt>
                <c:pt idx="264">
                  <c:v>-10.999999999999943</c:v>
                </c:pt>
                <c:pt idx="265">
                  <c:v>-6.0000000000002274</c:v>
                </c:pt>
                <c:pt idx="266">
                  <c:v>-9.3999999999999773</c:v>
                </c:pt>
                <c:pt idx="267">
                  <c:v>-6.2000000000000455</c:v>
                </c:pt>
                <c:pt idx="268">
                  <c:v>14.000000000000057</c:v>
                </c:pt>
                <c:pt idx="269">
                  <c:v>25.400000000000205</c:v>
                </c:pt>
                <c:pt idx="270">
                  <c:v>3.1999999999999318</c:v>
                </c:pt>
                <c:pt idx="271">
                  <c:v>-3.1999999999999318</c:v>
                </c:pt>
                <c:pt idx="272">
                  <c:v>-6.2000000000000455</c:v>
                </c:pt>
                <c:pt idx="273">
                  <c:v>-10.800000000000125</c:v>
                </c:pt>
                <c:pt idx="274">
                  <c:v>-6.2000000000000455</c:v>
                </c:pt>
                <c:pt idx="275">
                  <c:v>-5.3999999999999204</c:v>
                </c:pt>
                <c:pt idx="276">
                  <c:v>-5.3999999999999204</c:v>
                </c:pt>
                <c:pt idx="277">
                  <c:v>-6.8000000000000682</c:v>
                </c:pt>
                <c:pt idx="278">
                  <c:v>-7.8000000000000114</c:v>
                </c:pt>
                <c:pt idx="279">
                  <c:v>-6.9999999999998863</c:v>
                </c:pt>
                <c:pt idx="280">
                  <c:v>-6.8000000000000682</c:v>
                </c:pt>
                <c:pt idx="281">
                  <c:v>-6.2000000000000455</c:v>
                </c:pt>
                <c:pt idx="282">
                  <c:v>-6.2000000000000455</c:v>
                </c:pt>
                <c:pt idx="283">
                  <c:v>-6.9999999999998863</c:v>
                </c:pt>
                <c:pt idx="284">
                  <c:v>-7.0000000000001705</c:v>
                </c:pt>
                <c:pt idx="285">
                  <c:v>-6.9999999999998863</c:v>
                </c:pt>
                <c:pt idx="286">
                  <c:v>-6.8000000000000682</c:v>
                </c:pt>
                <c:pt idx="287">
                  <c:v>-7.8000000000000114</c:v>
                </c:pt>
                <c:pt idx="288">
                  <c:v>10.800000000000125</c:v>
                </c:pt>
                <c:pt idx="289">
                  <c:v>17.800000000000011</c:v>
                </c:pt>
                <c:pt idx="290">
                  <c:v>0.79999999999984084</c:v>
                </c:pt>
                <c:pt idx="291">
                  <c:v>-3.7999999999999545</c:v>
                </c:pt>
                <c:pt idx="292">
                  <c:v>-5.3999999999999204</c:v>
                </c:pt>
                <c:pt idx="293">
                  <c:v>-9.3999999999999773</c:v>
                </c:pt>
                <c:pt idx="294">
                  <c:v>-6.2000000000000455</c:v>
                </c:pt>
                <c:pt idx="295">
                  <c:v>-2.1999999999999886</c:v>
                </c:pt>
                <c:pt idx="296">
                  <c:v>-8.5999999999999943</c:v>
                </c:pt>
                <c:pt idx="297">
                  <c:v>-4.6000000000000796</c:v>
                </c:pt>
                <c:pt idx="298">
                  <c:v>-6.1999999999999034</c:v>
                </c:pt>
                <c:pt idx="299">
                  <c:v>-5.4000000000000625</c:v>
                </c:pt>
                <c:pt idx="300">
                  <c:v>-5.3999999999999204</c:v>
                </c:pt>
                <c:pt idx="301">
                  <c:v>-6.2000000000000455</c:v>
                </c:pt>
                <c:pt idx="302">
                  <c:v>-7.0000000000000284</c:v>
                </c:pt>
                <c:pt idx="303">
                  <c:v>-3.7999999999999545</c:v>
                </c:pt>
                <c:pt idx="304">
                  <c:v>-4.6000000000000796</c:v>
                </c:pt>
                <c:pt idx="305">
                  <c:v>-9.2000000000000171</c:v>
                </c:pt>
                <c:pt idx="306">
                  <c:v>-1.5999999999999659</c:v>
                </c:pt>
                <c:pt idx="307">
                  <c:v>14.60000000000008</c:v>
                </c:pt>
                <c:pt idx="308">
                  <c:v>3.1999999999999318</c:v>
                </c:pt>
                <c:pt idx="309">
                  <c:v>-3.1999999999999318</c:v>
                </c:pt>
                <c:pt idx="310">
                  <c:v>-3.0000000000001137</c:v>
                </c:pt>
                <c:pt idx="311">
                  <c:v>-9.3999999999999773</c:v>
                </c:pt>
                <c:pt idx="312">
                  <c:v>-3.7999999999999545</c:v>
                </c:pt>
                <c:pt idx="313">
                  <c:v>-4.5999999999999375</c:v>
                </c:pt>
                <c:pt idx="314">
                  <c:v>-4.6000000000000796</c:v>
                </c:pt>
                <c:pt idx="315">
                  <c:v>-3.7999999999999545</c:v>
                </c:pt>
                <c:pt idx="316">
                  <c:v>-7.0000000000000284</c:v>
                </c:pt>
                <c:pt idx="317">
                  <c:v>-6.2000000000000455</c:v>
                </c:pt>
                <c:pt idx="318">
                  <c:v>-4.5999999999999375</c:v>
                </c:pt>
                <c:pt idx="319">
                  <c:v>-4.6000000000000796</c:v>
                </c:pt>
                <c:pt idx="320">
                  <c:v>-4.7999999999998977</c:v>
                </c:pt>
                <c:pt idx="321">
                  <c:v>-5.4000000000000625</c:v>
                </c:pt>
                <c:pt idx="322">
                  <c:v>-5.3999999999999204</c:v>
                </c:pt>
                <c:pt idx="323">
                  <c:v>-3.8000000000000966</c:v>
                </c:pt>
                <c:pt idx="324">
                  <c:v>-6.1999999999999034</c:v>
                </c:pt>
                <c:pt idx="325">
                  <c:v>-2.2000000000001307</c:v>
                </c:pt>
                <c:pt idx="326">
                  <c:v>11.400000000000006</c:v>
                </c:pt>
                <c:pt idx="327">
                  <c:v>3.2000000000000739</c:v>
                </c:pt>
                <c:pt idx="328">
                  <c:v>-1.5999999999999659</c:v>
                </c:pt>
                <c:pt idx="329">
                  <c:v>-3.0000000000001137</c:v>
                </c:pt>
                <c:pt idx="330">
                  <c:v>-5.3999999999999204</c:v>
                </c:pt>
                <c:pt idx="331">
                  <c:v>-5.4000000000000625</c:v>
                </c:pt>
                <c:pt idx="332">
                  <c:v>-3.9999999999999147</c:v>
                </c:pt>
                <c:pt idx="333">
                  <c:v>-5.4000000000000625</c:v>
                </c:pt>
                <c:pt idx="334">
                  <c:v>-4.5999999999999375</c:v>
                </c:pt>
                <c:pt idx="335">
                  <c:v>-3.8000000000000966</c:v>
                </c:pt>
                <c:pt idx="336">
                  <c:v>-4.5999999999999375</c:v>
                </c:pt>
                <c:pt idx="337">
                  <c:v>-4.8000000000000398</c:v>
                </c:pt>
                <c:pt idx="338">
                  <c:v>-4.5999999999999375</c:v>
                </c:pt>
                <c:pt idx="339">
                  <c:v>-4.6000000000000796</c:v>
                </c:pt>
                <c:pt idx="340">
                  <c:v>-4.5999999999999375</c:v>
                </c:pt>
                <c:pt idx="341">
                  <c:v>-4.5999999999999375</c:v>
                </c:pt>
                <c:pt idx="342">
                  <c:v>-4.6000000000000796</c:v>
                </c:pt>
                <c:pt idx="343">
                  <c:v>-5.3999999999999204</c:v>
                </c:pt>
                <c:pt idx="344">
                  <c:v>-3.2000000000000739</c:v>
                </c:pt>
                <c:pt idx="345">
                  <c:v>-5.4000000000000625</c:v>
                </c:pt>
                <c:pt idx="346">
                  <c:v>-5.3999999999999204</c:v>
                </c:pt>
                <c:pt idx="347">
                  <c:v>7.8000000000000114</c:v>
                </c:pt>
                <c:pt idx="348">
                  <c:v>8.4000000000000341</c:v>
                </c:pt>
                <c:pt idx="349">
                  <c:v>0</c:v>
                </c:pt>
                <c:pt idx="350">
                  <c:v>-4.6000000000000796</c:v>
                </c:pt>
                <c:pt idx="351">
                  <c:v>-1.5999999999999659</c:v>
                </c:pt>
                <c:pt idx="352">
                  <c:v>-5.4000000000000625</c:v>
                </c:pt>
                <c:pt idx="353">
                  <c:v>-4.5999999999999375</c:v>
                </c:pt>
                <c:pt idx="354">
                  <c:v>-2.9999999999999716</c:v>
                </c:pt>
                <c:pt idx="355">
                  <c:v>-3.2000000000000739</c:v>
                </c:pt>
                <c:pt idx="356">
                  <c:v>-6.1999999999999034</c:v>
                </c:pt>
                <c:pt idx="357">
                  <c:v>-3.0000000000001137</c:v>
                </c:pt>
                <c:pt idx="358">
                  <c:v>-4.5999999999999375</c:v>
                </c:pt>
                <c:pt idx="359">
                  <c:v>-4.6000000000000796</c:v>
                </c:pt>
                <c:pt idx="360">
                  <c:v>-3.1999999999999318</c:v>
                </c:pt>
                <c:pt idx="361">
                  <c:v>-3.7999999999999545</c:v>
                </c:pt>
                <c:pt idx="362">
                  <c:v>-6.2000000000000455</c:v>
                </c:pt>
                <c:pt idx="363">
                  <c:v>-70.999999999999943</c:v>
                </c:pt>
                <c:pt idx="364">
                  <c:v>-138.40000000000003</c:v>
                </c:pt>
                <c:pt idx="365">
                  <c:v>-93.400000000000034</c:v>
                </c:pt>
                <c:pt idx="366">
                  <c:v>-77.199999999999989</c:v>
                </c:pt>
                <c:pt idx="367">
                  <c:v>-66.400000000000006</c:v>
                </c:pt>
                <c:pt idx="368">
                  <c:v>-55.600000000000023</c:v>
                </c:pt>
                <c:pt idx="369">
                  <c:v>-44.799999999999969</c:v>
                </c:pt>
                <c:pt idx="370">
                  <c:v>-39.399999999999977</c:v>
                </c:pt>
                <c:pt idx="371">
                  <c:v>-37.800000000000011</c:v>
                </c:pt>
                <c:pt idx="372">
                  <c:v>-32.59999999999998</c:v>
                </c:pt>
                <c:pt idx="373">
                  <c:v>-33.200000000000003</c:v>
                </c:pt>
                <c:pt idx="374">
                  <c:v>-28.600000000000065</c:v>
                </c:pt>
                <c:pt idx="375">
                  <c:v>-25.399999999999956</c:v>
                </c:pt>
                <c:pt idx="376">
                  <c:v>-23.200000000000003</c:v>
                </c:pt>
                <c:pt idx="377">
                  <c:v>-19.200000000000017</c:v>
                </c:pt>
                <c:pt idx="378">
                  <c:v>-19.399999999999977</c:v>
                </c:pt>
                <c:pt idx="379">
                  <c:v>-17.000000000000028</c:v>
                </c:pt>
                <c:pt idx="380">
                  <c:v>-15.399999999999991</c:v>
                </c:pt>
                <c:pt idx="381">
                  <c:v>-14.600000000000009</c:v>
                </c:pt>
                <c:pt idx="382">
                  <c:v>-12.399999999999984</c:v>
                </c:pt>
                <c:pt idx="383">
                  <c:v>-12.399999999999984</c:v>
                </c:pt>
                <c:pt idx="384">
                  <c:v>-8.4000000000000163</c:v>
                </c:pt>
                <c:pt idx="385">
                  <c:v>-10.999999999999996</c:v>
                </c:pt>
                <c:pt idx="386">
                  <c:v>-7.5999999999999979</c:v>
                </c:pt>
                <c:pt idx="387">
                  <c:v>-7.8000000000000114</c:v>
                </c:pt>
                <c:pt idx="388">
                  <c:v>-7.5999999999999979</c:v>
                </c:pt>
                <c:pt idx="389">
                  <c:v>-4.8000000000000043</c:v>
                </c:pt>
                <c:pt idx="390">
                  <c:v>-5.9999999999999964</c:v>
                </c:pt>
                <c:pt idx="391">
                  <c:v>-4.7999999999999865</c:v>
                </c:pt>
                <c:pt idx="392">
                  <c:v>-3.8000000000000078</c:v>
                </c:pt>
                <c:pt idx="393">
                  <c:v>-7.7999999999999936</c:v>
                </c:pt>
                <c:pt idx="394">
                  <c:v>-2.2000000000000064</c:v>
                </c:pt>
                <c:pt idx="395">
                  <c:v>-4.6000000000000085</c:v>
                </c:pt>
                <c:pt idx="396">
                  <c:v>-3.9999999999999858</c:v>
                </c:pt>
                <c:pt idx="397">
                  <c:v>-4.6000000000000085</c:v>
                </c:pt>
                <c:pt idx="398">
                  <c:v>-2.9999999999999982</c:v>
                </c:pt>
                <c:pt idx="399">
                  <c:v>-4.5999999999999996</c:v>
                </c:pt>
                <c:pt idx="400">
                  <c:v>-4.0000000000000036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0B-413E-9B79-7E42B03CD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53984"/>
        <c:axId val="235152736"/>
      </c:scatterChart>
      <c:valAx>
        <c:axId val="235153984"/>
        <c:scaling>
          <c:orientation val="minMax"/>
          <c:max val="3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152736"/>
        <c:crosses val="autoZero"/>
        <c:crossBetween val="midCat"/>
      </c:valAx>
      <c:valAx>
        <c:axId val="235152736"/>
        <c:scaling>
          <c:orientation val="minMax"/>
          <c:max val="16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15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140/90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Hoja2!$AN$2:$AN$439</c:f>
              <c:numCache>
                <c:formatCode>General</c:formatCode>
                <c:ptCount val="4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</c:numCache>
            </c:numRef>
          </c:xVal>
          <c:yVal>
            <c:numRef>
              <c:f>Hoja2!$AO$2:$AO$439</c:f>
              <c:numCache>
                <c:formatCode>General</c:formatCode>
                <c:ptCount val="438"/>
                <c:pt idx="0">
                  <c:v>160.65</c:v>
                </c:pt>
                <c:pt idx="1">
                  <c:v>161.30000000000001</c:v>
                </c:pt>
                <c:pt idx="2">
                  <c:v>161.72999999999999</c:v>
                </c:pt>
                <c:pt idx="3">
                  <c:v>162.27000000000001</c:v>
                </c:pt>
                <c:pt idx="4">
                  <c:v>163.22999999999999</c:v>
                </c:pt>
                <c:pt idx="5">
                  <c:v>163.69999999999999</c:v>
                </c:pt>
                <c:pt idx="6">
                  <c:v>164.35</c:v>
                </c:pt>
                <c:pt idx="7">
                  <c:v>165.32</c:v>
                </c:pt>
                <c:pt idx="8">
                  <c:v>165.74</c:v>
                </c:pt>
                <c:pt idx="9">
                  <c:v>166.52</c:v>
                </c:pt>
                <c:pt idx="10">
                  <c:v>167.33</c:v>
                </c:pt>
                <c:pt idx="11">
                  <c:v>167.71</c:v>
                </c:pt>
                <c:pt idx="12">
                  <c:v>168.64</c:v>
                </c:pt>
                <c:pt idx="13">
                  <c:v>168.72</c:v>
                </c:pt>
                <c:pt idx="14">
                  <c:v>168.02</c:v>
                </c:pt>
                <c:pt idx="15">
                  <c:v>167.21</c:v>
                </c:pt>
                <c:pt idx="16">
                  <c:v>166.25</c:v>
                </c:pt>
                <c:pt idx="17">
                  <c:v>165.67</c:v>
                </c:pt>
                <c:pt idx="18">
                  <c:v>164.93</c:v>
                </c:pt>
                <c:pt idx="19">
                  <c:v>164.28</c:v>
                </c:pt>
                <c:pt idx="20">
                  <c:v>163.66</c:v>
                </c:pt>
                <c:pt idx="21">
                  <c:v>163.08000000000001</c:v>
                </c:pt>
                <c:pt idx="22">
                  <c:v>162.46</c:v>
                </c:pt>
                <c:pt idx="23">
                  <c:v>161.91999999999999</c:v>
                </c:pt>
                <c:pt idx="24">
                  <c:v>161.34</c:v>
                </c:pt>
                <c:pt idx="25">
                  <c:v>161.26</c:v>
                </c:pt>
                <c:pt idx="26">
                  <c:v>160.88</c:v>
                </c:pt>
                <c:pt idx="27">
                  <c:v>160.26</c:v>
                </c:pt>
                <c:pt idx="28">
                  <c:v>159.76</c:v>
                </c:pt>
                <c:pt idx="29">
                  <c:v>159.13999999999999</c:v>
                </c:pt>
                <c:pt idx="30">
                  <c:v>158.72</c:v>
                </c:pt>
                <c:pt idx="31">
                  <c:v>158.16999999999999</c:v>
                </c:pt>
                <c:pt idx="32">
                  <c:v>157.63</c:v>
                </c:pt>
                <c:pt idx="33">
                  <c:v>157.25</c:v>
                </c:pt>
                <c:pt idx="34">
                  <c:v>156.66999999999999</c:v>
                </c:pt>
                <c:pt idx="35">
                  <c:v>156.21</c:v>
                </c:pt>
                <c:pt idx="36">
                  <c:v>155.82</c:v>
                </c:pt>
                <c:pt idx="37">
                  <c:v>155.43</c:v>
                </c:pt>
                <c:pt idx="38">
                  <c:v>155.47</c:v>
                </c:pt>
                <c:pt idx="39">
                  <c:v>155.19999999999999</c:v>
                </c:pt>
                <c:pt idx="40">
                  <c:v>154.69999999999999</c:v>
                </c:pt>
                <c:pt idx="41">
                  <c:v>154.19999999999999</c:v>
                </c:pt>
                <c:pt idx="42">
                  <c:v>153.54</c:v>
                </c:pt>
                <c:pt idx="43">
                  <c:v>153.12</c:v>
                </c:pt>
                <c:pt idx="44">
                  <c:v>152.69</c:v>
                </c:pt>
                <c:pt idx="45">
                  <c:v>152.27000000000001</c:v>
                </c:pt>
                <c:pt idx="46">
                  <c:v>151.72999999999999</c:v>
                </c:pt>
                <c:pt idx="47">
                  <c:v>151.34</c:v>
                </c:pt>
                <c:pt idx="48">
                  <c:v>150.91</c:v>
                </c:pt>
                <c:pt idx="49">
                  <c:v>150.49</c:v>
                </c:pt>
                <c:pt idx="50">
                  <c:v>150.13999999999999</c:v>
                </c:pt>
                <c:pt idx="51">
                  <c:v>150.30000000000001</c:v>
                </c:pt>
                <c:pt idx="52">
                  <c:v>150.1</c:v>
                </c:pt>
                <c:pt idx="53">
                  <c:v>149.6</c:v>
                </c:pt>
                <c:pt idx="54">
                  <c:v>148.94999999999999</c:v>
                </c:pt>
                <c:pt idx="55">
                  <c:v>148.29</c:v>
                </c:pt>
                <c:pt idx="56">
                  <c:v>148.1</c:v>
                </c:pt>
                <c:pt idx="57">
                  <c:v>147.63</c:v>
                </c:pt>
                <c:pt idx="58">
                  <c:v>147.13</c:v>
                </c:pt>
                <c:pt idx="59">
                  <c:v>146.78</c:v>
                </c:pt>
                <c:pt idx="60">
                  <c:v>146.44</c:v>
                </c:pt>
                <c:pt idx="61">
                  <c:v>146.16</c:v>
                </c:pt>
                <c:pt idx="62">
                  <c:v>145.69999999999999</c:v>
                </c:pt>
                <c:pt idx="63">
                  <c:v>145.55000000000001</c:v>
                </c:pt>
                <c:pt idx="64">
                  <c:v>145.78</c:v>
                </c:pt>
                <c:pt idx="65">
                  <c:v>145.66</c:v>
                </c:pt>
                <c:pt idx="66">
                  <c:v>145.16</c:v>
                </c:pt>
                <c:pt idx="67">
                  <c:v>144.35</c:v>
                </c:pt>
                <c:pt idx="68">
                  <c:v>144</c:v>
                </c:pt>
                <c:pt idx="69">
                  <c:v>143.69</c:v>
                </c:pt>
                <c:pt idx="70">
                  <c:v>143.31</c:v>
                </c:pt>
                <c:pt idx="71">
                  <c:v>142.84</c:v>
                </c:pt>
                <c:pt idx="72">
                  <c:v>142.34</c:v>
                </c:pt>
                <c:pt idx="73">
                  <c:v>142.11000000000001</c:v>
                </c:pt>
                <c:pt idx="74">
                  <c:v>141.72</c:v>
                </c:pt>
                <c:pt idx="75">
                  <c:v>141.44999999999999</c:v>
                </c:pt>
                <c:pt idx="76">
                  <c:v>141.57</c:v>
                </c:pt>
                <c:pt idx="77">
                  <c:v>141.84</c:v>
                </c:pt>
                <c:pt idx="78">
                  <c:v>141.69</c:v>
                </c:pt>
                <c:pt idx="79">
                  <c:v>141.11000000000001</c:v>
                </c:pt>
                <c:pt idx="80">
                  <c:v>140.30000000000001</c:v>
                </c:pt>
                <c:pt idx="81">
                  <c:v>139.83000000000001</c:v>
                </c:pt>
                <c:pt idx="82">
                  <c:v>139.44999999999999</c:v>
                </c:pt>
                <c:pt idx="83">
                  <c:v>139.02000000000001</c:v>
                </c:pt>
                <c:pt idx="84">
                  <c:v>138.6</c:v>
                </c:pt>
                <c:pt idx="85">
                  <c:v>138.29</c:v>
                </c:pt>
                <c:pt idx="86">
                  <c:v>137.86000000000001</c:v>
                </c:pt>
                <c:pt idx="87">
                  <c:v>137.55000000000001</c:v>
                </c:pt>
                <c:pt idx="88">
                  <c:v>137.21</c:v>
                </c:pt>
                <c:pt idx="89">
                  <c:v>137.55000000000001</c:v>
                </c:pt>
                <c:pt idx="90">
                  <c:v>137.9</c:v>
                </c:pt>
                <c:pt idx="91">
                  <c:v>137.71</c:v>
                </c:pt>
                <c:pt idx="92">
                  <c:v>137.09</c:v>
                </c:pt>
                <c:pt idx="93">
                  <c:v>136.12</c:v>
                </c:pt>
                <c:pt idx="94">
                  <c:v>135.66</c:v>
                </c:pt>
                <c:pt idx="95">
                  <c:v>135.28</c:v>
                </c:pt>
                <c:pt idx="96">
                  <c:v>134.85</c:v>
                </c:pt>
                <c:pt idx="97">
                  <c:v>134.38999999999999</c:v>
                </c:pt>
                <c:pt idx="98">
                  <c:v>134.08000000000001</c:v>
                </c:pt>
                <c:pt idx="99">
                  <c:v>133.72999999999999</c:v>
                </c:pt>
                <c:pt idx="100">
                  <c:v>133.38</c:v>
                </c:pt>
                <c:pt idx="101">
                  <c:v>133.27000000000001</c:v>
                </c:pt>
                <c:pt idx="102">
                  <c:v>133.72999999999999</c:v>
                </c:pt>
                <c:pt idx="103">
                  <c:v>134.12</c:v>
                </c:pt>
                <c:pt idx="104">
                  <c:v>133.88</c:v>
                </c:pt>
                <c:pt idx="105">
                  <c:v>133.27000000000001</c:v>
                </c:pt>
                <c:pt idx="106">
                  <c:v>132.34</c:v>
                </c:pt>
                <c:pt idx="107">
                  <c:v>131.88</c:v>
                </c:pt>
                <c:pt idx="108">
                  <c:v>131.44999999999999</c:v>
                </c:pt>
                <c:pt idx="109">
                  <c:v>131.07</c:v>
                </c:pt>
                <c:pt idx="110">
                  <c:v>130.72</c:v>
                </c:pt>
                <c:pt idx="111">
                  <c:v>130.41</c:v>
                </c:pt>
                <c:pt idx="112">
                  <c:v>130.06</c:v>
                </c:pt>
                <c:pt idx="113">
                  <c:v>129.75</c:v>
                </c:pt>
                <c:pt idx="114">
                  <c:v>129.94999999999999</c:v>
                </c:pt>
                <c:pt idx="115">
                  <c:v>130.68</c:v>
                </c:pt>
                <c:pt idx="116">
                  <c:v>130.72</c:v>
                </c:pt>
                <c:pt idx="117">
                  <c:v>130.44999999999999</c:v>
                </c:pt>
                <c:pt idx="118">
                  <c:v>129.63999999999999</c:v>
                </c:pt>
                <c:pt idx="119">
                  <c:v>128.83000000000001</c:v>
                </c:pt>
                <c:pt idx="120">
                  <c:v>128.32</c:v>
                </c:pt>
                <c:pt idx="121">
                  <c:v>127.82</c:v>
                </c:pt>
                <c:pt idx="122">
                  <c:v>127.51</c:v>
                </c:pt>
                <c:pt idx="123">
                  <c:v>127.13</c:v>
                </c:pt>
                <c:pt idx="124">
                  <c:v>126.82</c:v>
                </c:pt>
                <c:pt idx="125">
                  <c:v>126.39</c:v>
                </c:pt>
                <c:pt idx="126">
                  <c:v>126.24</c:v>
                </c:pt>
                <c:pt idx="127">
                  <c:v>126.97</c:v>
                </c:pt>
                <c:pt idx="128">
                  <c:v>127.47</c:v>
                </c:pt>
                <c:pt idx="129">
                  <c:v>127.36</c:v>
                </c:pt>
                <c:pt idx="130">
                  <c:v>127.01</c:v>
                </c:pt>
                <c:pt idx="131">
                  <c:v>126.16</c:v>
                </c:pt>
                <c:pt idx="132">
                  <c:v>125.5</c:v>
                </c:pt>
                <c:pt idx="133">
                  <c:v>125</c:v>
                </c:pt>
                <c:pt idx="134">
                  <c:v>124.54</c:v>
                </c:pt>
                <c:pt idx="135">
                  <c:v>124.11</c:v>
                </c:pt>
                <c:pt idx="136">
                  <c:v>123.77</c:v>
                </c:pt>
                <c:pt idx="137">
                  <c:v>123.42</c:v>
                </c:pt>
                <c:pt idx="138">
                  <c:v>123.07</c:v>
                </c:pt>
                <c:pt idx="139">
                  <c:v>122.88</c:v>
                </c:pt>
                <c:pt idx="140">
                  <c:v>123.77</c:v>
                </c:pt>
                <c:pt idx="141">
                  <c:v>124.04</c:v>
                </c:pt>
                <c:pt idx="142">
                  <c:v>123.88</c:v>
                </c:pt>
                <c:pt idx="143">
                  <c:v>123.3</c:v>
                </c:pt>
                <c:pt idx="144">
                  <c:v>122.49</c:v>
                </c:pt>
                <c:pt idx="145">
                  <c:v>121.99</c:v>
                </c:pt>
                <c:pt idx="146">
                  <c:v>121.41</c:v>
                </c:pt>
                <c:pt idx="147">
                  <c:v>120.99</c:v>
                </c:pt>
                <c:pt idx="148">
                  <c:v>120.56</c:v>
                </c:pt>
                <c:pt idx="149">
                  <c:v>120.25</c:v>
                </c:pt>
                <c:pt idx="150">
                  <c:v>119.91</c:v>
                </c:pt>
                <c:pt idx="151">
                  <c:v>119.64</c:v>
                </c:pt>
                <c:pt idx="152">
                  <c:v>119.6</c:v>
                </c:pt>
                <c:pt idx="153">
                  <c:v>120.37</c:v>
                </c:pt>
                <c:pt idx="154">
                  <c:v>120.56</c:v>
                </c:pt>
                <c:pt idx="155">
                  <c:v>120.37</c:v>
                </c:pt>
                <c:pt idx="156">
                  <c:v>119.75</c:v>
                </c:pt>
                <c:pt idx="157">
                  <c:v>118.98</c:v>
                </c:pt>
                <c:pt idx="158">
                  <c:v>118.44</c:v>
                </c:pt>
                <c:pt idx="159">
                  <c:v>118.01</c:v>
                </c:pt>
                <c:pt idx="160">
                  <c:v>117.63</c:v>
                </c:pt>
                <c:pt idx="161">
                  <c:v>117.28</c:v>
                </c:pt>
                <c:pt idx="162">
                  <c:v>116.97</c:v>
                </c:pt>
                <c:pt idx="163">
                  <c:v>116.66</c:v>
                </c:pt>
                <c:pt idx="164">
                  <c:v>116.39</c:v>
                </c:pt>
                <c:pt idx="165">
                  <c:v>116.7</c:v>
                </c:pt>
                <c:pt idx="166">
                  <c:v>117.51</c:v>
                </c:pt>
                <c:pt idx="167">
                  <c:v>117.43</c:v>
                </c:pt>
                <c:pt idx="168">
                  <c:v>117.13</c:v>
                </c:pt>
                <c:pt idx="169">
                  <c:v>116.39</c:v>
                </c:pt>
                <c:pt idx="170">
                  <c:v>115.7</c:v>
                </c:pt>
                <c:pt idx="171">
                  <c:v>115.31</c:v>
                </c:pt>
                <c:pt idx="172">
                  <c:v>114.89</c:v>
                </c:pt>
                <c:pt idx="173">
                  <c:v>114.5</c:v>
                </c:pt>
                <c:pt idx="174">
                  <c:v>114.23</c:v>
                </c:pt>
                <c:pt idx="175">
                  <c:v>113.92</c:v>
                </c:pt>
                <c:pt idx="176">
                  <c:v>113.65</c:v>
                </c:pt>
                <c:pt idx="177">
                  <c:v>113.5</c:v>
                </c:pt>
                <c:pt idx="178">
                  <c:v>114.27</c:v>
                </c:pt>
                <c:pt idx="179">
                  <c:v>114.65</c:v>
                </c:pt>
                <c:pt idx="180">
                  <c:v>114.73</c:v>
                </c:pt>
                <c:pt idx="181">
                  <c:v>114.38</c:v>
                </c:pt>
                <c:pt idx="182">
                  <c:v>113.73</c:v>
                </c:pt>
                <c:pt idx="183">
                  <c:v>113.15</c:v>
                </c:pt>
                <c:pt idx="184">
                  <c:v>112.57</c:v>
                </c:pt>
                <c:pt idx="185">
                  <c:v>112.1</c:v>
                </c:pt>
                <c:pt idx="186">
                  <c:v>111.72</c:v>
                </c:pt>
                <c:pt idx="187">
                  <c:v>111.41</c:v>
                </c:pt>
                <c:pt idx="188">
                  <c:v>111.06</c:v>
                </c:pt>
                <c:pt idx="189">
                  <c:v>110.79</c:v>
                </c:pt>
                <c:pt idx="190">
                  <c:v>110.91</c:v>
                </c:pt>
                <c:pt idx="191">
                  <c:v>111.8</c:v>
                </c:pt>
                <c:pt idx="192">
                  <c:v>111.99</c:v>
                </c:pt>
                <c:pt idx="193">
                  <c:v>111.99</c:v>
                </c:pt>
                <c:pt idx="194">
                  <c:v>111.72</c:v>
                </c:pt>
                <c:pt idx="195">
                  <c:v>111.22</c:v>
                </c:pt>
                <c:pt idx="196">
                  <c:v>110.6</c:v>
                </c:pt>
                <c:pt idx="197">
                  <c:v>109.98</c:v>
                </c:pt>
                <c:pt idx="198">
                  <c:v>109.4</c:v>
                </c:pt>
                <c:pt idx="199">
                  <c:v>109.09</c:v>
                </c:pt>
                <c:pt idx="200">
                  <c:v>108.82</c:v>
                </c:pt>
                <c:pt idx="201">
                  <c:v>108.51</c:v>
                </c:pt>
                <c:pt idx="202">
                  <c:v>108.24</c:v>
                </c:pt>
                <c:pt idx="203">
                  <c:v>108.82</c:v>
                </c:pt>
                <c:pt idx="204">
                  <c:v>109.48</c:v>
                </c:pt>
                <c:pt idx="205">
                  <c:v>109.75</c:v>
                </c:pt>
                <c:pt idx="206">
                  <c:v>109.71</c:v>
                </c:pt>
                <c:pt idx="207">
                  <c:v>109.05</c:v>
                </c:pt>
                <c:pt idx="208">
                  <c:v>108.36</c:v>
                </c:pt>
                <c:pt idx="209">
                  <c:v>107.7</c:v>
                </c:pt>
                <c:pt idx="210">
                  <c:v>107.08</c:v>
                </c:pt>
                <c:pt idx="211">
                  <c:v>106.7</c:v>
                </c:pt>
                <c:pt idx="212">
                  <c:v>106.47</c:v>
                </c:pt>
                <c:pt idx="213">
                  <c:v>106.2</c:v>
                </c:pt>
                <c:pt idx="214">
                  <c:v>105.81</c:v>
                </c:pt>
                <c:pt idx="215">
                  <c:v>105.85</c:v>
                </c:pt>
                <c:pt idx="216">
                  <c:v>106.93</c:v>
                </c:pt>
                <c:pt idx="217">
                  <c:v>107.32</c:v>
                </c:pt>
                <c:pt idx="218">
                  <c:v>107.47</c:v>
                </c:pt>
                <c:pt idx="219">
                  <c:v>106.93</c:v>
                </c:pt>
                <c:pt idx="220">
                  <c:v>106.31</c:v>
                </c:pt>
                <c:pt idx="221">
                  <c:v>105.58</c:v>
                </c:pt>
                <c:pt idx="222">
                  <c:v>105</c:v>
                </c:pt>
                <c:pt idx="223">
                  <c:v>104.34</c:v>
                </c:pt>
                <c:pt idx="224">
                  <c:v>103.96</c:v>
                </c:pt>
                <c:pt idx="225">
                  <c:v>103.61</c:v>
                </c:pt>
                <c:pt idx="226">
                  <c:v>103.38</c:v>
                </c:pt>
                <c:pt idx="227">
                  <c:v>103.11</c:v>
                </c:pt>
                <c:pt idx="228">
                  <c:v>103.53</c:v>
                </c:pt>
                <c:pt idx="229">
                  <c:v>104.5</c:v>
                </c:pt>
                <c:pt idx="230">
                  <c:v>105</c:v>
                </c:pt>
                <c:pt idx="231">
                  <c:v>104.88</c:v>
                </c:pt>
                <c:pt idx="232">
                  <c:v>104.19</c:v>
                </c:pt>
                <c:pt idx="233">
                  <c:v>103.49</c:v>
                </c:pt>
                <c:pt idx="234">
                  <c:v>102.95</c:v>
                </c:pt>
                <c:pt idx="235">
                  <c:v>102.37</c:v>
                </c:pt>
                <c:pt idx="236">
                  <c:v>101.79</c:v>
                </c:pt>
                <c:pt idx="237">
                  <c:v>101.29</c:v>
                </c:pt>
                <c:pt idx="238">
                  <c:v>100.94</c:v>
                </c:pt>
                <c:pt idx="239">
                  <c:v>100.67</c:v>
                </c:pt>
                <c:pt idx="240">
                  <c:v>100.33</c:v>
                </c:pt>
                <c:pt idx="241">
                  <c:v>100.87</c:v>
                </c:pt>
                <c:pt idx="242">
                  <c:v>101.95</c:v>
                </c:pt>
                <c:pt idx="243">
                  <c:v>102.3</c:v>
                </c:pt>
                <c:pt idx="244">
                  <c:v>102.06</c:v>
                </c:pt>
                <c:pt idx="245">
                  <c:v>101.45</c:v>
                </c:pt>
                <c:pt idx="246">
                  <c:v>100.79</c:v>
                </c:pt>
                <c:pt idx="247">
                  <c:v>100.33</c:v>
                </c:pt>
                <c:pt idx="248">
                  <c:v>99.82</c:v>
                </c:pt>
                <c:pt idx="249">
                  <c:v>99.32</c:v>
                </c:pt>
                <c:pt idx="250">
                  <c:v>98.86</c:v>
                </c:pt>
                <c:pt idx="251">
                  <c:v>98.43</c:v>
                </c:pt>
                <c:pt idx="252">
                  <c:v>98.16</c:v>
                </c:pt>
                <c:pt idx="253">
                  <c:v>98.01</c:v>
                </c:pt>
                <c:pt idx="254">
                  <c:v>98.94</c:v>
                </c:pt>
                <c:pt idx="255">
                  <c:v>99.71</c:v>
                </c:pt>
                <c:pt idx="256">
                  <c:v>99.67</c:v>
                </c:pt>
                <c:pt idx="257">
                  <c:v>99.32</c:v>
                </c:pt>
                <c:pt idx="258">
                  <c:v>98.7</c:v>
                </c:pt>
                <c:pt idx="259">
                  <c:v>98.28</c:v>
                </c:pt>
                <c:pt idx="260">
                  <c:v>97.93</c:v>
                </c:pt>
                <c:pt idx="261">
                  <c:v>97.47</c:v>
                </c:pt>
                <c:pt idx="262">
                  <c:v>96.93</c:v>
                </c:pt>
                <c:pt idx="263">
                  <c:v>96.47</c:v>
                </c:pt>
                <c:pt idx="264">
                  <c:v>95.96</c:v>
                </c:pt>
                <c:pt idx="265">
                  <c:v>95.69</c:v>
                </c:pt>
                <c:pt idx="266">
                  <c:v>95.96</c:v>
                </c:pt>
                <c:pt idx="267">
                  <c:v>97.16</c:v>
                </c:pt>
                <c:pt idx="268">
                  <c:v>97.58</c:v>
                </c:pt>
                <c:pt idx="269">
                  <c:v>97.47</c:v>
                </c:pt>
                <c:pt idx="270">
                  <c:v>96.93</c:v>
                </c:pt>
                <c:pt idx="271">
                  <c:v>96.47</c:v>
                </c:pt>
                <c:pt idx="272">
                  <c:v>96.08</c:v>
                </c:pt>
                <c:pt idx="273">
                  <c:v>95.69</c:v>
                </c:pt>
                <c:pt idx="274">
                  <c:v>95.31</c:v>
                </c:pt>
                <c:pt idx="275">
                  <c:v>94.84</c:v>
                </c:pt>
                <c:pt idx="276">
                  <c:v>94.3</c:v>
                </c:pt>
                <c:pt idx="277">
                  <c:v>93.84</c:v>
                </c:pt>
                <c:pt idx="278">
                  <c:v>93.45</c:v>
                </c:pt>
                <c:pt idx="279">
                  <c:v>94.03</c:v>
                </c:pt>
                <c:pt idx="280">
                  <c:v>95.11</c:v>
                </c:pt>
                <c:pt idx="281">
                  <c:v>95.19</c:v>
                </c:pt>
                <c:pt idx="282">
                  <c:v>94.92</c:v>
                </c:pt>
                <c:pt idx="283">
                  <c:v>94.42</c:v>
                </c:pt>
                <c:pt idx="284">
                  <c:v>94.11</c:v>
                </c:pt>
                <c:pt idx="285">
                  <c:v>93.72</c:v>
                </c:pt>
                <c:pt idx="286">
                  <c:v>93.45</c:v>
                </c:pt>
                <c:pt idx="287">
                  <c:v>92.99</c:v>
                </c:pt>
                <c:pt idx="288">
                  <c:v>92.49</c:v>
                </c:pt>
                <c:pt idx="289">
                  <c:v>92.06</c:v>
                </c:pt>
                <c:pt idx="290">
                  <c:v>91.64</c:v>
                </c:pt>
                <c:pt idx="291">
                  <c:v>91.44</c:v>
                </c:pt>
                <c:pt idx="292">
                  <c:v>92.22</c:v>
                </c:pt>
                <c:pt idx="293">
                  <c:v>92.84</c:v>
                </c:pt>
                <c:pt idx="294">
                  <c:v>92.87</c:v>
                </c:pt>
                <c:pt idx="295">
                  <c:v>92.56</c:v>
                </c:pt>
                <c:pt idx="296">
                  <c:v>92.1</c:v>
                </c:pt>
                <c:pt idx="297">
                  <c:v>91.79</c:v>
                </c:pt>
                <c:pt idx="298">
                  <c:v>91.56</c:v>
                </c:pt>
                <c:pt idx="299">
                  <c:v>91.17</c:v>
                </c:pt>
                <c:pt idx="300">
                  <c:v>90.83</c:v>
                </c:pt>
                <c:pt idx="301">
                  <c:v>90.44</c:v>
                </c:pt>
                <c:pt idx="302">
                  <c:v>90.13</c:v>
                </c:pt>
                <c:pt idx="303">
                  <c:v>89.67</c:v>
                </c:pt>
                <c:pt idx="304">
                  <c:v>89.9</c:v>
                </c:pt>
                <c:pt idx="305">
                  <c:v>90.75</c:v>
                </c:pt>
                <c:pt idx="306">
                  <c:v>90.87</c:v>
                </c:pt>
                <c:pt idx="307">
                  <c:v>90.75</c:v>
                </c:pt>
                <c:pt idx="308">
                  <c:v>90.29</c:v>
                </c:pt>
                <c:pt idx="309">
                  <c:v>89.94</c:v>
                </c:pt>
                <c:pt idx="310">
                  <c:v>89.71</c:v>
                </c:pt>
                <c:pt idx="311">
                  <c:v>89.51</c:v>
                </c:pt>
                <c:pt idx="312">
                  <c:v>89.13</c:v>
                </c:pt>
                <c:pt idx="313">
                  <c:v>88.78</c:v>
                </c:pt>
                <c:pt idx="314">
                  <c:v>88.39</c:v>
                </c:pt>
                <c:pt idx="315">
                  <c:v>88.01</c:v>
                </c:pt>
                <c:pt idx="316">
                  <c:v>87.78</c:v>
                </c:pt>
                <c:pt idx="317">
                  <c:v>88.28</c:v>
                </c:pt>
                <c:pt idx="318">
                  <c:v>88.78</c:v>
                </c:pt>
                <c:pt idx="319">
                  <c:v>88.9</c:v>
                </c:pt>
                <c:pt idx="320">
                  <c:v>88.63</c:v>
                </c:pt>
                <c:pt idx="321">
                  <c:v>88.16</c:v>
                </c:pt>
                <c:pt idx="322">
                  <c:v>87.97</c:v>
                </c:pt>
                <c:pt idx="323">
                  <c:v>87.74</c:v>
                </c:pt>
                <c:pt idx="324">
                  <c:v>87.39</c:v>
                </c:pt>
                <c:pt idx="325">
                  <c:v>87.04</c:v>
                </c:pt>
                <c:pt idx="326">
                  <c:v>86.81</c:v>
                </c:pt>
                <c:pt idx="327">
                  <c:v>86.39</c:v>
                </c:pt>
                <c:pt idx="328">
                  <c:v>86.04</c:v>
                </c:pt>
                <c:pt idx="329">
                  <c:v>85.77</c:v>
                </c:pt>
                <c:pt idx="330">
                  <c:v>86.46</c:v>
                </c:pt>
                <c:pt idx="331">
                  <c:v>86.81</c:v>
                </c:pt>
                <c:pt idx="332">
                  <c:v>86.77</c:v>
                </c:pt>
                <c:pt idx="333">
                  <c:v>86.5</c:v>
                </c:pt>
                <c:pt idx="334">
                  <c:v>86.12</c:v>
                </c:pt>
                <c:pt idx="335">
                  <c:v>85.88</c:v>
                </c:pt>
                <c:pt idx="336">
                  <c:v>85.61</c:v>
                </c:pt>
                <c:pt idx="337">
                  <c:v>85.34</c:v>
                </c:pt>
                <c:pt idx="338">
                  <c:v>85</c:v>
                </c:pt>
                <c:pt idx="339">
                  <c:v>84.57</c:v>
                </c:pt>
                <c:pt idx="340">
                  <c:v>84.26</c:v>
                </c:pt>
                <c:pt idx="341">
                  <c:v>84.03</c:v>
                </c:pt>
                <c:pt idx="342">
                  <c:v>83.61</c:v>
                </c:pt>
                <c:pt idx="343">
                  <c:v>84.11</c:v>
                </c:pt>
                <c:pt idx="344">
                  <c:v>84.57</c:v>
                </c:pt>
                <c:pt idx="345">
                  <c:v>84.57</c:v>
                </c:pt>
                <c:pt idx="346">
                  <c:v>84.42</c:v>
                </c:pt>
                <c:pt idx="347">
                  <c:v>84.07</c:v>
                </c:pt>
                <c:pt idx="348">
                  <c:v>83.84</c:v>
                </c:pt>
                <c:pt idx="349">
                  <c:v>83.68</c:v>
                </c:pt>
                <c:pt idx="350">
                  <c:v>83.41</c:v>
                </c:pt>
                <c:pt idx="351">
                  <c:v>83.1</c:v>
                </c:pt>
                <c:pt idx="352">
                  <c:v>82.83</c:v>
                </c:pt>
                <c:pt idx="353">
                  <c:v>82.64</c:v>
                </c:pt>
                <c:pt idx="354">
                  <c:v>82.33</c:v>
                </c:pt>
                <c:pt idx="355">
                  <c:v>82.18</c:v>
                </c:pt>
                <c:pt idx="356">
                  <c:v>82.41</c:v>
                </c:pt>
                <c:pt idx="357">
                  <c:v>74.180000000000007</c:v>
                </c:pt>
                <c:pt idx="358">
                  <c:v>67.89</c:v>
                </c:pt>
                <c:pt idx="359">
                  <c:v>62.48</c:v>
                </c:pt>
                <c:pt idx="360">
                  <c:v>57.85</c:v>
                </c:pt>
                <c:pt idx="361">
                  <c:v>53.75</c:v>
                </c:pt>
                <c:pt idx="362">
                  <c:v>50.01</c:v>
                </c:pt>
                <c:pt idx="363">
                  <c:v>46.61</c:v>
                </c:pt>
                <c:pt idx="364">
                  <c:v>43.44</c:v>
                </c:pt>
                <c:pt idx="365">
                  <c:v>40.590000000000003</c:v>
                </c:pt>
                <c:pt idx="366">
                  <c:v>38.04</c:v>
                </c:pt>
                <c:pt idx="367">
                  <c:v>35.57</c:v>
                </c:pt>
                <c:pt idx="368">
                  <c:v>33.479999999999997</c:v>
                </c:pt>
                <c:pt idx="369">
                  <c:v>31.7</c:v>
                </c:pt>
                <c:pt idx="370">
                  <c:v>29.85</c:v>
                </c:pt>
                <c:pt idx="371">
                  <c:v>28.15</c:v>
                </c:pt>
                <c:pt idx="372">
                  <c:v>26.45</c:v>
                </c:pt>
                <c:pt idx="373">
                  <c:v>24.91</c:v>
                </c:pt>
                <c:pt idx="374">
                  <c:v>23.59</c:v>
                </c:pt>
                <c:pt idx="375">
                  <c:v>22.2</c:v>
                </c:pt>
                <c:pt idx="376">
                  <c:v>21.01</c:v>
                </c:pt>
                <c:pt idx="377">
                  <c:v>20</c:v>
                </c:pt>
                <c:pt idx="378">
                  <c:v>18.96</c:v>
                </c:pt>
                <c:pt idx="379">
                  <c:v>18</c:v>
                </c:pt>
                <c:pt idx="380">
                  <c:v>17.07</c:v>
                </c:pt>
                <c:pt idx="381">
                  <c:v>16.41</c:v>
                </c:pt>
                <c:pt idx="382">
                  <c:v>15.68</c:v>
                </c:pt>
                <c:pt idx="383">
                  <c:v>15.02</c:v>
                </c:pt>
                <c:pt idx="384">
                  <c:v>14.48</c:v>
                </c:pt>
                <c:pt idx="385">
                  <c:v>13.86</c:v>
                </c:pt>
                <c:pt idx="386">
                  <c:v>13.21</c:v>
                </c:pt>
                <c:pt idx="387">
                  <c:v>12.67</c:v>
                </c:pt>
                <c:pt idx="388">
                  <c:v>12.09</c:v>
                </c:pt>
                <c:pt idx="389">
                  <c:v>11.59</c:v>
                </c:pt>
                <c:pt idx="390">
                  <c:v>11.04</c:v>
                </c:pt>
                <c:pt idx="391">
                  <c:v>10.58</c:v>
                </c:pt>
                <c:pt idx="392">
                  <c:v>10.16</c:v>
                </c:pt>
                <c:pt idx="393">
                  <c:v>9.69</c:v>
                </c:pt>
                <c:pt idx="394">
                  <c:v>9.42</c:v>
                </c:pt>
                <c:pt idx="395">
                  <c:v>9.0399999999999991</c:v>
                </c:pt>
                <c:pt idx="396">
                  <c:v>8.8000000000000007</c:v>
                </c:pt>
                <c:pt idx="397">
                  <c:v>8.4600000000000009</c:v>
                </c:pt>
                <c:pt idx="398">
                  <c:v>8.26</c:v>
                </c:pt>
                <c:pt idx="399">
                  <c:v>7.92</c:v>
                </c:pt>
                <c:pt idx="400">
                  <c:v>7.68</c:v>
                </c:pt>
                <c:pt idx="401">
                  <c:v>7.38</c:v>
                </c:pt>
                <c:pt idx="402">
                  <c:v>7.18</c:v>
                </c:pt>
                <c:pt idx="403">
                  <c:v>6.91</c:v>
                </c:pt>
                <c:pt idx="404">
                  <c:v>6.72</c:v>
                </c:pt>
                <c:pt idx="405">
                  <c:v>6.53</c:v>
                </c:pt>
                <c:pt idx="406">
                  <c:v>6.41</c:v>
                </c:pt>
                <c:pt idx="407">
                  <c:v>6.18</c:v>
                </c:pt>
                <c:pt idx="408">
                  <c:v>6.02</c:v>
                </c:pt>
                <c:pt idx="409">
                  <c:v>5.83</c:v>
                </c:pt>
                <c:pt idx="410">
                  <c:v>5.6</c:v>
                </c:pt>
                <c:pt idx="411">
                  <c:v>5.41</c:v>
                </c:pt>
                <c:pt idx="412">
                  <c:v>5.29</c:v>
                </c:pt>
                <c:pt idx="413">
                  <c:v>5.0599999999999996</c:v>
                </c:pt>
                <c:pt idx="414">
                  <c:v>4.9000000000000004</c:v>
                </c:pt>
                <c:pt idx="415">
                  <c:v>4.75</c:v>
                </c:pt>
                <c:pt idx="416">
                  <c:v>4.67</c:v>
                </c:pt>
                <c:pt idx="417">
                  <c:v>4.5199999999999996</c:v>
                </c:pt>
                <c:pt idx="418">
                  <c:v>4.3600000000000003</c:v>
                </c:pt>
                <c:pt idx="419">
                  <c:v>4.25</c:v>
                </c:pt>
                <c:pt idx="420">
                  <c:v>4.13</c:v>
                </c:pt>
                <c:pt idx="421">
                  <c:v>4.05</c:v>
                </c:pt>
                <c:pt idx="422">
                  <c:v>3.98</c:v>
                </c:pt>
                <c:pt idx="423">
                  <c:v>3.9</c:v>
                </c:pt>
                <c:pt idx="424">
                  <c:v>3.86</c:v>
                </c:pt>
                <c:pt idx="425">
                  <c:v>3.75</c:v>
                </c:pt>
                <c:pt idx="426">
                  <c:v>3.63</c:v>
                </c:pt>
                <c:pt idx="427">
                  <c:v>3.51</c:v>
                </c:pt>
                <c:pt idx="428">
                  <c:v>3.48</c:v>
                </c:pt>
                <c:pt idx="429">
                  <c:v>3.36</c:v>
                </c:pt>
                <c:pt idx="430">
                  <c:v>3.36</c:v>
                </c:pt>
                <c:pt idx="431">
                  <c:v>3.28</c:v>
                </c:pt>
                <c:pt idx="432">
                  <c:v>3.13</c:v>
                </c:pt>
                <c:pt idx="433">
                  <c:v>3.05</c:v>
                </c:pt>
                <c:pt idx="434">
                  <c:v>2.93</c:v>
                </c:pt>
                <c:pt idx="435">
                  <c:v>2.86</c:v>
                </c:pt>
                <c:pt idx="436">
                  <c:v>2.74</c:v>
                </c:pt>
                <c:pt idx="437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F-4E09-8041-66776D4D31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Hoja2!$AN$2:$AN$439</c:f>
              <c:numCache>
                <c:formatCode>General</c:formatCode>
                <c:ptCount val="4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</c:numCache>
            </c:numRef>
          </c:xVal>
          <c:yVal>
            <c:numRef>
              <c:f>Hoja2!$AP$2:$AP$439</c:f>
              <c:numCache>
                <c:formatCode>General</c:formatCode>
                <c:ptCount val="438"/>
                <c:pt idx="1">
                  <c:v>13.000000000000114</c:v>
                </c:pt>
                <c:pt idx="2">
                  <c:v>8.599999999999568</c:v>
                </c:pt>
                <c:pt idx="3">
                  <c:v>10.800000000000409</c:v>
                </c:pt>
                <c:pt idx="4">
                  <c:v>19.199999999999591</c:v>
                </c:pt>
                <c:pt idx="5">
                  <c:v>9.3999999999999773</c:v>
                </c:pt>
                <c:pt idx="6">
                  <c:v>13.000000000000114</c:v>
                </c:pt>
                <c:pt idx="7">
                  <c:v>19.399999999999977</c:v>
                </c:pt>
                <c:pt idx="8">
                  <c:v>8.4000000000003183</c:v>
                </c:pt>
                <c:pt idx="9">
                  <c:v>15.600000000000023</c:v>
                </c:pt>
                <c:pt idx="10">
                  <c:v>16.200000000000045</c:v>
                </c:pt>
                <c:pt idx="11">
                  <c:v>7.5999999999999091</c:v>
                </c:pt>
                <c:pt idx="12">
                  <c:v>18.599999999999568</c:v>
                </c:pt>
                <c:pt idx="13">
                  <c:v>1.6000000000002501</c:v>
                </c:pt>
                <c:pt idx="14">
                  <c:v>-13.999999999999773</c:v>
                </c:pt>
                <c:pt idx="15">
                  <c:v>-16.200000000000045</c:v>
                </c:pt>
                <c:pt idx="16">
                  <c:v>-19.200000000000159</c:v>
                </c:pt>
                <c:pt idx="17">
                  <c:v>-11.60000000000025</c:v>
                </c:pt>
                <c:pt idx="18">
                  <c:v>-14.799999999999613</c:v>
                </c:pt>
                <c:pt idx="19">
                  <c:v>-13.000000000000114</c:v>
                </c:pt>
                <c:pt idx="20">
                  <c:v>-12.400000000000091</c:v>
                </c:pt>
                <c:pt idx="21">
                  <c:v>-11.599999999999682</c:v>
                </c:pt>
                <c:pt idx="22">
                  <c:v>-12.400000000000091</c:v>
                </c:pt>
                <c:pt idx="23">
                  <c:v>-10.800000000000409</c:v>
                </c:pt>
                <c:pt idx="24">
                  <c:v>-11.599999999999682</c:v>
                </c:pt>
                <c:pt idx="25">
                  <c:v>-1.6000000000002501</c:v>
                </c:pt>
                <c:pt idx="26">
                  <c:v>-7.5999999999999091</c:v>
                </c:pt>
                <c:pt idx="27">
                  <c:v>-12.400000000000091</c:v>
                </c:pt>
                <c:pt idx="28">
                  <c:v>-10</c:v>
                </c:pt>
                <c:pt idx="29">
                  <c:v>-12.400000000000091</c:v>
                </c:pt>
                <c:pt idx="30">
                  <c:v>-8.3999999999997499</c:v>
                </c:pt>
                <c:pt idx="31">
                  <c:v>-11.000000000000227</c:v>
                </c:pt>
                <c:pt idx="32">
                  <c:v>-10.799999999999841</c:v>
                </c:pt>
                <c:pt idx="33">
                  <c:v>-7.5999999999999091</c:v>
                </c:pt>
                <c:pt idx="34">
                  <c:v>-11.60000000000025</c:v>
                </c:pt>
                <c:pt idx="35">
                  <c:v>-9.1999999999995907</c:v>
                </c:pt>
                <c:pt idx="36">
                  <c:v>-7.8000000000002956</c:v>
                </c:pt>
                <c:pt idx="37">
                  <c:v>-7.7999999999997272</c:v>
                </c:pt>
                <c:pt idx="38">
                  <c:v>0.79999999999984084</c:v>
                </c:pt>
                <c:pt idx="39">
                  <c:v>-5.4000000000002046</c:v>
                </c:pt>
                <c:pt idx="40">
                  <c:v>-10</c:v>
                </c:pt>
                <c:pt idx="41">
                  <c:v>-10</c:v>
                </c:pt>
                <c:pt idx="42">
                  <c:v>-13.199999999999932</c:v>
                </c:pt>
                <c:pt idx="43">
                  <c:v>-8.3999999999997499</c:v>
                </c:pt>
                <c:pt idx="44">
                  <c:v>-8.6000000000001364</c:v>
                </c:pt>
                <c:pt idx="45">
                  <c:v>-8.3999999999997499</c:v>
                </c:pt>
                <c:pt idx="46">
                  <c:v>-10.800000000000409</c:v>
                </c:pt>
                <c:pt idx="47">
                  <c:v>-7.7999999999997272</c:v>
                </c:pt>
                <c:pt idx="48">
                  <c:v>-8.6000000000001364</c:v>
                </c:pt>
                <c:pt idx="49">
                  <c:v>-8.3999999999997499</c:v>
                </c:pt>
                <c:pt idx="50">
                  <c:v>-7.0000000000004547</c:v>
                </c:pt>
                <c:pt idx="51">
                  <c:v>3.2000000000005002</c:v>
                </c:pt>
                <c:pt idx="52">
                  <c:v>-4.0000000000003411</c:v>
                </c:pt>
                <c:pt idx="53">
                  <c:v>-10</c:v>
                </c:pt>
                <c:pt idx="54">
                  <c:v>-13.000000000000114</c:v>
                </c:pt>
                <c:pt idx="55">
                  <c:v>-13.199999999999932</c:v>
                </c:pt>
                <c:pt idx="56">
                  <c:v>-3.7999999999999545</c:v>
                </c:pt>
                <c:pt idx="57">
                  <c:v>-9.3999999999999773</c:v>
                </c:pt>
                <c:pt idx="58">
                  <c:v>-10</c:v>
                </c:pt>
                <c:pt idx="59">
                  <c:v>-6.9999999999998863</c:v>
                </c:pt>
                <c:pt idx="60">
                  <c:v>-6.8000000000000682</c:v>
                </c:pt>
                <c:pt idx="61">
                  <c:v>-5.6000000000000227</c:v>
                </c:pt>
                <c:pt idx="62">
                  <c:v>-9.2000000000001592</c:v>
                </c:pt>
                <c:pt idx="63">
                  <c:v>-2.9999999999995453</c:v>
                </c:pt>
                <c:pt idx="64">
                  <c:v>4.5999999999997954</c:v>
                </c:pt>
                <c:pt idx="65">
                  <c:v>-2.4000000000000909</c:v>
                </c:pt>
                <c:pt idx="66">
                  <c:v>-10</c:v>
                </c:pt>
                <c:pt idx="67">
                  <c:v>-16.200000000000045</c:v>
                </c:pt>
                <c:pt idx="68">
                  <c:v>-6.9999999999998863</c:v>
                </c:pt>
                <c:pt idx="69">
                  <c:v>-6.2000000000000455</c:v>
                </c:pt>
                <c:pt idx="70">
                  <c:v>-7.5999999999999091</c:v>
                </c:pt>
                <c:pt idx="71">
                  <c:v>-9.3999999999999773</c:v>
                </c:pt>
                <c:pt idx="72">
                  <c:v>-10</c:v>
                </c:pt>
                <c:pt idx="73">
                  <c:v>-4.5999999999997954</c:v>
                </c:pt>
                <c:pt idx="74">
                  <c:v>-7.8000000000002956</c:v>
                </c:pt>
                <c:pt idx="75">
                  <c:v>-5.4000000000002046</c:v>
                </c:pt>
                <c:pt idx="76">
                  <c:v>2.4000000000000909</c:v>
                </c:pt>
                <c:pt idx="77">
                  <c:v>5.4000000000002046</c:v>
                </c:pt>
                <c:pt idx="78">
                  <c:v>-3.0000000000001137</c:v>
                </c:pt>
                <c:pt idx="79">
                  <c:v>-11.599999999999682</c:v>
                </c:pt>
                <c:pt idx="80">
                  <c:v>-16.200000000000045</c:v>
                </c:pt>
                <c:pt idx="81">
                  <c:v>-9.3999999999999773</c:v>
                </c:pt>
                <c:pt idx="82">
                  <c:v>-7.6000000000004775</c:v>
                </c:pt>
                <c:pt idx="83">
                  <c:v>-8.599999999999568</c:v>
                </c:pt>
                <c:pt idx="84">
                  <c:v>-8.4000000000003183</c:v>
                </c:pt>
                <c:pt idx="85">
                  <c:v>-6.2000000000000455</c:v>
                </c:pt>
                <c:pt idx="86">
                  <c:v>-8.599999999999568</c:v>
                </c:pt>
                <c:pt idx="87">
                  <c:v>-6.2000000000000455</c:v>
                </c:pt>
                <c:pt idx="88">
                  <c:v>-6.8000000000000682</c:v>
                </c:pt>
                <c:pt idx="89">
                  <c:v>6.8000000000000682</c:v>
                </c:pt>
                <c:pt idx="90">
                  <c:v>6.9999999999998863</c:v>
                </c:pt>
                <c:pt idx="91">
                  <c:v>-3.7999999999999545</c:v>
                </c:pt>
                <c:pt idx="92">
                  <c:v>-12.400000000000091</c:v>
                </c:pt>
                <c:pt idx="93">
                  <c:v>-19.399999999999977</c:v>
                </c:pt>
                <c:pt idx="94">
                  <c:v>-9.2000000000001592</c:v>
                </c:pt>
                <c:pt idx="95">
                  <c:v>-7.5999999999999091</c:v>
                </c:pt>
                <c:pt idx="96">
                  <c:v>-8.6000000000001364</c:v>
                </c:pt>
                <c:pt idx="97">
                  <c:v>-9.2000000000001592</c:v>
                </c:pt>
                <c:pt idx="98">
                  <c:v>-6.199999999999477</c:v>
                </c:pt>
                <c:pt idx="99">
                  <c:v>-7.0000000000004547</c:v>
                </c:pt>
                <c:pt idx="100">
                  <c:v>-6.9999999999998863</c:v>
                </c:pt>
                <c:pt idx="101">
                  <c:v>-2.1999999999997044</c:v>
                </c:pt>
                <c:pt idx="102">
                  <c:v>9.1999999999995907</c:v>
                </c:pt>
                <c:pt idx="103">
                  <c:v>7.8000000000002956</c:v>
                </c:pt>
                <c:pt idx="104">
                  <c:v>-4.8000000000001819</c:v>
                </c:pt>
                <c:pt idx="105">
                  <c:v>-12.199999999999704</c:v>
                </c:pt>
                <c:pt idx="106">
                  <c:v>-18.600000000000136</c:v>
                </c:pt>
                <c:pt idx="107">
                  <c:v>-9.2000000000001592</c:v>
                </c:pt>
                <c:pt idx="108">
                  <c:v>-8.6000000000001364</c:v>
                </c:pt>
                <c:pt idx="109">
                  <c:v>-7.5999999999999091</c:v>
                </c:pt>
                <c:pt idx="110">
                  <c:v>-6.9999999999998863</c:v>
                </c:pt>
                <c:pt idx="111">
                  <c:v>-6.2000000000000455</c:v>
                </c:pt>
                <c:pt idx="112">
                  <c:v>-6.9999999999998863</c:v>
                </c:pt>
                <c:pt idx="113">
                  <c:v>-6.2000000000000455</c:v>
                </c:pt>
                <c:pt idx="114">
                  <c:v>3.9999999999997726</c:v>
                </c:pt>
                <c:pt idx="115">
                  <c:v>14.600000000000364</c:v>
                </c:pt>
                <c:pt idx="116">
                  <c:v>0.79999999999984084</c:v>
                </c:pt>
                <c:pt idx="117">
                  <c:v>-5.4000000000002046</c:v>
                </c:pt>
                <c:pt idx="118">
                  <c:v>-16.200000000000045</c:v>
                </c:pt>
                <c:pt idx="119">
                  <c:v>-16.199999999999477</c:v>
                </c:pt>
                <c:pt idx="120">
                  <c:v>-10.200000000000387</c:v>
                </c:pt>
                <c:pt idx="121">
                  <c:v>-10</c:v>
                </c:pt>
                <c:pt idx="122">
                  <c:v>-6.1999999999997613</c:v>
                </c:pt>
                <c:pt idx="123">
                  <c:v>-7.6000000000001933</c:v>
                </c:pt>
                <c:pt idx="124">
                  <c:v>-6.2000000000000455</c:v>
                </c:pt>
                <c:pt idx="125">
                  <c:v>-8.5999999999998522</c:v>
                </c:pt>
                <c:pt idx="126">
                  <c:v>-3.0000000000001137</c:v>
                </c:pt>
                <c:pt idx="127">
                  <c:v>14.60000000000008</c:v>
                </c:pt>
                <c:pt idx="128">
                  <c:v>10</c:v>
                </c:pt>
                <c:pt idx="129">
                  <c:v>-2.1999999999999886</c:v>
                </c:pt>
                <c:pt idx="130">
                  <c:v>-6.9999999999998863</c:v>
                </c:pt>
                <c:pt idx="131">
                  <c:v>-17.000000000000171</c:v>
                </c:pt>
                <c:pt idx="132">
                  <c:v>-13.199999999999932</c:v>
                </c:pt>
                <c:pt idx="133">
                  <c:v>-10</c:v>
                </c:pt>
                <c:pt idx="134">
                  <c:v>-9.1999999999998749</c:v>
                </c:pt>
                <c:pt idx="135">
                  <c:v>-8.6000000000001364</c:v>
                </c:pt>
                <c:pt idx="136">
                  <c:v>-6.8000000000000682</c:v>
                </c:pt>
                <c:pt idx="137">
                  <c:v>-6.9999999999998863</c:v>
                </c:pt>
                <c:pt idx="138">
                  <c:v>-7.0000000000001705</c:v>
                </c:pt>
                <c:pt idx="139">
                  <c:v>-3.7999999999999545</c:v>
                </c:pt>
                <c:pt idx="140">
                  <c:v>17.800000000000011</c:v>
                </c:pt>
                <c:pt idx="141">
                  <c:v>5.4000000000002046</c:v>
                </c:pt>
                <c:pt idx="142">
                  <c:v>-3.200000000000216</c:v>
                </c:pt>
                <c:pt idx="143">
                  <c:v>-11.599999999999966</c:v>
                </c:pt>
                <c:pt idx="144">
                  <c:v>-16.200000000000045</c:v>
                </c:pt>
                <c:pt idx="145">
                  <c:v>-10</c:v>
                </c:pt>
                <c:pt idx="146">
                  <c:v>-11.599999999999966</c:v>
                </c:pt>
                <c:pt idx="147">
                  <c:v>-8.4000000000000341</c:v>
                </c:pt>
                <c:pt idx="148">
                  <c:v>-8.5999999999998522</c:v>
                </c:pt>
                <c:pt idx="149">
                  <c:v>-6.2000000000000455</c:v>
                </c:pt>
                <c:pt idx="150">
                  <c:v>-6.8000000000000682</c:v>
                </c:pt>
                <c:pt idx="151">
                  <c:v>-5.3999999999999204</c:v>
                </c:pt>
                <c:pt idx="152">
                  <c:v>-0.80000000000012506</c:v>
                </c:pt>
                <c:pt idx="153">
                  <c:v>15.400000000000205</c:v>
                </c:pt>
                <c:pt idx="154">
                  <c:v>3.7999999999999545</c:v>
                </c:pt>
                <c:pt idx="155">
                  <c:v>-3.7999999999999545</c:v>
                </c:pt>
                <c:pt idx="156">
                  <c:v>-12.400000000000091</c:v>
                </c:pt>
                <c:pt idx="157">
                  <c:v>-15.39999999999992</c:v>
                </c:pt>
                <c:pt idx="158">
                  <c:v>-10.800000000000125</c:v>
                </c:pt>
                <c:pt idx="159">
                  <c:v>-8.5999999999998522</c:v>
                </c:pt>
                <c:pt idx="160">
                  <c:v>-7.6000000000001933</c:v>
                </c:pt>
                <c:pt idx="161">
                  <c:v>-6.9999999999998863</c:v>
                </c:pt>
                <c:pt idx="162">
                  <c:v>-6.2000000000000455</c:v>
                </c:pt>
                <c:pt idx="163">
                  <c:v>-6.2000000000000455</c:v>
                </c:pt>
                <c:pt idx="164">
                  <c:v>-5.3999999999999204</c:v>
                </c:pt>
                <c:pt idx="165">
                  <c:v>6.2000000000000455</c:v>
                </c:pt>
                <c:pt idx="166">
                  <c:v>16.200000000000045</c:v>
                </c:pt>
                <c:pt idx="167">
                  <c:v>-1.5999999999999659</c:v>
                </c:pt>
                <c:pt idx="168">
                  <c:v>-6.0000000000002274</c:v>
                </c:pt>
                <c:pt idx="169">
                  <c:v>-14.799999999999898</c:v>
                </c:pt>
                <c:pt idx="170">
                  <c:v>-13.799999999999955</c:v>
                </c:pt>
                <c:pt idx="171">
                  <c:v>-7.8000000000000114</c:v>
                </c:pt>
                <c:pt idx="172">
                  <c:v>-8.4000000000000341</c:v>
                </c:pt>
                <c:pt idx="173">
                  <c:v>-7.8000000000000114</c:v>
                </c:pt>
                <c:pt idx="174">
                  <c:v>-5.3999999999999204</c:v>
                </c:pt>
                <c:pt idx="175">
                  <c:v>-6.2000000000000455</c:v>
                </c:pt>
                <c:pt idx="176">
                  <c:v>-5.3999999999999204</c:v>
                </c:pt>
                <c:pt idx="177">
                  <c:v>-3.0000000000001137</c:v>
                </c:pt>
                <c:pt idx="178">
                  <c:v>15.39999999999992</c:v>
                </c:pt>
                <c:pt idx="179">
                  <c:v>7.6000000000001933</c:v>
                </c:pt>
                <c:pt idx="180">
                  <c:v>1.5999999999999659</c:v>
                </c:pt>
                <c:pt idx="181">
                  <c:v>-7.0000000000001705</c:v>
                </c:pt>
                <c:pt idx="182">
                  <c:v>-12.999999999999829</c:v>
                </c:pt>
                <c:pt idx="183">
                  <c:v>-11.599999999999966</c:v>
                </c:pt>
                <c:pt idx="184">
                  <c:v>-11.60000000000025</c:v>
                </c:pt>
                <c:pt idx="185">
                  <c:v>-9.3999999999999773</c:v>
                </c:pt>
                <c:pt idx="186">
                  <c:v>-7.5999999999999091</c:v>
                </c:pt>
                <c:pt idx="187">
                  <c:v>-6.2000000000000455</c:v>
                </c:pt>
                <c:pt idx="188">
                  <c:v>-6.9999999999998863</c:v>
                </c:pt>
                <c:pt idx="189">
                  <c:v>-5.3999999999999204</c:v>
                </c:pt>
                <c:pt idx="190">
                  <c:v>2.3999999999998067</c:v>
                </c:pt>
                <c:pt idx="191">
                  <c:v>17.800000000000011</c:v>
                </c:pt>
                <c:pt idx="192">
                  <c:v>3.7999999999999545</c:v>
                </c:pt>
                <c:pt idx="193">
                  <c:v>0</c:v>
                </c:pt>
                <c:pt idx="194">
                  <c:v>-5.3999999999999204</c:v>
                </c:pt>
                <c:pt idx="195">
                  <c:v>-10</c:v>
                </c:pt>
                <c:pt idx="196">
                  <c:v>-12.400000000000091</c:v>
                </c:pt>
                <c:pt idx="197">
                  <c:v>-12.399999999999807</c:v>
                </c:pt>
                <c:pt idx="198">
                  <c:v>-11.599999999999966</c:v>
                </c:pt>
                <c:pt idx="199">
                  <c:v>-6.2000000000000455</c:v>
                </c:pt>
                <c:pt idx="200">
                  <c:v>-5.4000000000002046</c:v>
                </c:pt>
                <c:pt idx="201">
                  <c:v>-6.1999999999997613</c:v>
                </c:pt>
                <c:pt idx="202">
                  <c:v>-5.4000000000002046</c:v>
                </c:pt>
                <c:pt idx="203">
                  <c:v>11.599999999999966</c:v>
                </c:pt>
                <c:pt idx="204">
                  <c:v>13.200000000000216</c:v>
                </c:pt>
                <c:pt idx="205">
                  <c:v>5.3999999999999204</c:v>
                </c:pt>
                <c:pt idx="206">
                  <c:v>-0.80000000000012506</c:v>
                </c:pt>
                <c:pt idx="207">
                  <c:v>-13.199999999999932</c:v>
                </c:pt>
                <c:pt idx="208">
                  <c:v>-13.799999999999955</c:v>
                </c:pt>
                <c:pt idx="209">
                  <c:v>-13.199999999999932</c:v>
                </c:pt>
                <c:pt idx="210">
                  <c:v>-12.400000000000091</c:v>
                </c:pt>
                <c:pt idx="211">
                  <c:v>-7.5999999999999091</c:v>
                </c:pt>
                <c:pt idx="212">
                  <c:v>-4.6000000000000796</c:v>
                </c:pt>
                <c:pt idx="213">
                  <c:v>-5.3999999999999204</c:v>
                </c:pt>
                <c:pt idx="214">
                  <c:v>-7.8000000000000114</c:v>
                </c:pt>
                <c:pt idx="215">
                  <c:v>0.79999999999984084</c:v>
                </c:pt>
                <c:pt idx="216">
                  <c:v>21.60000000000025</c:v>
                </c:pt>
                <c:pt idx="217">
                  <c:v>7.7999999999997272</c:v>
                </c:pt>
                <c:pt idx="218">
                  <c:v>3.0000000000001137</c:v>
                </c:pt>
                <c:pt idx="219">
                  <c:v>-10.799999999999841</c:v>
                </c:pt>
                <c:pt idx="220">
                  <c:v>-12.400000000000091</c:v>
                </c:pt>
                <c:pt idx="221">
                  <c:v>-14.60000000000008</c:v>
                </c:pt>
                <c:pt idx="222">
                  <c:v>-11.599999999999966</c:v>
                </c:pt>
                <c:pt idx="223">
                  <c:v>-13.199999999999932</c:v>
                </c:pt>
                <c:pt idx="224">
                  <c:v>-7.6000000000001933</c:v>
                </c:pt>
                <c:pt idx="225">
                  <c:v>-6.9999999999998863</c:v>
                </c:pt>
                <c:pt idx="226">
                  <c:v>-4.6000000000000796</c:v>
                </c:pt>
                <c:pt idx="227">
                  <c:v>-5.3999999999999204</c:v>
                </c:pt>
                <c:pt idx="228">
                  <c:v>8.4000000000000341</c:v>
                </c:pt>
                <c:pt idx="229">
                  <c:v>19.399999999999977</c:v>
                </c:pt>
                <c:pt idx="230">
                  <c:v>10</c:v>
                </c:pt>
                <c:pt idx="231">
                  <c:v>-2.4000000000000909</c:v>
                </c:pt>
                <c:pt idx="232">
                  <c:v>-13.799999999999955</c:v>
                </c:pt>
                <c:pt idx="233">
                  <c:v>-14.000000000000057</c:v>
                </c:pt>
                <c:pt idx="234">
                  <c:v>-10.799999999999841</c:v>
                </c:pt>
                <c:pt idx="235">
                  <c:v>-11.599999999999966</c:v>
                </c:pt>
                <c:pt idx="236">
                  <c:v>-11.599999999999966</c:v>
                </c:pt>
                <c:pt idx="237">
                  <c:v>-10</c:v>
                </c:pt>
                <c:pt idx="238">
                  <c:v>-7.0000000000001705</c:v>
                </c:pt>
                <c:pt idx="239">
                  <c:v>-5.3999999999999204</c:v>
                </c:pt>
                <c:pt idx="240">
                  <c:v>-6.8000000000000682</c:v>
                </c:pt>
                <c:pt idx="241">
                  <c:v>10.800000000000125</c:v>
                </c:pt>
                <c:pt idx="242">
                  <c:v>21.599999999999966</c:v>
                </c:pt>
                <c:pt idx="243">
                  <c:v>6.9999999999998863</c:v>
                </c:pt>
                <c:pt idx="244">
                  <c:v>-4.7999999999998977</c:v>
                </c:pt>
                <c:pt idx="245">
                  <c:v>-12.199999999999989</c:v>
                </c:pt>
                <c:pt idx="246">
                  <c:v>-13.199999999999932</c:v>
                </c:pt>
                <c:pt idx="247">
                  <c:v>-9.2000000000001592</c:v>
                </c:pt>
                <c:pt idx="248">
                  <c:v>-10.200000000000102</c:v>
                </c:pt>
                <c:pt idx="249">
                  <c:v>-10</c:v>
                </c:pt>
                <c:pt idx="250">
                  <c:v>-9.1999999999998749</c:v>
                </c:pt>
                <c:pt idx="251">
                  <c:v>-8.5999999999998522</c:v>
                </c:pt>
                <c:pt idx="252">
                  <c:v>-5.4000000000002046</c:v>
                </c:pt>
                <c:pt idx="253">
                  <c:v>-2.9999999999998295</c:v>
                </c:pt>
                <c:pt idx="254">
                  <c:v>18.599999999999852</c:v>
                </c:pt>
                <c:pt idx="255">
                  <c:v>15.39999999999992</c:v>
                </c:pt>
                <c:pt idx="256">
                  <c:v>-0.79999999999984084</c:v>
                </c:pt>
                <c:pt idx="257">
                  <c:v>-7.0000000000001705</c:v>
                </c:pt>
                <c:pt idx="258">
                  <c:v>-12.399999999999807</c:v>
                </c:pt>
                <c:pt idx="259">
                  <c:v>-8.4000000000000341</c:v>
                </c:pt>
                <c:pt idx="260">
                  <c:v>-6.9999999999998863</c:v>
                </c:pt>
                <c:pt idx="261">
                  <c:v>-9.2000000000001592</c:v>
                </c:pt>
                <c:pt idx="262">
                  <c:v>-10.799999999999841</c:v>
                </c:pt>
                <c:pt idx="263">
                  <c:v>-9.2000000000001592</c:v>
                </c:pt>
                <c:pt idx="264">
                  <c:v>-10.200000000000102</c:v>
                </c:pt>
                <c:pt idx="265">
                  <c:v>-5.3999999999999204</c:v>
                </c:pt>
                <c:pt idx="266">
                  <c:v>5.3999999999999204</c:v>
                </c:pt>
                <c:pt idx="267">
                  <c:v>24.000000000000057</c:v>
                </c:pt>
                <c:pt idx="268">
                  <c:v>8.4000000000000341</c:v>
                </c:pt>
                <c:pt idx="269">
                  <c:v>-2.1999999999999886</c:v>
                </c:pt>
                <c:pt idx="270">
                  <c:v>-10.799999999999841</c:v>
                </c:pt>
                <c:pt idx="271">
                  <c:v>-9.2000000000001592</c:v>
                </c:pt>
                <c:pt idx="272">
                  <c:v>-7.8000000000000114</c:v>
                </c:pt>
                <c:pt idx="273">
                  <c:v>-7.8000000000000114</c:v>
                </c:pt>
                <c:pt idx="274">
                  <c:v>-7.5999999999999091</c:v>
                </c:pt>
                <c:pt idx="275">
                  <c:v>-9.3999999999999773</c:v>
                </c:pt>
                <c:pt idx="276">
                  <c:v>-10.800000000000125</c:v>
                </c:pt>
                <c:pt idx="277">
                  <c:v>-9.1999999999998749</c:v>
                </c:pt>
                <c:pt idx="278">
                  <c:v>-7.8000000000000114</c:v>
                </c:pt>
                <c:pt idx="279">
                  <c:v>11.599999999999966</c:v>
                </c:pt>
                <c:pt idx="280">
                  <c:v>21.599999999999966</c:v>
                </c:pt>
                <c:pt idx="281">
                  <c:v>1.5999999999999659</c:v>
                </c:pt>
                <c:pt idx="282">
                  <c:v>-5.3999999999999204</c:v>
                </c:pt>
                <c:pt idx="283">
                  <c:v>-10</c:v>
                </c:pt>
                <c:pt idx="284">
                  <c:v>-6.2000000000000455</c:v>
                </c:pt>
                <c:pt idx="285">
                  <c:v>-7.8000000000000114</c:v>
                </c:pt>
                <c:pt idx="286">
                  <c:v>-5.3999999999999204</c:v>
                </c:pt>
                <c:pt idx="287">
                  <c:v>-9.2000000000001592</c:v>
                </c:pt>
                <c:pt idx="288">
                  <c:v>-10</c:v>
                </c:pt>
                <c:pt idx="289">
                  <c:v>-8.5999999999998522</c:v>
                </c:pt>
                <c:pt idx="290">
                  <c:v>-8.4000000000000341</c:v>
                </c:pt>
                <c:pt idx="291">
                  <c:v>-4.0000000000000568</c:v>
                </c:pt>
                <c:pt idx="292">
                  <c:v>15.600000000000023</c:v>
                </c:pt>
                <c:pt idx="293">
                  <c:v>12.400000000000091</c:v>
                </c:pt>
                <c:pt idx="294">
                  <c:v>0.60000000000002274</c:v>
                </c:pt>
                <c:pt idx="295">
                  <c:v>-6.2000000000000455</c:v>
                </c:pt>
                <c:pt idx="296">
                  <c:v>-9.2000000000001592</c:v>
                </c:pt>
                <c:pt idx="297">
                  <c:v>-6.1999999999997613</c:v>
                </c:pt>
                <c:pt idx="298">
                  <c:v>-4.6000000000000796</c:v>
                </c:pt>
                <c:pt idx="299">
                  <c:v>-7.8000000000000114</c:v>
                </c:pt>
                <c:pt idx="300">
                  <c:v>-6.8000000000000682</c:v>
                </c:pt>
                <c:pt idx="301">
                  <c:v>-7.8000000000000114</c:v>
                </c:pt>
                <c:pt idx="302">
                  <c:v>-6.2000000000000455</c:v>
                </c:pt>
                <c:pt idx="303">
                  <c:v>-9.1999999999998749</c:v>
                </c:pt>
                <c:pt idx="304">
                  <c:v>4.6000000000000796</c:v>
                </c:pt>
                <c:pt idx="305">
                  <c:v>16.999999999999886</c:v>
                </c:pt>
                <c:pt idx="306">
                  <c:v>2.4000000000000909</c:v>
                </c:pt>
                <c:pt idx="307">
                  <c:v>-2.4000000000000909</c:v>
                </c:pt>
                <c:pt idx="308">
                  <c:v>-9.1999999999998749</c:v>
                </c:pt>
                <c:pt idx="309">
                  <c:v>-7.0000000000001705</c:v>
                </c:pt>
                <c:pt idx="310">
                  <c:v>-4.6000000000000796</c:v>
                </c:pt>
                <c:pt idx="311">
                  <c:v>-3.9999999999997726</c:v>
                </c:pt>
                <c:pt idx="312">
                  <c:v>-7.6000000000001933</c:v>
                </c:pt>
                <c:pt idx="313">
                  <c:v>-6.9999999999998863</c:v>
                </c:pt>
                <c:pt idx="314">
                  <c:v>-7.8000000000000114</c:v>
                </c:pt>
                <c:pt idx="315">
                  <c:v>-7.5999999999999091</c:v>
                </c:pt>
                <c:pt idx="316">
                  <c:v>-4.6000000000000796</c:v>
                </c:pt>
                <c:pt idx="317">
                  <c:v>10</c:v>
                </c:pt>
                <c:pt idx="318">
                  <c:v>10</c:v>
                </c:pt>
                <c:pt idx="319">
                  <c:v>2.4000000000000909</c:v>
                </c:pt>
                <c:pt idx="320">
                  <c:v>-5.4000000000002046</c:v>
                </c:pt>
                <c:pt idx="321">
                  <c:v>-9.3999999999999773</c:v>
                </c:pt>
                <c:pt idx="322">
                  <c:v>-3.7999999999999545</c:v>
                </c:pt>
                <c:pt idx="323">
                  <c:v>-4.6000000000000796</c:v>
                </c:pt>
                <c:pt idx="324">
                  <c:v>-6.9999999999998863</c:v>
                </c:pt>
                <c:pt idx="325">
                  <c:v>-6.9999999999998863</c:v>
                </c:pt>
                <c:pt idx="326">
                  <c:v>-4.6000000000000796</c:v>
                </c:pt>
                <c:pt idx="327">
                  <c:v>-8.4000000000000341</c:v>
                </c:pt>
                <c:pt idx="328">
                  <c:v>-6.9999999999998863</c:v>
                </c:pt>
                <c:pt idx="329">
                  <c:v>-5.4000000000002046</c:v>
                </c:pt>
                <c:pt idx="330">
                  <c:v>13.799999999999955</c:v>
                </c:pt>
                <c:pt idx="331">
                  <c:v>7.0000000000001705</c:v>
                </c:pt>
                <c:pt idx="332">
                  <c:v>-0.80000000000012506</c:v>
                </c:pt>
                <c:pt idx="333">
                  <c:v>-5.3999999999999204</c:v>
                </c:pt>
                <c:pt idx="334">
                  <c:v>-7.5999999999999091</c:v>
                </c:pt>
                <c:pt idx="335">
                  <c:v>-4.8000000000001819</c:v>
                </c:pt>
                <c:pt idx="336">
                  <c:v>-5.3999999999999204</c:v>
                </c:pt>
                <c:pt idx="337">
                  <c:v>-5.3999999999999204</c:v>
                </c:pt>
                <c:pt idx="338">
                  <c:v>-6.8000000000000682</c:v>
                </c:pt>
                <c:pt idx="339">
                  <c:v>-8.6000000000001364</c:v>
                </c:pt>
                <c:pt idx="340">
                  <c:v>-6.1999999999997613</c:v>
                </c:pt>
                <c:pt idx="341">
                  <c:v>-4.6000000000000796</c:v>
                </c:pt>
                <c:pt idx="342">
                  <c:v>-8.4000000000000341</c:v>
                </c:pt>
                <c:pt idx="343">
                  <c:v>10</c:v>
                </c:pt>
                <c:pt idx="344">
                  <c:v>9.1999999999998749</c:v>
                </c:pt>
                <c:pt idx="345">
                  <c:v>0</c:v>
                </c:pt>
                <c:pt idx="346">
                  <c:v>-2.9999999999998295</c:v>
                </c:pt>
                <c:pt idx="347">
                  <c:v>-7.0000000000001705</c:v>
                </c:pt>
                <c:pt idx="348">
                  <c:v>-4.5999999999997954</c:v>
                </c:pt>
                <c:pt idx="349">
                  <c:v>-3.1999999999999318</c:v>
                </c:pt>
                <c:pt idx="350">
                  <c:v>-5.4000000000002046</c:v>
                </c:pt>
                <c:pt idx="351">
                  <c:v>-6.2000000000000455</c:v>
                </c:pt>
                <c:pt idx="352">
                  <c:v>-5.3999999999999204</c:v>
                </c:pt>
                <c:pt idx="353">
                  <c:v>-3.7999999999999545</c:v>
                </c:pt>
                <c:pt idx="354">
                  <c:v>-6.2000000000000455</c:v>
                </c:pt>
                <c:pt idx="355">
                  <c:v>-2.9999999999998295</c:v>
                </c:pt>
                <c:pt idx="356">
                  <c:v>4.5999999999997954</c:v>
                </c:pt>
                <c:pt idx="357">
                  <c:v>-164.5999999999998</c:v>
                </c:pt>
                <c:pt idx="358">
                  <c:v>-125.80000000000013</c:v>
                </c:pt>
                <c:pt idx="359">
                  <c:v>-108.20000000000007</c:v>
                </c:pt>
                <c:pt idx="360">
                  <c:v>-92.599999999999909</c:v>
                </c:pt>
                <c:pt idx="361">
                  <c:v>-82.000000000000028</c:v>
                </c:pt>
                <c:pt idx="362">
                  <c:v>-74.80000000000004</c:v>
                </c:pt>
                <c:pt idx="363">
                  <c:v>-67.999999999999972</c:v>
                </c:pt>
                <c:pt idx="364">
                  <c:v>-63.400000000000034</c:v>
                </c:pt>
                <c:pt idx="365">
                  <c:v>-56.999999999999886</c:v>
                </c:pt>
                <c:pt idx="366">
                  <c:v>-51.000000000000085</c:v>
                </c:pt>
                <c:pt idx="367">
                  <c:v>-49.399999999999977</c:v>
                </c:pt>
                <c:pt idx="368">
                  <c:v>-41.800000000000068</c:v>
                </c:pt>
                <c:pt idx="369">
                  <c:v>-35.599999999999952</c:v>
                </c:pt>
                <c:pt idx="370">
                  <c:v>-36.999999999999957</c:v>
                </c:pt>
                <c:pt idx="371">
                  <c:v>-34.000000000000057</c:v>
                </c:pt>
                <c:pt idx="372">
                  <c:v>-33.999999999999986</c:v>
                </c:pt>
                <c:pt idx="373">
                  <c:v>-30.799999999999983</c:v>
                </c:pt>
                <c:pt idx="374">
                  <c:v>-26.400000000000006</c:v>
                </c:pt>
                <c:pt idx="375">
                  <c:v>-27.800000000000011</c:v>
                </c:pt>
                <c:pt idx="376">
                  <c:v>-23.799999999999955</c:v>
                </c:pt>
                <c:pt idx="377">
                  <c:v>-20.200000000000031</c:v>
                </c:pt>
                <c:pt idx="378">
                  <c:v>-20.799999999999983</c:v>
                </c:pt>
                <c:pt idx="379">
                  <c:v>-19.200000000000017</c:v>
                </c:pt>
                <c:pt idx="380">
                  <c:v>-18.599999999999994</c:v>
                </c:pt>
                <c:pt idx="381">
                  <c:v>-13.200000000000003</c:v>
                </c:pt>
                <c:pt idx="382">
                  <c:v>-14.600000000000009</c:v>
                </c:pt>
                <c:pt idx="383">
                  <c:v>-13.200000000000003</c:v>
                </c:pt>
                <c:pt idx="384">
                  <c:v>-10.799999999999983</c:v>
                </c:pt>
                <c:pt idx="385">
                  <c:v>-12.40000000000002</c:v>
                </c:pt>
                <c:pt idx="386">
                  <c:v>-12.999999999999972</c:v>
                </c:pt>
                <c:pt idx="387">
                  <c:v>-10.800000000000018</c:v>
                </c:pt>
                <c:pt idx="388">
                  <c:v>-11.600000000000001</c:v>
                </c:pt>
                <c:pt idx="389">
                  <c:v>-10</c:v>
                </c:pt>
                <c:pt idx="390">
                  <c:v>-11.000000000000014</c:v>
                </c:pt>
                <c:pt idx="391">
                  <c:v>-9.1999999999999815</c:v>
                </c:pt>
                <c:pt idx="392">
                  <c:v>-8.3999999999999986</c:v>
                </c:pt>
                <c:pt idx="393">
                  <c:v>-9.4000000000000128</c:v>
                </c:pt>
                <c:pt idx="394">
                  <c:v>-5.3999999999999915</c:v>
                </c:pt>
                <c:pt idx="395">
                  <c:v>-7.6000000000000156</c:v>
                </c:pt>
                <c:pt idx="396">
                  <c:v>-4.7999999999999687</c:v>
                </c:pt>
                <c:pt idx="397">
                  <c:v>-6.7999999999999972</c:v>
                </c:pt>
                <c:pt idx="398">
                  <c:v>-4.0000000000000213</c:v>
                </c:pt>
                <c:pt idx="399">
                  <c:v>-6.7999999999999972</c:v>
                </c:pt>
                <c:pt idx="400">
                  <c:v>-4.8000000000000043</c:v>
                </c:pt>
                <c:pt idx="401">
                  <c:v>-5.9999999999999964</c:v>
                </c:pt>
                <c:pt idx="402">
                  <c:v>-4.0000000000000036</c:v>
                </c:pt>
                <c:pt idx="403">
                  <c:v>-5.3999999999999915</c:v>
                </c:pt>
                <c:pt idx="404">
                  <c:v>-3.8000000000000078</c:v>
                </c:pt>
                <c:pt idx="405">
                  <c:v>-3.7999999999999901</c:v>
                </c:pt>
                <c:pt idx="406">
                  <c:v>-2.4000000000000021</c:v>
                </c:pt>
                <c:pt idx="407">
                  <c:v>-4.6000000000000085</c:v>
                </c:pt>
                <c:pt idx="408">
                  <c:v>-3.2000000000000028</c:v>
                </c:pt>
                <c:pt idx="409">
                  <c:v>-3.7999999999999901</c:v>
                </c:pt>
                <c:pt idx="410">
                  <c:v>-4.6000000000000085</c:v>
                </c:pt>
                <c:pt idx="411">
                  <c:v>-3.7999999999999901</c:v>
                </c:pt>
                <c:pt idx="412">
                  <c:v>-2.4000000000000021</c:v>
                </c:pt>
                <c:pt idx="413">
                  <c:v>-4.6000000000000085</c:v>
                </c:pt>
                <c:pt idx="414">
                  <c:v>-3.1999999999999851</c:v>
                </c:pt>
                <c:pt idx="415">
                  <c:v>-3.0000000000000071</c:v>
                </c:pt>
                <c:pt idx="416">
                  <c:v>-1.6000000000000014</c:v>
                </c:pt>
                <c:pt idx="417">
                  <c:v>-3.0000000000000071</c:v>
                </c:pt>
                <c:pt idx="418">
                  <c:v>-3.1999999999999851</c:v>
                </c:pt>
                <c:pt idx="419">
                  <c:v>-2.2000000000000064</c:v>
                </c:pt>
                <c:pt idx="420">
                  <c:v>-2.4000000000000021</c:v>
                </c:pt>
                <c:pt idx="421">
                  <c:v>-1.6000000000000014</c:v>
                </c:pt>
                <c:pt idx="422">
                  <c:v>-1.3999999999999968</c:v>
                </c:pt>
                <c:pt idx="423">
                  <c:v>-1.6000000000000014</c:v>
                </c:pt>
                <c:pt idx="424">
                  <c:v>-0.80000000000000071</c:v>
                </c:pt>
                <c:pt idx="425">
                  <c:v>-2.1999999999999975</c:v>
                </c:pt>
                <c:pt idx="426">
                  <c:v>-2.4000000000000021</c:v>
                </c:pt>
                <c:pt idx="427">
                  <c:v>-2.4000000000000021</c:v>
                </c:pt>
                <c:pt idx="428">
                  <c:v>-0.59999999999999609</c:v>
                </c:pt>
                <c:pt idx="429">
                  <c:v>-2.4000000000000021</c:v>
                </c:pt>
                <c:pt idx="430">
                  <c:v>0</c:v>
                </c:pt>
                <c:pt idx="431">
                  <c:v>-1.6000000000000014</c:v>
                </c:pt>
                <c:pt idx="432">
                  <c:v>-2.9999999999999982</c:v>
                </c:pt>
                <c:pt idx="433">
                  <c:v>-1.6000000000000014</c:v>
                </c:pt>
                <c:pt idx="434">
                  <c:v>-2.3999999999999932</c:v>
                </c:pt>
                <c:pt idx="435">
                  <c:v>-1.4000000000000057</c:v>
                </c:pt>
                <c:pt idx="436">
                  <c:v>-2.3999999999999932</c:v>
                </c:pt>
                <c:pt idx="437">
                  <c:v>-0.80000000000000071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FF-4E09-8041-66776D4D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571760"/>
        <c:axId val="287646448"/>
      </c:scatterChart>
      <c:valAx>
        <c:axId val="294571760"/>
        <c:scaling>
          <c:orientation val="minMax"/>
          <c:max val="3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7646448"/>
        <c:crosses val="autoZero"/>
        <c:crossBetween val="midCat"/>
      </c:valAx>
      <c:valAx>
        <c:axId val="287646448"/>
        <c:scaling>
          <c:orientation val="minMax"/>
          <c:max val="16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57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154/97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Hoja2!$AY$2:$AY$926</c:f>
              <c:numCache>
                <c:formatCode>General</c:formatCode>
                <c:ptCount val="9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</c:numCache>
            </c:numRef>
          </c:xVal>
          <c:yVal>
            <c:numRef>
              <c:f>Hoja2!$AZ$2:$AZ$926</c:f>
              <c:numCache>
                <c:formatCode>General</c:formatCode>
                <c:ptCount val="925"/>
                <c:pt idx="0">
                  <c:v>205.56</c:v>
                </c:pt>
                <c:pt idx="1">
                  <c:v>205.25</c:v>
                </c:pt>
                <c:pt idx="2">
                  <c:v>205.06</c:v>
                </c:pt>
                <c:pt idx="3">
                  <c:v>204.79</c:v>
                </c:pt>
                <c:pt idx="4">
                  <c:v>204.52</c:v>
                </c:pt>
                <c:pt idx="5">
                  <c:v>204.28</c:v>
                </c:pt>
                <c:pt idx="6">
                  <c:v>204.01</c:v>
                </c:pt>
                <c:pt idx="7">
                  <c:v>203.74</c:v>
                </c:pt>
                <c:pt idx="8">
                  <c:v>203.59</c:v>
                </c:pt>
                <c:pt idx="9">
                  <c:v>203.32</c:v>
                </c:pt>
                <c:pt idx="10">
                  <c:v>203.09</c:v>
                </c:pt>
                <c:pt idx="11">
                  <c:v>202.93</c:v>
                </c:pt>
                <c:pt idx="12">
                  <c:v>202.82</c:v>
                </c:pt>
                <c:pt idx="13">
                  <c:v>203.12</c:v>
                </c:pt>
                <c:pt idx="14">
                  <c:v>203.09</c:v>
                </c:pt>
                <c:pt idx="15">
                  <c:v>202.7</c:v>
                </c:pt>
                <c:pt idx="16">
                  <c:v>202.35</c:v>
                </c:pt>
                <c:pt idx="17">
                  <c:v>201.97</c:v>
                </c:pt>
                <c:pt idx="18">
                  <c:v>201.73</c:v>
                </c:pt>
                <c:pt idx="19">
                  <c:v>201.27</c:v>
                </c:pt>
                <c:pt idx="20">
                  <c:v>201.12</c:v>
                </c:pt>
                <c:pt idx="21">
                  <c:v>200.92</c:v>
                </c:pt>
                <c:pt idx="22">
                  <c:v>200.69</c:v>
                </c:pt>
                <c:pt idx="23">
                  <c:v>200.46</c:v>
                </c:pt>
                <c:pt idx="24">
                  <c:v>200.19</c:v>
                </c:pt>
                <c:pt idx="25">
                  <c:v>199.84</c:v>
                </c:pt>
                <c:pt idx="26">
                  <c:v>199.69</c:v>
                </c:pt>
                <c:pt idx="27">
                  <c:v>199.42</c:v>
                </c:pt>
                <c:pt idx="28">
                  <c:v>199.22</c:v>
                </c:pt>
                <c:pt idx="29">
                  <c:v>198.99</c:v>
                </c:pt>
                <c:pt idx="30">
                  <c:v>198.76</c:v>
                </c:pt>
                <c:pt idx="31">
                  <c:v>198.53</c:v>
                </c:pt>
                <c:pt idx="32">
                  <c:v>198.34</c:v>
                </c:pt>
                <c:pt idx="33">
                  <c:v>198.49</c:v>
                </c:pt>
                <c:pt idx="34">
                  <c:v>198.57</c:v>
                </c:pt>
                <c:pt idx="35">
                  <c:v>198.53</c:v>
                </c:pt>
                <c:pt idx="36">
                  <c:v>198.07</c:v>
                </c:pt>
                <c:pt idx="37">
                  <c:v>197.68</c:v>
                </c:pt>
                <c:pt idx="38">
                  <c:v>197.37</c:v>
                </c:pt>
                <c:pt idx="39">
                  <c:v>197.06</c:v>
                </c:pt>
                <c:pt idx="40">
                  <c:v>196.83</c:v>
                </c:pt>
                <c:pt idx="41">
                  <c:v>196.71</c:v>
                </c:pt>
                <c:pt idx="42">
                  <c:v>196.56</c:v>
                </c:pt>
                <c:pt idx="43">
                  <c:v>196.29</c:v>
                </c:pt>
                <c:pt idx="44">
                  <c:v>196.1</c:v>
                </c:pt>
                <c:pt idx="45">
                  <c:v>195.86</c:v>
                </c:pt>
                <c:pt idx="46">
                  <c:v>195.63</c:v>
                </c:pt>
                <c:pt idx="47">
                  <c:v>195.32</c:v>
                </c:pt>
                <c:pt idx="48">
                  <c:v>195.13</c:v>
                </c:pt>
                <c:pt idx="49">
                  <c:v>194.86</c:v>
                </c:pt>
                <c:pt idx="50">
                  <c:v>194.71</c:v>
                </c:pt>
                <c:pt idx="51">
                  <c:v>194.51</c:v>
                </c:pt>
                <c:pt idx="52">
                  <c:v>194.32</c:v>
                </c:pt>
                <c:pt idx="53">
                  <c:v>194.4</c:v>
                </c:pt>
                <c:pt idx="54">
                  <c:v>194.59</c:v>
                </c:pt>
                <c:pt idx="55">
                  <c:v>194.51</c:v>
                </c:pt>
                <c:pt idx="56">
                  <c:v>194.17</c:v>
                </c:pt>
                <c:pt idx="57">
                  <c:v>193.78</c:v>
                </c:pt>
                <c:pt idx="58">
                  <c:v>193.43</c:v>
                </c:pt>
                <c:pt idx="59">
                  <c:v>193.16</c:v>
                </c:pt>
                <c:pt idx="60">
                  <c:v>192.81</c:v>
                </c:pt>
                <c:pt idx="61">
                  <c:v>192.74</c:v>
                </c:pt>
                <c:pt idx="62">
                  <c:v>192.47</c:v>
                </c:pt>
                <c:pt idx="63">
                  <c:v>192.23</c:v>
                </c:pt>
                <c:pt idx="64">
                  <c:v>192.08</c:v>
                </c:pt>
                <c:pt idx="65">
                  <c:v>191.85</c:v>
                </c:pt>
                <c:pt idx="66">
                  <c:v>191.58</c:v>
                </c:pt>
                <c:pt idx="67">
                  <c:v>191.39</c:v>
                </c:pt>
                <c:pt idx="68">
                  <c:v>191.19</c:v>
                </c:pt>
                <c:pt idx="69">
                  <c:v>191</c:v>
                </c:pt>
                <c:pt idx="70">
                  <c:v>190.73</c:v>
                </c:pt>
                <c:pt idx="71">
                  <c:v>190.54</c:v>
                </c:pt>
                <c:pt idx="72">
                  <c:v>190.3</c:v>
                </c:pt>
                <c:pt idx="73">
                  <c:v>190.42</c:v>
                </c:pt>
                <c:pt idx="74">
                  <c:v>190.77</c:v>
                </c:pt>
                <c:pt idx="75">
                  <c:v>190.73</c:v>
                </c:pt>
                <c:pt idx="76">
                  <c:v>190.38</c:v>
                </c:pt>
                <c:pt idx="77">
                  <c:v>190</c:v>
                </c:pt>
                <c:pt idx="78">
                  <c:v>189.69</c:v>
                </c:pt>
                <c:pt idx="79">
                  <c:v>189.34</c:v>
                </c:pt>
                <c:pt idx="80">
                  <c:v>188.95</c:v>
                </c:pt>
                <c:pt idx="81">
                  <c:v>188.84</c:v>
                </c:pt>
                <c:pt idx="82">
                  <c:v>188.64</c:v>
                </c:pt>
                <c:pt idx="83">
                  <c:v>188.49</c:v>
                </c:pt>
                <c:pt idx="84">
                  <c:v>188.22</c:v>
                </c:pt>
                <c:pt idx="85">
                  <c:v>187.99</c:v>
                </c:pt>
                <c:pt idx="86">
                  <c:v>187.72</c:v>
                </c:pt>
                <c:pt idx="87">
                  <c:v>187.56</c:v>
                </c:pt>
                <c:pt idx="88">
                  <c:v>187.33</c:v>
                </c:pt>
                <c:pt idx="89">
                  <c:v>187.1</c:v>
                </c:pt>
                <c:pt idx="90">
                  <c:v>186.87</c:v>
                </c:pt>
                <c:pt idx="91">
                  <c:v>186.71</c:v>
                </c:pt>
                <c:pt idx="92">
                  <c:v>186.52</c:v>
                </c:pt>
                <c:pt idx="93">
                  <c:v>186.6</c:v>
                </c:pt>
                <c:pt idx="94">
                  <c:v>186.91</c:v>
                </c:pt>
                <c:pt idx="95">
                  <c:v>186.91</c:v>
                </c:pt>
                <c:pt idx="96">
                  <c:v>186.64</c:v>
                </c:pt>
                <c:pt idx="97">
                  <c:v>186.25</c:v>
                </c:pt>
                <c:pt idx="98">
                  <c:v>185.82</c:v>
                </c:pt>
                <c:pt idx="99">
                  <c:v>185.59</c:v>
                </c:pt>
                <c:pt idx="100">
                  <c:v>185.17</c:v>
                </c:pt>
                <c:pt idx="101">
                  <c:v>184.97</c:v>
                </c:pt>
                <c:pt idx="102">
                  <c:v>184.9</c:v>
                </c:pt>
                <c:pt idx="103">
                  <c:v>184.67</c:v>
                </c:pt>
                <c:pt idx="104">
                  <c:v>184.43</c:v>
                </c:pt>
                <c:pt idx="105">
                  <c:v>184.16</c:v>
                </c:pt>
                <c:pt idx="106">
                  <c:v>183.93</c:v>
                </c:pt>
                <c:pt idx="107">
                  <c:v>183.7</c:v>
                </c:pt>
                <c:pt idx="108">
                  <c:v>183.58</c:v>
                </c:pt>
                <c:pt idx="109">
                  <c:v>183.31</c:v>
                </c:pt>
                <c:pt idx="110">
                  <c:v>183.16</c:v>
                </c:pt>
                <c:pt idx="111">
                  <c:v>182.97</c:v>
                </c:pt>
                <c:pt idx="112">
                  <c:v>182.74</c:v>
                </c:pt>
                <c:pt idx="113">
                  <c:v>182.77</c:v>
                </c:pt>
                <c:pt idx="114">
                  <c:v>183.2</c:v>
                </c:pt>
                <c:pt idx="115">
                  <c:v>183.43</c:v>
                </c:pt>
                <c:pt idx="116">
                  <c:v>183.16</c:v>
                </c:pt>
                <c:pt idx="117">
                  <c:v>182.74</c:v>
                </c:pt>
                <c:pt idx="118">
                  <c:v>182.39</c:v>
                </c:pt>
                <c:pt idx="119">
                  <c:v>182.04</c:v>
                </c:pt>
                <c:pt idx="120">
                  <c:v>181.65</c:v>
                </c:pt>
                <c:pt idx="121">
                  <c:v>181.38</c:v>
                </c:pt>
                <c:pt idx="122">
                  <c:v>181.27</c:v>
                </c:pt>
                <c:pt idx="123">
                  <c:v>181.04</c:v>
                </c:pt>
                <c:pt idx="124">
                  <c:v>180.96</c:v>
                </c:pt>
                <c:pt idx="125">
                  <c:v>180.69</c:v>
                </c:pt>
                <c:pt idx="126">
                  <c:v>180.46</c:v>
                </c:pt>
                <c:pt idx="127">
                  <c:v>180.19</c:v>
                </c:pt>
                <c:pt idx="128">
                  <c:v>179.95</c:v>
                </c:pt>
                <c:pt idx="129">
                  <c:v>179.72</c:v>
                </c:pt>
                <c:pt idx="130">
                  <c:v>179.53</c:v>
                </c:pt>
                <c:pt idx="131">
                  <c:v>179.34</c:v>
                </c:pt>
                <c:pt idx="132">
                  <c:v>179.14</c:v>
                </c:pt>
                <c:pt idx="133">
                  <c:v>179.11</c:v>
                </c:pt>
                <c:pt idx="134">
                  <c:v>179.53</c:v>
                </c:pt>
                <c:pt idx="135">
                  <c:v>179.84</c:v>
                </c:pt>
                <c:pt idx="136">
                  <c:v>179.72</c:v>
                </c:pt>
                <c:pt idx="137">
                  <c:v>179.38</c:v>
                </c:pt>
                <c:pt idx="138">
                  <c:v>178.95</c:v>
                </c:pt>
                <c:pt idx="139">
                  <c:v>178.6</c:v>
                </c:pt>
                <c:pt idx="140">
                  <c:v>178.18</c:v>
                </c:pt>
                <c:pt idx="141">
                  <c:v>177.87</c:v>
                </c:pt>
                <c:pt idx="142">
                  <c:v>177.75</c:v>
                </c:pt>
                <c:pt idx="143">
                  <c:v>177.6</c:v>
                </c:pt>
                <c:pt idx="144">
                  <c:v>177.37</c:v>
                </c:pt>
                <c:pt idx="145">
                  <c:v>177.14</c:v>
                </c:pt>
                <c:pt idx="146">
                  <c:v>176.98</c:v>
                </c:pt>
                <c:pt idx="147">
                  <c:v>176.67</c:v>
                </c:pt>
                <c:pt idx="148">
                  <c:v>176.4</c:v>
                </c:pt>
                <c:pt idx="149">
                  <c:v>176.25</c:v>
                </c:pt>
                <c:pt idx="150">
                  <c:v>176.02</c:v>
                </c:pt>
                <c:pt idx="151">
                  <c:v>175.86</c:v>
                </c:pt>
                <c:pt idx="152">
                  <c:v>175.67</c:v>
                </c:pt>
                <c:pt idx="153">
                  <c:v>175.51</c:v>
                </c:pt>
                <c:pt idx="154">
                  <c:v>175.86</c:v>
                </c:pt>
                <c:pt idx="155">
                  <c:v>176.36</c:v>
                </c:pt>
                <c:pt idx="156">
                  <c:v>176.36</c:v>
                </c:pt>
                <c:pt idx="157">
                  <c:v>176.05</c:v>
                </c:pt>
                <c:pt idx="158">
                  <c:v>175.63</c:v>
                </c:pt>
                <c:pt idx="159">
                  <c:v>175.17</c:v>
                </c:pt>
                <c:pt idx="160">
                  <c:v>174.78</c:v>
                </c:pt>
                <c:pt idx="161">
                  <c:v>174.43</c:v>
                </c:pt>
                <c:pt idx="162">
                  <c:v>174.28</c:v>
                </c:pt>
                <c:pt idx="163">
                  <c:v>174.08</c:v>
                </c:pt>
                <c:pt idx="164">
                  <c:v>173.89</c:v>
                </c:pt>
                <c:pt idx="165">
                  <c:v>173.66</c:v>
                </c:pt>
                <c:pt idx="166">
                  <c:v>173.35</c:v>
                </c:pt>
                <c:pt idx="167">
                  <c:v>173.2</c:v>
                </c:pt>
                <c:pt idx="168">
                  <c:v>172.97</c:v>
                </c:pt>
                <c:pt idx="169">
                  <c:v>172.73</c:v>
                </c:pt>
                <c:pt idx="170">
                  <c:v>172.54</c:v>
                </c:pt>
                <c:pt idx="171">
                  <c:v>172.35</c:v>
                </c:pt>
                <c:pt idx="172">
                  <c:v>172.12</c:v>
                </c:pt>
                <c:pt idx="173">
                  <c:v>171.96</c:v>
                </c:pt>
                <c:pt idx="174">
                  <c:v>171.77</c:v>
                </c:pt>
                <c:pt idx="175">
                  <c:v>172.08</c:v>
                </c:pt>
                <c:pt idx="176">
                  <c:v>172.58</c:v>
                </c:pt>
                <c:pt idx="177">
                  <c:v>172.73</c:v>
                </c:pt>
                <c:pt idx="178">
                  <c:v>172.46</c:v>
                </c:pt>
                <c:pt idx="179">
                  <c:v>171.92</c:v>
                </c:pt>
                <c:pt idx="180">
                  <c:v>171.42</c:v>
                </c:pt>
                <c:pt idx="181">
                  <c:v>171</c:v>
                </c:pt>
                <c:pt idx="182">
                  <c:v>170.65</c:v>
                </c:pt>
                <c:pt idx="183">
                  <c:v>170.57</c:v>
                </c:pt>
                <c:pt idx="184">
                  <c:v>170.42</c:v>
                </c:pt>
                <c:pt idx="185">
                  <c:v>170.26</c:v>
                </c:pt>
                <c:pt idx="186">
                  <c:v>169.95</c:v>
                </c:pt>
                <c:pt idx="187">
                  <c:v>169.76</c:v>
                </c:pt>
                <c:pt idx="188">
                  <c:v>169.53</c:v>
                </c:pt>
                <c:pt idx="189">
                  <c:v>169.3</c:v>
                </c:pt>
                <c:pt idx="190">
                  <c:v>169.1</c:v>
                </c:pt>
                <c:pt idx="191">
                  <c:v>168.91</c:v>
                </c:pt>
                <c:pt idx="192">
                  <c:v>168.72</c:v>
                </c:pt>
                <c:pt idx="193">
                  <c:v>168.56</c:v>
                </c:pt>
                <c:pt idx="194">
                  <c:v>168.33</c:v>
                </c:pt>
                <c:pt idx="195">
                  <c:v>168.29</c:v>
                </c:pt>
                <c:pt idx="196">
                  <c:v>168.68</c:v>
                </c:pt>
                <c:pt idx="197">
                  <c:v>169.14</c:v>
                </c:pt>
                <c:pt idx="198">
                  <c:v>169.14</c:v>
                </c:pt>
                <c:pt idx="199">
                  <c:v>168.72</c:v>
                </c:pt>
                <c:pt idx="200">
                  <c:v>168.22</c:v>
                </c:pt>
                <c:pt idx="201">
                  <c:v>167.91</c:v>
                </c:pt>
                <c:pt idx="202">
                  <c:v>167.33</c:v>
                </c:pt>
                <c:pt idx="203">
                  <c:v>167.13</c:v>
                </c:pt>
                <c:pt idx="204">
                  <c:v>167.1</c:v>
                </c:pt>
                <c:pt idx="205">
                  <c:v>166.94</c:v>
                </c:pt>
                <c:pt idx="206">
                  <c:v>166.75</c:v>
                </c:pt>
                <c:pt idx="207">
                  <c:v>166.63</c:v>
                </c:pt>
                <c:pt idx="208">
                  <c:v>166.36</c:v>
                </c:pt>
                <c:pt idx="209">
                  <c:v>166.05</c:v>
                </c:pt>
                <c:pt idx="210">
                  <c:v>165.94</c:v>
                </c:pt>
                <c:pt idx="211">
                  <c:v>165.74</c:v>
                </c:pt>
                <c:pt idx="212">
                  <c:v>165.51</c:v>
                </c:pt>
                <c:pt idx="213">
                  <c:v>165.36</c:v>
                </c:pt>
                <c:pt idx="214">
                  <c:v>165.24</c:v>
                </c:pt>
                <c:pt idx="215">
                  <c:v>165.05</c:v>
                </c:pt>
                <c:pt idx="216">
                  <c:v>165.24</c:v>
                </c:pt>
                <c:pt idx="217">
                  <c:v>165.74</c:v>
                </c:pt>
                <c:pt idx="218">
                  <c:v>166.01</c:v>
                </c:pt>
                <c:pt idx="219">
                  <c:v>165.82</c:v>
                </c:pt>
                <c:pt idx="220">
                  <c:v>165.36</c:v>
                </c:pt>
                <c:pt idx="221">
                  <c:v>164.78</c:v>
                </c:pt>
                <c:pt idx="222">
                  <c:v>164.35</c:v>
                </c:pt>
                <c:pt idx="223">
                  <c:v>164.01</c:v>
                </c:pt>
                <c:pt idx="224">
                  <c:v>163.81</c:v>
                </c:pt>
                <c:pt idx="225">
                  <c:v>163.69999999999999</c:v>
                </c:pt>
                <c:pt idx="226">
                  <c:v>163.43</c:v>
                </c:pt>
                <c:pt idx="227">
                  <c:v>163.27000000000001</c:v>
                </c:pt>
                <c:pt idx="228">
                  <c:v>163.04</c:v>
                </c:pt>
                <c:pt idx="229">
                  <c:v>162.77000000000001</c:v>
                </c:pt>
                <c:pt idx="230">
                  <c:v>162.58000000000001</c:v>
                </c:pt>
                <c:pt idx="231">
                  <c:v>162.41999999999999</c:v>
                </c:pt>
                <c:pt idx="232">
                  <c:v>162.15</c:v>
                </c:pt>
                <c:pt idx="233">
                  <c:v>162.04</c:v>
                </c:pt>
                <c:pt idx="234">
                  <c:v>161.77000000000001</c:v>
                </c:pt>
                <c:pt idx="235">
                  <c:v>161.69</c:v>
                </c:pt>
                <c:pt idx="236">
                  <c:v>161.77000000000001</c:v>
                </c:pt>
                <c:pt idx="237">
                  <c:v>162.31</c:v>
                </c:pt>
                <c:pt idx="238">
                  <c:v>162.69</c:v>
                </c:pt>
                <c:pt idx="239">
                  <c:v>162.69</c:v>
                </c:pt>
                <c:pt idx="240">
                  <c:v>162.31</c:v>
                </c:pt>
                <c:pt idx="241">
                  <c:v>161.80000000000001</c:v>
                </c:pt>
                <c:pt idx="242">
                  <c:v>161.34</c:v>
                </c:pt>
                <c:pt idx="243">
                  <c:v>160.76</c:v>
                </c:pt>
                <c:pt idx="244">
                  <c:v>160.61000000000001</c:v>
                </c:pt>
                <c:pt idx="245">
                  <c:v>160.44999999999999</c:v>
                </c:pt>
                <c:pt idx="246">
                  <c:v>160.26</c:v>
                </c:pt>
                <c:pt idx="247">
                  <c:v>160.13999999999999</c:v>
                </c:pt>
                <c:pt idx="248">
                  <c:v>159.94999999999999</c:v>
                </c:pt>
                <c:pt idx="249">
                  <c:v>159.63999999999999</c:v>
                </c:pt>
                <c:pt idx="250">
                  <c:v>159.37</c:v>
                </c:pt>
                <c:pt idx="251">
                  <c:v>159.18</c:v>
                </c:pt>
                <c:pt idx="252">
                  <c:v>159.1</c:v>
                </c:pt>
                <c:pt idx="253">
                  <c:v>158.91</c:v>
                </c:pt>
                <c:pt idx="254">
                  <c:v>158.83000000000001</c:v>
                </c:pt>
                <c:pt idx="255">
                  <c:v>158.68</c:v>
                </c:pt>
                <c:pt idx="256">
                  <c:v>158.52000000000001</c:v>
                </c:pt>
                <c:pt idx="257">
                  <c:v>158.79</c:v>
                </c:pt>
                <c:pt idx="258">
                  <c:v>159.37</c:v>
                </c:pt>
                <c:pt idx="259">
                  <c:v>159.53</c:v>
                </c:pt>
                <c:pt idx="260">
                  <c:v>159.44999999999999</c:v>
                </c:pt>
                <c:pt idx="261">
                  <c:v>159.02000000000001</c:v>
                </c:pt>
                <c:pt idx="262">
                  <c:v>158.52000000000001</c:v>
                </c:pt>
                <c:pt idx="263">
                  <c:v>157.97999999999999</c:v>
                </c:pt>
                <c:pt idx="264">
                  <c:v>157.63</c:v>
                </c:pt>
                <c:pt idx="265">
                  <c:v>157.52000000000001</c:v>
                </c:pt>
                <c:pt idx="266">
                  <c:v>157.47999999999999</c:v>
                </c:pt>
                <c:pt idx="267">
                  <c:v>157.29</c:v>
                </c:pt>
                <c:pt idx="268">
                  <c:v>157.05000000000001</c:v>
                </c:pt>
                <c:pt idx="269">
                  <c:v>156.86000000000001</c:v>
                </c:pt>
                <c:pt idx="270">
                  <c:v>156.59</c:v>
                </c:pt>
                <c:pt idx="271">
                  <c:v>156.32</c:v>
                </c:pt>
                <c:pt idx="272">
                  <c:v>156.16999999999999</c:v>
                </c:pt>
                <c:pt idx="273">
                  <c:v>156.05000000000001</c:v>
                </c:pt>
                <c:pt idx="274">
                  <c:v>155.9</c:v>
                </c:pt>
                <c:pt idx="275">
                  <c:v>155.66</c:v>
                </c:pt>
                <c:pt idx="276">
                  <c:v>155.55000000000001</c:v>
                </c:pt>
                <c:pt idx="277">
                  <c:v>155.69999999999999</c:v>
                </c:pt>
                <c:pt idx="278">
                  <c:v>156.28</c:v>
                </c:pt>
                <c:pt idx="279">
                  <c:v>156.75</c:v>
                </c:pt>
                <c:pt idx="280">
                  <c:v>156.75</c:v>
                </c:pt>
                <c:pt idx="281">
                  <c:v>156.51</c:v>
                </c:pt>
                <c:pt idx="282">
                  <c:v>156.01</c:v>
                </c:pt>
                <c:pt idx="283">
                  <c:v>155.38999999999999</c:v>
                </c:pt>
                <c:pt idx="284">
                  <c:v>154.82</c:v>
                </c:pt>
                <c:pt idx="285">
                  <c:v>154.54</c:v>
                </c:pt>
                <c:pt idx="286">
                  <c:v>154.43</c:v>
                </c:pt>
                <c:pt idx="287">
                  <c:v>154.24</c:v>
                </c:pt>
                <c:pt idx="288">
                  <c:v>154.16</c:v>
                </c:pt>
                <c:pt idx="289">
                  <c:v>153.93</c:v>
                </c:pt>
                <c:pt idx="290">
                  <c:v>153.69999999999999</c:v>
                </c:pt>
                <c:pt idx="291">
                  <c:v>153.5</c:v>
                </c:pt>
                <c:pt idx="292">
                  <c:v>153.22999999999999</c:v>
                </c:pt>
                <c:pt idx="293">
                  <c:v>152.96</c:v>
                </c:pt>
                <c:pt idx="294">
                  <c:v>152.81</c:v>
                </c:pt>
                <c:pt idx="295">
                  <c:v>152.69</c:v>
                </c:pt>
                <c:pt idx="296">
                  <c:v>152.5</c:v>
                </c:pt>
                <c:pt idx="297">
                  <c:v>152.65</c:v>
                </c:pt>
                <c:pt idx="298">
                  <c:v>153.22999999999999</c:v>
                </c:pt>
                <c:pt idx="299">
                  <c:v>153.69999999999999</c:v>
                </c:pt>
                <c:pt idx="300">
                  <c:v>153.81</c:v>
                </c:pt>
                <c:pt idx="301">
                  <c:v>153.58000000000001</c:v>
                </c:pt>
                <c:pt idx="302">
                  <c:v>153</c:v>
                </c:pt>
                <c:pt idx="303">
                  <c:v>152.41999999999999</c:v>
                </c:pt>
                <c:pt idx="304">
                  <c:v>151.76</c:v>
                </c:pt>
                <c:pt idx="305">
                  <c:v>151.46</c:v>
                </c:pt>
                <c:pt idx="306">
                  <c:v>151.30000000000001</c:v>
                </c:pt>
                <c:pt idx="307">
                  <c:v>151.15</c:v>
                </c:pt>
                <c:pt idx="308">
                  <c:v>151.03</c:v>
                </c:pt>
                <c:pt idx="309">
                  <c:v>150.84</c:v>
                </c:pt>
                <c:pt idx="310">
                  <c:v>150.53</c:v>
                </c:pt>
                <c:pt idx="311">
                  <c:v>150.26</c:v>
                </c:pt>
                <c:pt idx="312">
                  <c:v>150.07</c:v>
                </c:pt>
                <c:pt idx="313">
                  <c:v>149.87</c:v>
                </c:pt>
                <c:pt idx="314">
                  <c:v>149.72</c:v>
                </c:pt>
                <c:pt idx="315">
                  <c:v>149.6</c:v>
                </c:pt>
                <c:pt idx="316">
                  <c:v>149.49</c:v>
                </c:pt>
                <c:pt idx="317">
                  <c:v>149.33000000000001</c:v>
                </c:pt>
                <c:pt idx="318">
                  <c:v>149.72</c:v>
                </c:pt>
                <c:pt idx="319">
                  <c:v>150.37</c:v>
                </c:pt>
                <c:pt idx="320">
                  <c:v>150.80000000000001</c:v>
                </c:pt>
                <c:pt idx="321">
                  <c:v>150.72</c:v>
                </c:pt>
                <c:pt idx="322">
                  <c:v>150.26</c:v>
                </c:pt>
                <c:pt idx="323">
                  <c:v>149.72</c:v>
                </c:pt>
                <c:pt idx="324">
                  <c:v>148.94999999999999</c:v>
                </c:pt>
                <c:pt idx="325">
                  <c:v>148.47999999999999</c:v>
                </c:pt>
                <c:pt idx="326">
                  <c:v>148.33000000000001</c:v>
                </c:pt>
                <c:pt idx="327">
                  <c:v>148.33000000000001</c:v>
                </c:pt>
                <c:pt idx="328">
                  <c:v>148.21</c:v>
                </c:pt>
                <c:pt idx="329">
                  <c:v>147.9</c:v>
                </c:pt>
                <c:pt idx="330">
                  <c:v>147.75</c:v>
                </c:pt>
                <c:pt idx="331">
                  <c:v>147.59</c:v>
                </c:pt>
                <c:pt idx="332">
                  <c:v>147.32</c:v>
                </c:pt>
                <c:pt idx="333">
                  <c:v>147.13</c:v>
                </c:pt>
                <c:pt idx="334">
                  <c:v>146.97999999999999</c:v>
                </c:pt>
                <c:pt idx="335">
                  <c:v>146.74</c:v>
                </c:pt>
                <c:pt idx="336">
                  <c:v>146.55000000000001</c:v>
                </c:pt>
                <c:pt idx="337">
                  <c:v>146.44</c:v>
                </c:pt>
                <c:pt idx="338">
                  <c:v>146.86000000000001</c:v>
                </c:pt>
                <c:pt idx="339">
                  <c:v>147.59</c:v>
                </c:pt>
                <c:pt idx="340">
                  <c:v>147.9</c:v>
                </c:pt>
                <c:pt idx="341">
                  <c:v>148.1</c:v>
                </c:pt>
                <c:pt idx="342">
                  <c:v>147.75</c:v>
                </c:pt>
                <c:pt idx="343">
                  <c:v>147.36000000000001</c:v>
                </c:pt>
                <c:pt idx="344">
                  <c:v>146.55000000000001</c:v>
                </c:pt>
                <c:pt idx="345">
                  <c:v>146.01</c:v>
                </c:pt>
                <c:pt idx="346">
                  <c:v>145.74</c:v>
                </c:pt>
                <c:pt idx="347">
                  <c:v>145.66</c:v>
                </c:pt>
                <c:pt idx="348">
                  <c:v>145.51</c:v>
                </c:pt>
                <c:pt idx="349">
                  <c:v>145.32</c:v>
                </c:pt>
                <c:pt idx="350">
                  <c:v>145.16</c:v>
                </c:pt>
                <c:pt idx="351">
                  <c:v>144.97</c:v>
                </c:pt>
                <c:pt idx="352">
                  <c:v>144.69999999999999</c:v>
                </c:pt>
                <c:pt idx="353">
                  <c:v>144.5</c:v>
                </c:pt>
                <c:pt idx="354">
                  <c:v>144.31</c:v>
                </c:pt>
                <c:pt idx="355">
                  <c:v>144.16</c:v>
                </c:pt>
                <c:pt idx="356">
                  <c:v>144</c:v>
                </c:pt>
                <c:pt idx="357">
                  <c:v>143.85</c:v>
                </c:pt>
                <c:pt idx="358">
                  <c:v>144.19999999999999</c:v>
                </c:pt>
                <c:pt idx="359">
                  <c:v>145.01</c:v>
                </c:pt>
                <c:pt idx="360">
                  <c:v>145.59</c:v>
                </c:pt>
                <c:pt idx="361">
                  <c:v>145.62</c:v>
                </c:pt>
                <c:pt idx="362">
                  <c:v>145.32</c:v>
                </c:pt>
                <c:pt idx="363">
                  <c:v>144.97</c:v>
                </c:pt>
                <c:pt idx="364">
                  <c:v>144.31</c:v>
                </c:pt>
                <c:pt idx="365">
                  <c:v>143.54</c:v>
                </c:pt>
                <c:pt idx="366">
                  <c:v>143.11000000000001</c:v>
                </c:pt>
                <c:pt idx="367">
                  <c:v>143</c:v>
                </c:pt>
                <c:pt idx="368">
                  <c:v>142.77000000000001</c:v>
                </c:pt>
                <c:pt idx="369">
                  <c:v>142.61000000000001</c:v>
                </c:pt>
                <c:pt idx="370">
                  <c:v>142.34</c:v>
                </c:pt>
                <c:pt idx="371">
                  <c:v>142.11000000000001</c:v>
                </c:pt>
                <c:pt idx="372">
                  <c:v>141.91999999999999</c:v>
                </c:pt>
                <c:pt idx="373">
                  <c:v>141.69</c:v>
                </c:pt>
                <c:pt idx="374">
                  <c:v>141.53</c:v>
                </c:pt>
                <c:pt idx="375">
                  <c:v>141.41999999999999</c:v>
                </c:pt>
                <c:pt idx="376">
                  <c:v>141.22</c:v>
                </c:pt>
                <c:pt idx="377">
                  <c:v>141.11000000000001</c:v>
                </c:pt>
                <c:pt idx="378">
                  <c:v>141.57</c:v>
                </c:pt>
                <c:pt idx="379">
                  <c:v>142.30000000000001</c:v>
                </c:pt>
                <c:pt idx="380">
                  <c:v>142.77000000000001</c:v>
                </c:pt>
                <c:pt idx="381">
                  <c:v>142.77000000000001</c:v>
                </c:pt>
                <c:pt idx="382">
                  <c:v>142.5</c:v>
                </c:pt>
                <c:pt idx="383">
                  <c:v>142.07</c:v>
                </c:pt>
                <c:pt idx="384">
                  <c:v>141.44999999999999</c:v>
                </c:pt>
                <c:pt idx="385">
                  <c:v>140.68</c:v>
                </c:pt>
                <c:pt idx="386">
                  <c:v>140.33000000000001</c:v>
                </c:pt>
                <c:pt idx="387">
                  <c:v>140.18</c:v>
                </c:pt>
                <c:pt idx="388">
                  <c:v>139.94999999999999</c:v>
                </c:pt>
                <c:pt idx="389">
                  <c:v>139.83000000000001</c:v>
                </c:pt>
                <c:pt idx="390">
                  <c:v>139.72</c:v>
                </c:pt>
                <c:pt idx="391">
                  <c:v>139.41</c:v>
                </c:pt>
                <c:pt idx="392">
                  <c:v>139.13999999999999</c:v>
                </c:pt>
                <c:pt idx="393">
                  <c:v>138.94</c:v>
                </c:pt>
                <c:pt idx="394">
                  <c:v>138.75</c:v>
                </c:pt>
                <c:pt idx="395">
                  <c:v>138.6</c:v>
                </c:pt>
                <c:pt idx="396">
                  <c:v>138.47999999999999</c:v>
                </c:pt>
                <c:pt idx="397">
                  <c:v>138.6</c:v>
                </c:pt>
                <c:pt idx="398">
                  <c:v>139.29</c:v>
                </c:pt>
                <c:pt idx="399">
                  <c:v>139.94999999999999</c:v>
                </c:pt>
                <c:pt idx="400">
                  <c:v>140.30000000000001</c:v>
                </c:pt>
                <c:pt idx="401">
                  <c:v>139.99</c:v>
                </c:pt>
                <c:pt idx="402">
                  <c:v>139.72</c:v>
                </c:pt>
                <c:pt idx="403">
                  <c:v>139.1</c:v>
                </c:pt>
                <c:pt idx="404">
                  <c:v>138.4</c:v>
                </c:pt>
                <c:pt idx="405">
                  <c:v>137.86000000000001</c:v>
                </c:pt>
                <c:pt idx="406">
                  <c:v>137.59</c:v>
                </c:pt>
                <c:pt idx="407">
                  <c:v>137.4</c:v>
                </c:pt>
                <c:pt idx="408">
                  <c:v>137.24</c:v>
                </c:pt>
                <c:pt idx="409">
                  <c:v>137.01</c:v>
                </c:pt>
                <c:pt idx="410">
                  <c:v>136.86000000000001</c:v>
                </c:pt>
                <c:pt idx="411">
                  <c:v>136.69999999999999</c:v>
                </c:pt>
                <c:pt idx="412">
                  <c:v>136.47</c:v>
                </c:pt>
                <c:pt idx="413">
                  <c:v>136.32</c:v>
                </c:pt>
                <c:pt idx="414">
                  <c:v>136.12</c:v>
                </c:pt>
                <c:pt idx="415">
                  <c:v>135.97</c:v>
                </c:pt>
                <c:pt idx="416">
                  <c:v>135.85</c:v>
                </c:pt>
                <c:pt idx="417">
                  <c:v>136.36000000000001</c:v>
                </c:pt>
                <c:pt idx="418">
                  <c:v>137.13</c:v>
                </c:pt>
                <c:pt idx="419">
                  <c:v>137.71</c:v>
                </c:pt>
                <c:pt idx="420">
                  <c:v>137.71</c:v>
                </c:pt>
                <c:pt idx="421">
                  <c:v>137.4</c:v>
                </c:pt>
                <c:pt idx="422">
                  <c:v>136.97</c:v>
                </c:pt>
                <c:pt idx="423">
                  <c:v>136.36000000000001</c:v>
                </c:pt>
                <c:pt idx="424">
                  <c:v>135.69999999999999</c:v>
                </c:pt>
                <c:pt idx="425">
                  <c:v>135.24</c:v>
                </c:pt>
                <c:pt idx="426">
                  <c:v>135.04</c:v>
                </c:pt>
                <c:pt idx="427">
                  <c:v>134.88999999999999</c:v>
                </c:pt>
                <c:pt idx="428">
                  <c:v>134.72999999999999</c:v>
                </c:pt>
                <c:pt idx="429">
                  <c:v>134.5</c:v>
                </c:pt>
                <c:pt idx="430">
                  <c:v>134.35</c:v>
                </c:pt>
                <c:pt idx="431">
                  <c:v>134.08000000000001</c:v>
                </c:pt>
                <c:pt idx="432">
                  <c:v>133.88</c:v>
                </c:pt>
                <c:pt idx="433">
                  <c:v>133.72999999999999</c:v>
                </c:pt>
                <c:pt idx="434">
                  <c:v>133.58000000000001</c:v>
                </c:pt>
                <c:pt idx="435">
                  <c:v>133.38</c:v>
                </c:pt>
                <c:pt idx="436">
                  <c:v>133.5</c:v>
                </c:pt>
                <c:pt idx="437">
                  <c:v>134.16</c:v>
                </c:pt>
                <c:pt idx="438">
                  <c:v>134.97</c:v>
                </c:pt>
                <c:pt idx="439">
                  <c:v>135.28</c:v>
                </c:pt>
                <c:pt idx="440">
                  <c:v>135.16</c:v>
                </c:pt>
                <c:pt idx="441">
                  <c:v>134.97</c:v>
                </c:pt>
                <c:pt idx="442">
                  <c:v>134.5</c:v>
                </c:pt>
                <c:pt idx="443">
                  <c:v>133.88</c:v>
                </c:pt>
                <c:pt idx="444">
                  <c:v>133.34</c:v>
                </c:pt>
                <c:pt idx="445">
                  <c:v>132.84</c:v>
                </c:pt>
                <c:pt idx="446">
                  <c:v>132.53</c:v>
                </c:pt>
                <c:pt idx="447">
                  <c:v>132.34</c:v>
                </c:pt>
                <c:pt idx="448">
                  <c:v>132.03</c:v>
                </c:pt>
                <c:pt idx="449">
                  <c:v>131.88</c:v>
                </c:pt>
                <c:pt idx="450">
                  <c:v>131.65</c:v>
                </c:pt>
                <c:pt idx="451">
                  <c:v>131.44999999999999</c:v>
                </c:pt>
                <c:pt idx="452">
                  <c:v>131.26</c:v>
                </c:pt>
                <c:pt idx="453">
                  <c:v>131.1</c:v>
                </c:pt>
                <c:pt idx="454">
                  <c:v>130.99</c:v>
                </c:pt>
                <c:pt idx="455">
                  <c:v>130.83000000000001</c:v>
                </c:pt>
                <c:pt idx="456">
                  <c:v>130.99</c:v>
                </c:pt>
                <c:pt idx="457">
                  <c:v>131.72</c:v>
                </c:pt>
                <c:pt idx="458">
                  <c:v>132.49</c:v>
                </c:pt>
                <c:pt idx="459">
                  <c:v>132.72999999999999</c:v>
                </c:pt>
                <c:pt idx="460">
                  <c:v>132.57</c:v>
                </c:pt>
                <c:pt idx="461">
                  <c:v>132.34</c:v>
                </c:pt>
                <c:pt idx="462">
                  <c:v>131.91999999999999</c:v>
                </c:pt>
                <c:pt idx="463">
                  <c:v>131.34</c:v>
                </c:pt>
                <c:pt idx="464">
                  <c:v>130.76</c:v>
                </c:pt>
                <c:pt idx="465">
                  <c:v>130.33000000000001</c:v>
                </c:pt>
                <c:pt idx="466">
                  <c:v>130.02000000000001</c:v>
                </c:pt>
                <c:pt idx="467">
                  <c:v>129.71</c:v>
                </c:pt>
                <c:pt idx="468">
                  <c:v>129.52000000000001</c:v>
                </c:pt>
                <c:pt idx="469">
                  <c:v>129.29</c:v>
                </c:pt>
                <c:pt idx="470">
                  <c:v>129.06</c:v>
                </c:pt>
                <c:pt idx="471">
                  <c:v>128.86000000000001</c:v>
                </c:pt>
                <c:pt idx="472">
                  <c:v>128.75</c:v>
                </c:pt>
                <c:pt idx="473">
                  <c:v>128.52000000000001</c:v>
                </c:pt>
                <c:pt idx="474">
                  <c:v>128.4</c:v>
                </c:pt>
                <c:pt idx="475">
                  <c:v>128.29</c:v>
                </c:pt>
                <c:pt idx="476">
                  <c:v>128.36000000000001</c:v>
                </c:pt>
                <c:pt idx="477">
                  <c:v>129.1</c:v>
                </c:pt>
                <c:pt idx="478">
                  <c:v>129.91</c:v>
                </c:pt>
                <c:pt idx="479">
                  <c:v>130.25</c:v>
                </c:pt>
                <c:pt idx="480">
                  <c:v>130.1</c:v>
                </c:pt>
                <c:pt idx="481">
                  <c:v>129.91</c:v>
                </c:pt>
                <c:pt idx="482">
                  <c:v>129.47999999999999</c:v>
                </c:pt>
                <c:pt idx="483">
                  <c:v>128.97999999999999</c:v>
                </c:pt>
                <c:pt idx="484">
                  <c:v>128.4</c:v>
                </c:pt>
                <c:pt idx="485">
                  <c:v>128.02000000000001</c:v>
                </c:pt>
                <c:pt idx="486">
                  <c:v>127.63</c:v>
                </c:pt>
                <c:pt idx="487">
                  <c:v>127.4</c:v>
                </c:pt>
                <c:pt idx="488">
                  <c:v>127.13</c:v>
                </c:pt>
                <c:pt idx="489">
                  <c:v>126.97</c:v>
                </c:pt>
                <c:pt idx="490">
                  <c:v>126.78</c:v>
                </c:pt>
                <c:pt idx="491">
                  <c:v>126.55</c:v>
                </c:pt>
                <c:pt idx="492">
                  <c:v>126.35</c:v>
                </c:pt>
                <c:pt idx="493">
                  <c:v>126.2</c:v>
                </c:pt>
                <c:pt idx="494">
                  <c:v>126.01</c:v>
                </c:pt>
                <c:pt idx="495">
                  <c:v>125.89</c:v>
                </c:pt>
                <c:pt idx="496">
                  <c:v>126.05</c:v>
                </c:pt>
                <c:pt idx="497">
                  <c:v>126.82</c:v>
                </c:pt>
                <c:pt idx="498">
                  <c:v>127.71</c:v>
                </c:pt>
                <c:pt idx="499">
                  <c:v>127.94</c:v>
                </c:pt>
                <c:pt idx="500">
                  <c:v>127.78</c:v>
                </c:pt>
                <c:pt idx="501">
                  <c:v>127.63</c:v>
                </c:pt>
                <c:pt idx="502">
                  <c:v>127.28</c:v>
                </c:pt>
                <c:pt idx="503">
                  <c:v>126.78</c:v>
                </c:pt>
                <c:pt idx="504">
                  <c:v>126.35</c:v>
                </c:pt>
                <c:pt idx="505">
                  <c:v>126.01</c:v>
                </c:pt>
                <c:pt idx="506">
                  <c:v>125.7</c:v>
                </c:pt>
                <c:pt idx="507">
                  <c:v>125.27</c:v>
                </c:pt>
                <c:pt idx="508">
                  <c:v>124.89</c:v>
                </c:pt>
                <c:pt idx="509">
                  <c:v>124.58</c:v>
                </c:pt>
                <c:pt idx="510">
                  <c:v>124.39</c:v>
                </c:pt>
                <c:pt idx="511">
                  <c:v>124.19</c:v>
                </c:pt>
                <c:pt idx="512">
                  <c:v>124.04</c:v>
                </c:pt>
                <c:pt idx="513">
                  <c:v>123.77</c:v>
                </c:pt>
                <c:pt idx="514">
                  <c:v>123.65</c:v>
                </c:pt>
                <c:pt idx="515">
                  <c:v>123.57</c:v>
                </c:pt>
                <c:pt idx="516">
                  <c:v>123.73</c:v>
                </c:pt>
                <c:pt idx="517">
                  <c:v>124.5</c:v>
                </c:pt>
                <c:pt idx="518">
                  <c:v>125.5</c:v>
                </c:pt>
                <c:pt idx="519">
                  <c:v>125.74</c:v>
                </c:pt>
                <c:pt idx="520">
                  <c:v>125.7</c:v>
                </c:pt>
                <c:pt idx="521">
                  <c:v>125.43</c:v>
                </c:pt>
                <c:pt idx="522">
                  <c:v>125.04</c:v>
                </c:pt>
                <c:pt idx="523">
                  <c:v>124.62</c:v>
                </c:pt>
                <c:pt idx="524">
                  <c:v>124.23</c:v>
                </c:pt>
                <c:pt idx="525">
                  <c:v>123.77</c:v>
                </c:pt>
                <c:pt idx="526">
                  <c:v>123.54</c:v>
                </c:pt>
                <c:pt idx="527">
                  <c:v>123.07</c:v>
                </c:pt>
                <c:pt idx="528">
                  <c:v>122.8</c:v>
                </c:pt>
                <c:pt idx="529">
                  <c:v>122.38</c:v>
                </c:pt>
                <c:pt idx="530">
                  <c:v>122.15</c:v>
                </c:pt>
                <c:pt idx="531">
                  <c:v>121.87</c:v>
                </c:pt>
                <c:pt idx="532">
                  <c:v>121.72</c:v>
                </c:pt>
                <c:pt idx="533">
                  <c:v>121.53</c:v>
                </c:pt>
                <c:pt idx="534">
                  <c:v>121.41</c:v>
                </c:pt>
                <c:pt idx="535">
                  <c:v>121.18</c:v>
                </c:pt>
                <c:pt idx="536">
                  <c:v>121.14</c:v>
                </c:pt>
                <c:pt idx="537">
                  <c:v>121.87</c:v>
                </c:pt>
                <c:pt idx="538">
                  <c:v>122.88</c:v>
                </c:pt>
                <c:pt idx="539">
                  <c:v>123.38</c:v>
                </c:pt>
                <c:pt idx="540">
                  <c:v>123.38</c:v>
                </c:pt>
                <c:pt idx="541">
                  <c:v>123.11</c:v>
                </c:pt>
                <c:pt idx="542">
                  <c:v>122.96</c:v>
                </c:pt>
                <c:pt idx="543">
                  <c:v>122.65</c:v>
                </c:pt>
                <c:pt idx="544">
                  <c:v>122.22</c:v>
                </c:pt>
                <c:pt idx="545">
                  <c:v>121.91</c:v>
                </c:pt>
                <c:pt idx="546">
                  <c:v>121.6</c:v>
                </c:pt>
                <c:pt idx="547">
                  <c:v>121.18</c:v>
                </c:pt>
                <c:pt idx="548">
                  <c:v>120.87</c:v>
                </c:pt>
                <c:pt idx="549">
                  <c:v>120.48</c:v>
                </c:pt>
                <c:pt idx="550">
                  <c:v>120.18</c:v>
                </c:pt>
                <c:pt idx="551">
                  <c:v>119.79</c:v>
                </c:pt>
                <c:pt idx="552">
                  <c:v>119.6</c:v>
                </c:pt>
                <c:pt idx="553">
                  <c:v>119.4</c:v>
                </c:pt>
                <c:pt idx="554">
                  <c:v>119.25</c:v>
                </c:pt>
                <c:pt idx="555">
                  <c:v>119.13</c:v>
                </c:pt>
                <c:pt idx="556">
                  <c:v>119.02</c:v>
                </c:pt>
                <c:pt idx="557">
                  <c:v>119.29</c:v>
                </c:pt>
                <c:pt idx="558">
                  <c:v>120.25</c:v>
                </c:pt>
                <c:pt idx="559">
                  <c:v>121.1</c:v>
                </c:pt>
                <c:pt idx="560">
                  <c:v>121.18</c:v>
                </c:pt>
                <c:pt idx="561">
                  <c:v>121.14</c:v>
                </c:pt>
                <c:pt idx="562">
                  <c:v>121.3</c:v>
                </c:pt>
                <c:pt idx="563">
                  <c:v>121.14</c:v>
                </c:pt>
                <c:pt idx="564">
                  <c:v>120.83</c:v>
                </c:pt>
                <c:pt idx="565">
                  <c:v>120.56</c:v>
                </c:pt>
                <c:pt idx="566">
                  <c:v>120.33</c:v>
                </c:pt>
                <c:pt idx="567">
                  <c:v>119.87</c:v>
                </c:pt>
                <c:pt idx="568">
                  <c:v>119.44</c:v>
                </c:pt>
                <c:pt idx="569">
                  <c:v>119.06</c:v>
                </c:pt>
                <c:pt idx="570">
                  <c:v>118.44</c:v>
                </c:pt>
                <c:pt idx="571">
                  <c:v>118.05</c:v>
                </c:pt>
                <c:pt idx="572">
                  <c:v>117.7</c:v>
                </c:pt>
                <c:pt idx="573">
                  <c:v>117.43</c:v>
                </c:pt>
                <c:pt idx="574">
                  <c:v>117.16</c:v>
                </c:pt>
                <c:pt idx="575">
                  <c:v>117.09</c:v>
                </c:pt>
                <c:pt idx="576">
                  <c:v>116.85</c:v>
                </c:pt>
                <c:pt idx="577">
                  <c:v>116.78</c:v>
                </c:pt>
                <c:pt idx="578">
                  <c:v>117.4</c:v>
                </c:pt>
                <c:pt idx="579">
                  <c:v>118.36</c:v>
                </c:pt>
                <c:pt idx="580">
                  <c:v>119.02</c:v>
                </c:pt>
                <c:pt idx="581">
                  <c:v>119.17</c:v>
                </c:pt>
                <c:pt idx="582">
                  <c:v>119.4</c:v>
                </c:pt>
                <c:pt idx="583">
                  <c:v>119.4</c:v>
                </c:pt>
                <c:pt idx="584">
                  <c:v>119.13</c:v>
                </c:pt>
                <c:pt idx="585">
                  <c:v>118.82</c:v>
                </c:pt>
                <c:pt idx="586">
                  <c:v>118.4</c:v>
                </c:pt>
                <c:pt idx="587">
                  <c:v>118.05</c:v>
                </c:pt>
                <c:pt idx="588">
                  <c:v>117.74</c:v>
                </c:pt>
                <c:pt idx="589">
                  <c:v>117.28</c:v>
                </c:pt>
                <c:pt idx="590">
                  <c:v>116.85</c:v>
                </c:pt>
                <c:pt idx="591">
                  <c:v>116.43</c:v>
                </c:pt>
                <c:pt idx="592">
                  <c:v>116.04</c:v>
                </c:pt>
                <c:pt idx="593">
                  <c:v>115.66</c:v>
                </c:pt>
                <c:pt idx="594">
                  <c:v>115.46</c:v>
                </c:pt>
                <c:pt idx="595">
                  <c:v>115.19</c:v>
                </c:pt>
                <c:pt idx="596">
                  <c:v>115.04</c:v>
                </c:pt>
                <c:pt idx="597">
                  <c:v>115</c:v>
                </c:pt>
                <c:pt idx="598">
                  <c:v>114.96</c:v>
                </c:pt>
                <c:pt idx="599">
                  <c:v>115.5</c:v>
                </c:pt>
                <c:pt idx="600">
                  <c:v>116.55</c:v>
                </c:pt>
                <c:pt idx="601">
                  <c:v>117.16</c:v>
                </c:pt>
                <c:pt idx="602">
                  <c:v>117.63</c:v>
                </c:pt>
                <c:pt idx="603">
                  <c:v>117.74</c:v>
                </c:pt>
                <c:pt idx="604">
                  <c:v>117.7</c:v>
                </c:pt>
                <c:pt idx="605">
                  <c:v>117.47</c:v>
                </c:pt>
                <c:pt idx="606">
                  <c:v>117.13</c:v>
                </c:pt>
                <c:pt idx="607">
                  <c:v>116.85</c:v>
                </c:pt>
                <c:pt idx="608">
                  <c:v>116.62</c:v>
                </c:pt>
                <c:pt idx="609">
                  <c:v>116.31</c:v>
                </c:pt>
                <c:pt idx="610">
                  <c:v>115.93</c:v>
                </c:pt>
                <c:pt idx="611">
                  <c:v>115.66</c:v>
                </c:pt>
                <c:pt idx="612">
                  <c:v>115.31</c:v>
                </c:pt>
                <c:pt idx="613">
                  <c:v>114.92</c:v>
                </c:pt>
                <c:pt idx="614">
                  <c:v>114.42</c:v>
                </c:pt>
                <c:pt idx="615">
                  <c:v>114.04</c:v>
                </c:pt>
                <c:pt idx="616">
                  <c:v>113.73</c:v>
                </c:pt>
                <c:pt idx="617">
                  <c:v>113.46</c:v>
                </c:pt>
                <c:pt idx="618">
                  <c:v>113.19</c:v>
                </c:pt>
                <c:pt idx="619">
                  <c:v>113.19</c:v>
                </c:pt>
                <c:pt idx="620">
                  <c:v>113.96</c:v>
                </c:pt>
                <c:pt idx="621">
                  <c:v>115.08</c:v>
                </c:pt>
                <c:pt idx="622">
                  <c:v>115.73</c:v>
                </c:pt>
                <c:pt idx="623">
                  <c:v>115.93</c:v>
                </c:pt>
                <c:pt idx="624">
                  <c:v>115.93</c:v>
                </c:pt>
                <c:pt idx="625">
                  <c:v>115.85</c:v>
                </c:pt>
                <c:pt idx="626">
                  <c:v>115.58</c:v>
                </c:pt>
                <c:pt idx="627">
                  <c:v>115.19</c:v>
                </c:pt>
                <c:pt idx="628">
                  <c:v>114.89</c:v>
                </c:pt>
                <c:pt idx="629">
                  <c:v>114.54</c:v>
                </c:pt>
                <c:pt idx="630">
                  <c:v>114.34</c:v>
                </c:pt>
                <c:pt idx="631">
                  <c:v>113.96</c:v>
                </c:pt>
                <c:pt idx="632">
                  <c:v>113.61</c:v>
                </c:pt>
                <c:pt idx="633">
                  <c:v>113.22</c:v>
                </c:pt>
                <c:pt idx="634">
                  <c:v>112.88</c:v>
                </c:pt>
                <c:pt idx="635">
                  <c:v>112.41</c:v>
                </c:pt>
                <c:pt idx="636">
                  <c:v>112.03</c:v>
                </c:pt>
                <c:pt idx="637">
                  <c:v>111.8</c:v>
                </c:pt>
                <c:pt idx="638">
                  <c:v>111.49</c:v>
                </c:pt>
                <c:pt idx="639">
                  <c:v>111.26</c:v>
                </c:pt>
                <c:pt idx="640">
                  <c:v>111.14</c:v>
                </c:pt>
                <c:pt idx="641">
                  <c:v>111.49</c:v>
                </c:pt>
                <c:pt idx="642">
                  <c:v>112.61</c:v>
                </c:pt>
                <c:pt idx="643">
                  <c:v>113.53</c:v>
                </c:pt>
                <c:pt idx="644">
                  <c:v>114</c:v>
                </c:pt>
                <c:pt idx="645">
                  <c:v>114</c:v>
                </c:pt>
                <c:pt idx="646">
                  <c:v>114</c:v>
                </c:pt>
                <c:pt idx="647">
                  <c:v>113.73</c:v>
                </c:pt>
                <c:pt idx="648">
                  <c:v>113.38</c:v>
                </c:pt>
                <c:pt idx="649">
                  <c:v>113.03</c:v>
                </c:pt>
                <c:pt idx="650">
                  <c:v>112.61</c:v>
                </c:pt>
                <c:pt idx="651">
                  <c:v>112.34</c:v>
                </c:pt>
                <c:pt idx="652">
                  <c:v>111.99</c:v>
                </c:pt>
                <c:pt idx="653">
                  <c:v>111.64</c:v>
                </c:pt>
                <c:pt idx="654">
                  <c:v>111.33</c:v>
                </c:pt>
                <c:pt idx="655">
                  <c:v>110.95</c:v>
                </c:pt>
                <c:pt idx="656">
                  <c:v>110.52</c:v>
                </c:pt>
                <c:pt idx="657">
                  <c:v>110.14</c:v>
                </c:pt>
                <c:pt idx="658">
                  <c:v>109.79</c:v>
                </c:pt>
                <c:pt idx="659">
                  <c:v>109.59</c:v>
                </c:pt>
                <c:pt idx="660">
                  <c:v>109.44</c:v>
                </c:pt>
                <c:pt idx="661">
                  <c:v>109.29</c:v>
                </c:pt>
                <c:pt idx="662">
                  <c:v>109.36</c:v>
                </c:pt>
                <c:pt idx="663">
                  <c:v>110.1</c:v>
                </c:pt>
                <c:pt idx="664">
                  <c:v>111.22</c:v>
                </c:pt>
                <c:pt idx="665">
                  <c:v>111.8</c:v>
                </c:pt>
                <c:pt idx="666">
                  <c:v>111.91</c:v>
                </c:pt>
                <c:pt idx="667">
                  <c:v>111.87</c:v>
                </c:pt>
                <c:pt idx="668">
                  <c:v>111.76</c:v>
                </c:pt>
                <c:pt idx="669">
                  <c:v>111.37</c:v>
                </c:pt>
                <c:pt idx="670">
                  <c:v>111.06</c:v>
                </c:pt>
                <c:pt idx="671">
                  <c:v>110.75</c:v>
                </c:pt>
                <c:pt idx="672">
                  <c:v>110.41</c:v>
                </c:pt>
                <c:pt idx="673">
                  <c:v>110.14</c:v>
                </c:pt>
                <c:pt idx="674">
                  <c:v>109.87</c:v>
                </c:pt>
                <c:pt idx="675">
                  <c:v>109.67</c:v>
                </c:pt>
                <c:pt idx="676">
                  <c:v>109.36</c:v>
                </c:pt>
                <c:pt idx="677">
                  <c:v>108.98</c:v>
                </c:pt>
                <c:pt idx="678">
                  <c:v>108.71</c:v>
                </c:pt>
                <c:pt idx="679">
                  <c:v>108.36</c:v>
                </c:pt>
                <c:pt idx="680">
                  <c:v>108.09</c:v>
                </c:pt>
                <c:pt idx="681">
                  <c:v>107.86</c:v>
                </c:pt>
                <c:pt idx="682">
                  <c:v>107.66</c:v>
                </c:pt>
                <c:pt idx="683">
                  <c:v>107.74</c:v>
                </c:pt>
                <c:pt idx="684">
                  <c:v>108.59</c:v>
                </c:pt>
                <c:pt idx="685">
                  <c:v>109.59</c:v>
                </c:pt>
                <c:pt idx="686">
                  <c:v>110.06</c:v>
                </c:pt>
                <c:pt idx="687">
                  <c:v>110.14</c:v>
                </c:pt>
                <c:pt idx="688">
                  <c:v>110.1</c:v>
                </c:pt>
                <c:pt idx="689">
                  <c:v>109.9</c:v>
                </c:pt>
                <c:pt idx="690">
                  <c:v>109.59</c:v>
                </c:pt>
                <c:pt idx="691">
                  <c:v>109.25</c:v>
                </c:pt>
                <c:pt idx="692">
                  <c:v>108.75</c:v>
                </c:pt>
                <c:pt idx="693">
                  <c:v>108.51</c:v>
                </c:pt>
                <c:pt idx="694">
                  <c:v>108.24</c:v>
                </c:pt>
                <c:pt idx="695">
                  <c:v>108.01</c:v>
                </c:pt>
                <c:pt idx="696">
                  <c:v>107.86</c:v>
                </c:pt>
                <c:pt idx="697">
                  <c:v>107.55</c:v>
                </c:pt>
                <c:pt idx="698">
                  <c:v>107.16</c:v>
                </c:pt>
                <c:pt idx="699">
                  <c:v>106.81</c:v>
                </c:pt>
                <c:pt idx="700">
                  <c:v>106.47</c:v>
                </c:pt>
                <c:pt idx="701">
                  <c:v>106.08</c:v>
                </c:pt>
                <c:pt idx="702">
                  <c:v>105.77</c:v>
                </c:pt>
                <c:pt idx="703">
                  <c:v>105.58</c:v>
                </c:pt>
                <c:pt idx="704">
                  <c:v>105.69</c:v>
                </c:pt>
                <c:pt idx="705">
                  <c:v>106.7</c:v>
                </c:pt>
                <c:pt idx="706">
                  <c:v>107.66</c:v>
                </c:pt>
                <c:pt idx="707">
                  <c:v>108.01</c:v>
                </c:pt>
                <c:pt idx="708">
                  <c:v>108.05</c:v>
                </c:pt>
                <c:pt idx="709">
                  <c:v>108.01</c:v>
                </c:pt>
                <c:pt idx="710">
                  <c:v>107.78</c:v>
                </c:pt>
                <c:pt idx="711">
                  <c:v>107.39</c:v>
                </c:pt>
                <c:pt idx="712">
                  <c:v>107.01</c:v>
                </c:pt>
                <c:pt idx="713">
                  <c:v>106.74</c:v>
                </c:pt>
                <c:pt idx="714">
                  <c:v>106.51</c:v>
                </c:pt>
                <c:pt idx="715">
                  <c:v>106.24</c:v>
                </c:pt>
                <c:pt idx="716">
                  <c:v>105.96</c:v>
                </c:pt>
                <c:pt idx="717">
                  <c:v>105.73</c:v>
                </c:pt>
                <c:pt idx="718">
                  <c:v>105.46</c:v>
                </c:pt>
                <c:pt idx="719">
                  <c:v>105.08</c:v>
                </c:pt>
                <c:pt idx="720">
                  <c:v>104.73</c:v>
                </c:pt>
                <c:pt idx="721">
                  <c:v>104.34</c:v>
                </c:pt>
                <c:pt idx="722">
                  <c:v>103.96</c:v>
                </c:pt>
                <c:pt idx="723">
                  <c:v>103.65</c:v>
                </c:pt>
                <c:pt idx="724">
                  <c:v>103.38</c:v>
                </c:pt>
                <c:pt idx="725">
                  <c:v>103.45</c:v>
                </c:pt>
                <c:pt idx="726">
                  <c:v>104.34</c:v>
                </c:pt>
                <c:pt idx="727">
                  <c:v>105.46</c:v>
                </c:pt>
                <c:pt idx="728">
                  <c:v>105.81</c:v>
                </c:pt>
                <c:pt idx="729">
                  <c:v>105.85</c:v>
                </c:pt>
                <c:pt idx="730">
                  <c:v>105.81</c:v>
                </c:pt>
                <c:pt idx="731">
                  <c:v>105.62</c:v>
                </c:pt>
                <c:pt idx="732">
                  <c:v>105.23</c:v>
                </c:pt>
                <c:pt idx="733">
                  <c:v>104.88</c:v>
                </c:pt>
                <c:pt idx="734">
                  <c:v>104.46</c:v>
                </c:pt>
                <c:pt idx="735">
                  <c:v>104.27</c:v>
                </c:pt>
                <c:pt idx="736">
                  <c:v>104</c:v>
                </c:pt>
                <c:pt idx="737">
                  <c:v>103.84</c:v>
                </c:pt>
                <c:pt idx="738">
                  <c:v>103.65</c:v>
                </c:pt>
                <c:pt idx="739">
                  <c:v>103.34</c:v>
                </c:pt>
                <c:pt idx="740">
                  <c:v>102.99</c:v>
                </c:pt>
                <c:pt idx="741">
                  <c:v>102.76</c:v>
                </c:pt>
                <c:pt idx="742">
                  <c:v>102.33</c:v>
                </c:pt>
                <c:pt idx="743">
                  <c:v>102.03</c:v>
                </c:pt>
                <c:pt idx="744">
                  <c:v>101.72</c:v>
                </c:pt>
                <c:pt idx="745">
                  <c:v>101.45</c:v>
                </c:pt>
                <c:pt idx="746">
                  <c:v>101.52</c:v>
                </c:pt>
                <c:pt idx="747">
                  <c:v>102.3</c:v>
                </c:pt>
                <c:pt idx="748">
                  <c:v>103.34</c:v>
                </c:pt>
                <c:pt idx="749">
                  <c:v>103.72</c:v>
                </c:pt>
                <c:pt idx="750">
                  <c:v>103.76</c:v>
                </c:pt>
                <c:pt idx="751">
                  <c:v>103.65</c:v>
                </c:pt>
                <c:pt idx="752">
                  <c:v>103.45</c:v>
                </c:pt>
                <c:pt idx="753">
                  <c:v>103.11</c:v>
                </c:pt>
                <c:pt idx="754">
                  <c:v>102.8</c:v>
                </c:pt>
                <c:pt idx="755">
                  <c:v>102.45</c:v>
                </c:pt>
                <c:pt idx="756">
                  <c:v>102.18</c:v>
                </c:pt>
                <c:pt idx="757">
                  <c:v>101.91</c:v>
                </c:pt>
                <c:pt idx="758">
                  <c:v>101.72</c:v>
                </c:pt>
                <c:pt idx="759">
                  <c:v>101.52</c:v>
                </c:pt>
                <c:pt idx="760">
                  <c:v>101.29</c:v>
                </c:pt>
                <c:pt idx="761">
                  <c:v>100.94</c:v>
                </c:pt>
                <c:pt idx="762">
                  <c:v>100.67</c:v>
                </c:pt>
                <c:pt idx="763">
                  <c:v>100.33</c:v>
                </c:pt>
                <c:pt idx="764">
                  <c:v>100.06</c:v>
                </c:pt>
                <c:pt idx="765">
                  <c:v>99.67</c:v>
                </c:pt>
                <c:pt idx="766">
                  <c:v>99.48</c:v>
                </c:pt>
                <c:pt idx="767">
                  <c:v>99.52</c:v>
                </c:pt>
                <c:pt idx="768">
                  <c:v>100.33</c:v>
                </c:pt>
                <c:pt idx="769">
                  <c:v>101.45</c:v>
                </c:pt>
                <c:pt idx="770">
                  <c:v>101.83</c:v>
                </c:pt>
                <c:pt idx="771">
                  <c:v>101.83</c:v>
                </c:pt>
                <c:pt idx="772">
                  <c:v>101.79</c:v>
                </c:pt>
                <c:pt idx="773">
                  <c:v>101.6</c:v>
                </c:pt>
                <c:pt idx="774">
                  <c:v>101.21</c:v>
                </c:pt>
                <c:pt idx="775">
                  <c:v>100.87</c:v>
                </c:pt>
                <c:pt idx="776">
                  <c:v>100.52</c:v>
                </c:pt>
                <c:pt idx="777">
                  <c:v>100.29</c:v>
                </c:pt>
                <c:pt idx="778">
                  <c:v>100.1</c:v>
                </c:pt>
                <c:pt idx="779">
                  <c:v>99.9</c:v>
                </c:pt>
                <c:pt idx="780">
                  <c:v>99.63</c:v>
                </c:pt>
                <c:pt idx="781">
                  <c:v>99.4</c:v>
                </c:pt>
                <c:pt idx="782">
                  <c:v>99.13</c:v>
                </c:pt>
                <c:pt idx="783">
                  <c:v>98.9</c:v>
                </c:pt>
                <c:pt idx="784">
                  <c:v>98.59</c:v>
                </c:pt>
                <c:pt idx="785">
                  <c:v>98.28</c:v>
                </c:pt>
                <c:pt idx="786">
                  <c:v>97.97</c:v>
                </c:pt>
                <c:pt idx="787">
                  <c:v>97.78</c:v>
                </c:pt>
                <c:pt idx="788">
                  <c:v>98.09</c:v>
                </c:pt>
                <c:pt idx="789">
                  <c:v>99.05</c:v>
                </c:pt>
                <c:pt idx="790">
                  <c:v>99.82</c:v>
                </c:pt>
                <c:pt idx="791">
                  <c:v>100.06</c:v>
                </c:pt>
                <c:pt idx="792">
                  <c:v>100.06</c:v>
                </c:pt>
                <c:pt idx="793">
                  <c:v>99.94</c:v>
                </c:pt>
                <c:pt idx="794">
                  <c:v>99.63</c:v>
                </c:pt>
                <c:pt idx="795">
                  <c:v>99.32</c:v>
                </c:pt>
                <c:pt idx="796">
                  <c:v>98.94</c:v>
                </c:pt>
                <c:pt idx="797">
                  <c:v>98.78</c:v>
                </c:pt>
                <c:pt idx="798">
                  <c:v>98.59</c:v>
                </c:pt>
                <c:pt idx="799">
                  <c:v>98.43</c:v>
                </c:pt>
                <c:pt idx="800">
                  <c:v>98.24</c:v>
                </c:pt>
                <c:pt idx="801">
                  <c:v>98.13</c:v>
                </c:pt>
                <c:pt idx="802">
                  <c:v>97.86</c:v>
                </c:pt>
                <c:pt idx="803">
                  <c:v>97.58</c:v>
                </c:pt>
                <c:pt idx="804">
                  <c:v>97.28</c:v>
                </c:pt>
                <c:pt idx="805">
                  <c:v>96.93</c:v>
                </c:pt>
                <c:pt idx="806">
                  <c:v>96.66</c:v>
                </c:pt>
                <c:pt idx="807">
                  <c:v>96.35</c:v>
                </c:pt>
                <c:pt idx="808">
                  <c:v>96.54</c:v>
                </c:pt>
                <c:pt idx="809">
                  <c:v>97.47</c:v>
                </c:pt>
                <c:pt idx="810">
                  <c:v>98.13</c:v>
                </c:pt>
                <c:pt idx="811">
                  <c:v>98.28</c:v>
                </c:pt>
                <c:pt idx="812">
                  <c:v>98.28</c:v>
                </c:pt>
                <c:pt idx="813">
                  <c:v>98.28</c:v>
                </c:pt>
                <c:pt idx="814">
                  <c:v>98.13</c:v>
                </c:pt>
                <c:pt idx="815">
                  <c:v>97.78</c:v>
                </c:pt>
                <c:pt idx="816">
                  <c:v>97.51</c:v>
                </c:pt>
                <c:pt idx="817">
                  <c:v>97.28</c:v>
                </c:pt>
                <c:pt idx="818">
                  <c:v>97.01</c:v>
                </c:pt>
                <c:pt idx="819">
                  <c:v>96.93</c:v>
                </c:pt>
                <c:pt idx="820">
                  <c:v>96.77</c:v>
                </c:pt>
                <c:pt idx="821">
                  <c:v>96.54</c:v>
                </c:pt>
                <c:pt idx="822">
                  <c:v>96.31</c:v>
                </c:pt>
                <c:pt idx="823">
                  <c:v>96.08</c:v>
                </c:pt>
                <c:pt idx="824">
                  <c:v>95.85</c:v>
                </c:pt>
                <c:pt idx="825">
                  <c:v>95.5</c:v>
                </c:pt>
                <c:pt idx="826">
                  <c:v>95.23</c:v>
                </c:pt>
                <c:pt idx="827">
                  <c:v>94.92</c:v>
                </c:pt>
                <c:pt idx="828">
                  <c:v>94.88</c:v>
                </c:pt>
                <c:pt idx="829">
                  <c:v>95.65</c:v>
                </c:pt>
                <c:pt idx="830">
                  <c:v>96.35</c:v>
                </c:pt>
                <c:pt idx="831">
                  <c:v>96.54</c:v>
                </c:pt>
                <c:pt idx="832">
                  <c:v>96.66</c:v>
                </c:pt>
                <c:pt idx="833">
                  <c:v>96.66</c:v>
                </c:pt>
                <c:pt idx="834">
                  <c:v>96.47</c:v>
                </c:pt>
                <c:pt idx="835">
                  <c:v>96.23</c:v>
                </c:pt>
                <c:pt idx="836">
                  <c:v>95.96</c:v>
                </c:pt>
                <c:pt idx="837">
                  <c:v>95.73</c:v>
                </c:pt>
                <c:pt idx="838">
                  <c:v>95.54</c:v>
                </c:pt>
                <c:pt idx="839">
                  <c:v>95.5</c:v>
                </c:pt>
                <c:pt idx="840">
                  <c:v>95.31</c:v>
                </c:pt>
                <c:pt idx="841">
                  <c:v>95.15</c:v>
                </c:pt>
                <c:pt idx="842">
                  <c:v>94.92</c:v>
                </c:pt>
                <c:pt idx="843">
                  <c:v>94.84</c:v>
                </c:pt>
                <c:pt idx="844">
                  <c:v>94.61</c:v>
                </c:pt>
                <c:pt idx="845">
                  <c:v>94.38</c:v>
                </c:pt>
                <c:pt idx="846">
                  <c:v>94.15</c:v>
                </c:pt>
                <c:pt idx="847">
                  <c:v>93.88</c:v>
                </c:pt>
                <c:pt idx="848">
                  <c:v>93.72</c:v>
                </c:pt>
                <c:pt idx="849">
                  <c:v>94.07</c:v>
                </c:pt>
                <c:pt idx="850">
                  <c:v>94.92</c:v>
                </c:pt>
                <c:pt idx="851">
                  <c:v>95.15</c:v>
                </c:pt>
                <c:pt idx="852">
                  <c:v>95.31</c:v>
                </c:pt>
                <c:pt idx="853">
                  <c:v>95.35</c:v>
                </c:pt>
                <c:pt idx="854">
                  <c:v>95.31</c:v>
                </c:pt>
                <c:pt idx="855">
                  <c:v>95.15</c:v>
                </c:pt>
                <c:pt idx="856">
                  <c:v>94.88</c:v>
                </c:pt>
                <c:pt idx="857">
                  <c:v>94.73</c:v>
                </c:pt>
                <c:pt idx="858">
                  <c:v>94.57</c:v>
                </c:pt>
                <c:pt idx="859">
                  <c:v>94.42</c:v>
                </c:pt>
                <c:pt idx="860">
                  <c:v>94.34</c:v>
                </c:pt>
                <c:pt idx="861">
                  <c:v>94.19</c:v>
                </c:pt>
                <c:pt idx="862">
                  <c:v>93.99</c:v>
                </c:pt>
                <c:pt idx="863">
                  <c:v>93.84</c:v>
                </c:pt>
                <c:pt idx="864">
                  <c:v>93.61</c:v>
                </c:pt>
                <c:pt idx="865">
                  <c:v>93.45</c:v>
                </c:pt>
                <c:pt idx="866">
                  <c:v>93.3</c:v>
                </c:pt>
                <c:pt idx="867">
                  <c:v>93.07</c:v>
                </c:pt>
                <c:pt idx="868">
                  <c:v>92.87</c:v>
                </c:pt>
                <c:pt idx="869">
                  <c:v>93.07</c:v>
                </c:pt>
                <c:pt idx="870">
                  <c:v>93.61</c:v>
                </c:pt>
                <c:pt idx="871">
                  <c:v>93.88</c:v>
                </c:pt>
                <c:pt idx="872">
                  <c:v>94.07</c:v>
                </c:pt>
                <c:pt idx="873">
                  <c:v>94.15</c:v>
                </c:pt>
                <c:pt idx="874">
                  <c:v>94.15</c:v>
                </c:pt>
                <c:pt idx="875">
                  <c:v>93.95</c:v>
                </c:pt>
                <c:pt idx="876">
                  <c:v>93.68</c:v>
                </c:pt>
                <c:pt idx="877">
                  <c:v>93.53</c:v>
                </c:pt>
                <c:pt idx="878">
                  <c:v>93.34</c:v>
                </c:pt>
                <c:pt idx="879">
                  <c:v>93.3</c:v>
                </c:pt>
                <c:pt idx="880">
                  <c:v>93.14</c:v>
                </c:pt>
                <c:pt idx="881">
                  <c:v>92.95</c:v>
                </c:pt>
                <c:pt idx="882">
                  <c:v>92.84</c:v>
                </c:pt>
                <c:pt idx="883">
                  <c:v>92.64</c:v>
                </c:pt>
                <c:pt idx="884">
                  <c:v>92.45</c:v>
                </c:pt>
                <c:pt idx="885">
                  <c:v>92.22</c:v>
                </c:pt>
                <c:pt idx="886">
                  <c:v>92.06</c:v>
                </c:pt>
                <c:pt idx="887">
                  <c:v>91.79</c:v>
                </c:pt>
                <c:pt idx="888">
                  <c:v>91.64</c:v>
                </c:pt>
                <c:pt idx="889">
                  <c:v>91.6</c:v>
                </c:pt>
                <c:pt idx="890">
                  <c:v>92.06</c:v>
                </c:pt>
                <c:pt idx="891">
                  <c:v>92.45</c:v>
                </c:pt>
                <c:pt idx="892">
                  <c:v>92.56</c:v>
                </c:pt>
                <c:pt idx="893">
                  <c:v>88.47</c:v>
                </c:pt>
                <c:pt idx="894">
                  <c:v>84.07</c:v>
                </c:pt>
                <c:pt idx="895">
                  <c:v>80.400000000000006</c:v>
                </c:pt>
                <c:pt idx="896">
                  <c:v>77.27</c:v>
                </c:pt>
                <c:pt idx="897">
                  <c:v>74.38</c:v>
                </c:pt>
                <c:pt idx="898">
                  <c:v>71.790000000000006</c:v>
                </c:pt>
                <c:pt idx="899">
                  <c:v>69.2</c:v>
                </c:pt>
                <c:pt idx="900">
                  <c:v>66.849999999999994</c:v>
                </c:pt>
                <c:pt idx="901">
                  <c:v>64.64</c:v>
                </c:pt>
                <c:pt idx="902">
                  <c:v>62.44</c:v>
                </c:pt>
                <c:pt idx="903">
                  <c:v>60.24</c:v>
                </c:pt>
                <c:pt idx="904">
                  <c:v>58.23</c:v>
                </c:pt>
                <c:pt idx="905">
                  <c:v>56.23</c:v>
                </c:pt>
                <c:pt idx="906">
                  <c:v>54.41</c:v>
                </c:pt>
                <c:pt idx="907">
                  <c:v>52.6</c:v>
                </c:pt>
                <c:pt idx="908">
                  <c:v>50.82</c:v>
                </c:pt>
                <c:pt idx="909">
                  <c:v>49.12</c:v>
                </c:pt>
                <c:pt idx="910">
                  <c:v>47.69</c:v>
                </c:pt>
                <c:pt idx="911">
                  <c:v>46.38</c:v>
                </c:pt>
                <c:pt idx="912">
                  <c:v>44.95</c:v>
                </c:pt>
                <c:pt idx="913">
                  <c:v>43.6</c:v>
                </c:pt>
                <c:pt idx="914">
                  <c:v>42.25</c:v>
                </c:pt>
                <c:pt idx="915">
                  <c:v>40.9</c:v>
                </c:pt>
                <c:pt idx="916">
                  <c:v>39.54</c:v>
                </c:pt>
                <c:pt idx="917">
                  <c:v>38.229999999999997</c:v>
                </c:pt>
                <c:pt idx="918">
                  <c:v>36.99</c:v>
                </c:pt>
                <c:pt idx="919">
                  <c:v>35.880000000000003</c:v>
                </c:pt>
                <c:pt idx="920">
                  <c:v>34.72</c:v>
                </c:pt>
                <c:pt idx="921">
                  <c:v>33.6</c:v>
                </c:pt>
                <c:pt idx="922">
                  <c:v>32.590000000000003</c:v>
                </c:pt>
                <c:pt idx="923">
                  <c:v>31.47</c:v>
                </c:pt>
                <c:pt idx="924">
                  <c:v>30.51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8-4530-A377-734FC85F09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Hoja2!$AY$2:$AY$926</c:f>
              <c:numCache>
                <c:formatCode>General</c:formatCode>
                <c:ptCount val="9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</c:numCache>
            </c:numRef>
          </c:xVal>
          <c:yVal>
            <c:numRef>
              <c:f>Hoja2!$BA$2:$BA$926</c:f>
              <c:numCache>
                <c:formatCode>General</c:formatCode>
                <c:ptCount val="925"/>
                <c:pt idx="1">
                  <c:v>-6.2000000000000455</c:v>
                </c:pt>
                <c:pt idx="2">
                  <c:v>-3.7999999999999545</c:v>
                </c:pt>
                <c:pt idx="3">
                  <c:v>-5.4000000000002046</c:v>
                </c:pt>
                <c:pt idx="4">
                  <c:v>-5.3999999999996362</c:v>
                </c:pt>
                <c:pt idx="5">
                  <c:v>-4.8000000000001819</c:v>
                </c:pt>
                <c:pt idx="6">
                  <c:v>-5.4000000000002046</c:v>
                </c:pt>
                <c:pt idx="7">
                  <c:v>-5.3999999999996362</c:v>
                </c:pt>
                <c:pt idx="8">
                  <c:v>-3.0000000000001137</c:v>
                </c:pt>
                <c:pt idx="9">
                  <c:v>-5.4000000000002046</c:v>
                </c:pt>
                <c:pt idx="10">
                  <c:v>-4.5999999999997954</c:v>
                </c:pt>
                <c:pt idx="11">
                  <c:v>-3.1999999999999318</c:v>
                </c:pt>
                <c:pt idx="12">
                  <c:v>-2.2000000000002728</c:v>
                </c:pt>
                <c:pt idx="13">
                  <c:v>6.0000000000002274</c:v>
                </c:pt>
                <c:pt idx="14">
                  <c:v>-0.60000000000002274</c:v>
                </c:pt>
                <c:pt idx="15">
                  <c:v>-7.8000000000002956</c:v>
                </c:pt>
                <c:pt idx="16">
                  <c:v>-6.9999999999998863</c:v>
                </c:pt>
                <c:pt idx="17">
                  <c:v>-7.5999999999999091</c:v>
                </c:pt>
                <c:pt idx="18">
                  <c:v>-4.8000000000001819</c:v>
                </c:pt>
                <c:pt idx="19">
                  <c:v>-9.1999999999995907</c:v>
                </c:pt>
                <c:pt idx="20">
                  <c:v>-3.0000000000001137</c:v>
                </c:pt>
                <c:pt idx="21">
                  <c:v>-4.0000000000003411</c:v>
                </c:pt>
                <c:pt idx="22">
                  <c:v>-4.5999999999997954</c:v>
                </c:pt>
                <c:pt idx="23">
                  <c:v>-4.5999999999997954</c:v>
                </c:pt>
                <c:pt idx="24">
                  <c:v>-5.4000000000002046</c:v>
                </c:pt>
                <c:pt idx="25">
                  <c:v>-6.9999999999998863</c:v>
                </c:pt>
                <c:pt idx="26">
                  <c:v>-3.0000000000001137</c:v>
                </c:pt>
                <c:pt idx="27">
                  <c:v>-5.4000000000002046</c:v>
                </c:pt>
                <c:pt idx="28">
                  <c:v>-3.9999999999997726</c:v>
                </c:pt>
                <c:pt idx="29">
                  <c:v>-4.5999999999997954</c:v>
                </c:pt>
                <c:pt idx="30">
                  <c:v>-4.6000000000003638</c:v>
                </c:pt>
                <c:pt idx="31">
                  <c:v>-4.5999999999997954</c:v>
                </c:pt>
                <c:pt idx="32">
                  <c:v>-3.7999999999999545</c:v>
                </c:pt>
                <c:pt idx="33">
                  <c:v>3.0000000000001137</c:v>
                </c:pt>
                <c:pt idx="34">
                  <c:v>1.5999999999996817</c:v>
                </c:pt>
                <c:pt idx="35">
                  <c:v>-0.79999999999984084</c:v>
                </c:pt>
                <c:pt idx="36">
                  <c:v>-9.2000000000001592</c:v>
                </c:pt>
                <c:pt idx="37">
                  <c:v>-7.7999999999997272</c:v>
                </c:pt>
                <c:pt idx="38">
                  <c:v>-6.2000000000000455</c:v>
                </c:pt>
                <c:pt idx="39">
                  <c:v>-6.2000000000000455</c:v>
                </c:pt>
                <c:pt idx="40">
                  <c:v>-4.5999999999997954</c:v>
                </c:pt>
                <c:pt idx="41">
                  <c:v>-2.4000000000000909</c:v>
                </c:pt>
                <c:pt idx="42">
                  <c:v>-3.0000000000001137</c:v>
                </c:pt>
                <c:pt idx="43">
                  <c:v>-5.4000000000002046</c:v>
                </c:pt>
                <c:pt idx="44">
                  <c:v>-3.7999999999999545</c:v>
                </c:pt>
                <c:pt idx="45">
                  <c:v>-4.7999999999996135</c:v>
                </c:pt>
                <c:pt idx="46">
                  <c:v>-4.6000000000003638</c:v>
                </c:pt>
                <c:pt idx="47">
                  <c:v>-6.2000000000000455</c:v>
                </c:pt>
                <c:pt idx="48">
                  <c:v>-3.7999999999999545</c:v>
                </c:pt>
                <c:pt idx="49">
                  <c:v>-5.3999999999996362</c:v>
                </c:pt>
                <c:pt idx="50">
                  <c:v>-3.0000000000001137</c:v>
                </c:pt>
                <c:pt idx="51">
                  <c:v>-4.0000000000003411</c:v>
                </c:pt>
                <c:pt idx="52">
                  <c:v>-3.7999999999999545</c:v>
                </c:pt>
                <c:pt idx="53">
                  <c:v>1.6000000000002501</c:v>
                </c:pt>
                <c:pt idx="54">
                  <c:v>3.7999999999999545</c:v>
                </c:pt>
                <c:pt idx="55">
                  <c:v>-1.6000000000002501</c:v>
                </c:pt>
                <c:pt idx="56">
                  <c:v>-6.8000000000000682</c:v>
                </c:pt>
                <c:pt idx="57">
                  <c:v>-7.7999999999997272</c:v>
                </c:pt>
                <c:pt idx="58">
                  <c:v>-6.9999999999998863</c:v>
                </c:pt>
                <c:pt idx="59">
                  <c:v>-5.4000000000002046</c:v>
                </c:pt>
                <c:pt idx="60">
                  <c:v>-6.9999999999998863</c:v>
                </c:pt>
                <c:pt idx="61">
                  <c:v>-1.3999999999998636</c:v>
                </c:pt>
                <c:pt idx="62">
                  <c:v>-5.4000000000002046</c:v>
                </c:pt>
                <c:pt idx="63">
                  <c:v>-4.8000000000001819</c:v>
                </c:pt>
                <c:pt idx="64">
                  <c:v>-2.9999999999995453</c:v>
                </c:pt>
                <c:pt idx="65">
                  <c:v>-4.6000000000003638</c:v>
                </c:pt>
                <c:pt idx="66">
                  <c:v>-5.3999999999996362</c:v>
                </c:pt>
                <c:pt idx="67">
                  <c:v>-3.800000000000523</c:v>
                </c:pt>
                <c:pt idx="68">
                  <c:v>-3.9999999999997726</c:v>
                </c:pt>
                <c:pt idx="69">
                  <c:v>-3.7999999999999545</c:v>
                </c:pt>
                <c:pt idx="70">
                  <c:v>-5.4000000000002046</c:v>
                </c:pt>
                <c:pt idx="71">
                  <c:v>-3.7999999999999545</c:v>
                </c:pt>
                <c:pt idx="72">
                  <c:v>-4.7999999999996135</c:v>
                </c:pt>
                <c:pt idx="73">
                  <c:v>2.3999999999995225</c:v>
                </c:pt>
                <c:pt idx="74">
                  <c:v>7.0000000000004547</c:v>
                </c:pt>
                <c:pt idx="75">
                  <c:v>-0.80000000000040927</c:v>
                </c:pt>
                <c:pt idx="76">
                  <c:v>-6.9999999999998863</c:v>
                </c:pt>
                <c:pt idx="77">
                  <c:v>-7.5999999999999091</c:v>
                </c:pt>
                <c:pt idx="78">
                  <c:v>-6.2000000000000455</c:v>
                </c:pt>
                <c:pt idx="79">
                  <c:v>-6.9999999999998863</c:v>
                </c:pt>
                <c:pt idx="80">
                  <c:v>-7.8000000000002956</c:v>
                </c:pt>
                <c:pt idx="81">
                  <c:v>-2.1999999999997044</c:v>
                </c:pt>
                <c:pt idx="82">
                  <c:v>-4.0000000000003411</c:v>
                </c:pt>
                <c:pt idx="83">
                  <c:v>-2.9999999999995453</c:v>
                </c:pt>
                <c:pt idx="84">
                  <c:v>-5.4000000000002046</c:v>
                </c:pt>
                <c:pt idx="85">
                  <c:v>-4.5999999999997954</c:v>
                </c:pt>
                <c:pt idx="86">
                  <c:v>-5.4000000000002046</c:v>
                </c:pt>
                <c:pt idx="87">
                  <c:v>-3.1999999999999318</c:v>
                </c:pt>
                <c:pt idx="88">
                  <c:v>-4.5999999999997954</c:v>
                </c:pt>
                <c:pt idx="89">
                  <c:v>-4.6000000000003638</c:v>
                </c:pt>
                <c:pt idx="90">
                  <c:v>-4.5999999999997954</c:v>
                </c:pt>
                <c:pt idx="91">
                  <c:v>-3.1999999999999318</c:v>
                </c:pt>
                <c:pt idx="92">
                  <c:v>-3.7999999999999545</c:v>
                </c:pt>
                <c:pt idx="93">
                  <c:v>1.5999999999996817</c:v>
                </c:pt>
                <c:pt idx="94">
                  <c:v>6.2000000000000455</c:v>
                </c:pt>
                <c:pt idx="95">
                  <c:v>0</c:v>
                </c:pt>
                <c:pt idx="96">
                  <c:v>-5.4000000000002046</c:v>
                </c:pt>
                <c:pt idx="97">
                  <c:v>-7.7999999999997272</c:v>
                </c:pt>
                <c:pt idx="98">
                  <c:v>-8.6000000000001364</c:v>
                </c:pt>
                <c:pt idx="99">
                  <c:v>-4.5999999999997954</c:v>
                </c:pt>
                <c:pt idx="100">
                  <c:v>-8.4000000000003183</c:v>
                </c:pt>
                <c:pt idx="101">
                  <c:v>-3.9999999999997726</c:v>
                </c:pt>
                <c:pt idx="102">
                  <c:v>-1.3999999999998636</c:v>
                </c:pt>
                <c:pt idx="103">
                  <c:v>-4.6000000000003638</c:v>
                </c:pt>
                <c:pt idx="104">
                  <c:v>-4.7999999999996135</c:v>
                </c:pt>
                <c:pt idx="105">
                  <c:v>-5.4000000000002046</c:v>
                </c:pt>
                <c:pt idx="106">
                  <c:v>-4.5999999999997954</c:v>
                </c:pt>
                <c:pt idx="107">
                  <c:v>-4.6000000000003638</c:v>
                </c:pt>
                <c:pt idx="108">
                  <c:v>-2.3999999999995225</c:v>
                </c:pt>
                <c:pt idx="109">
                  <c:v>-5.4000000000002046</c:v>
                </c:pt>
                <c:pt idx="110">
                  <c:v>-3.0000000000001137</c:v>
                </c:pt>
                <c:pt idx="111">
                  <c:v>-3.7999999999999545</c:v>
                </c:pt>
                <c:pt idx="112">
                  <c:v>-4.5999999999997954</c:v>
                </c:pt>
                <c:pt idx="113">
                  <c:v>0.60000000000002274</c:v>
                </c:pt>
                <c:pt idx="114">
                  <c:v>8.599999999999568</c:v>
                </c:pt>
                <c:pt idx="115">
                  <c:v>4.6000000000003638</c:v>
                </c:pt>
                <c:pt idx="116">
                  <c:v>-5.4000000000002046</c:v>
                </c:pt>
                <c:pt idx="117">
                  <c:v>-8.3999999999997499</c:v>
                </c:pt>
                <c:pt idx="118">
                  <c:v>-7.0000000000004547</c:v>
                </c:pt>
                <c:pt idx="119">
                  <c:v>-6.9999999999998863</c:v>
                </c:pt>
                <c:pt idx="120">
                  <c:v>-7.7999999999997272</c:v>
                </c:pt>
                <c:pt idx="121">
                  <c:v>-5.4000000000002046</c:v>
                </c:pt>
                <c:pt idx="122">
                  <c:v>-2.1999999999997044</c:v>
                </c:pt>
                <c:pt idx="123">
                  <c:v>-4.6000000000003638</c:v>
                </c:pt>
                <c:pt idx="124">
                  <c:v>-1.5999999999996817</c:v>
                </c:pt>
                <c:pt idx="125">
                  <c:v>-5.4000000000002046</c:v>
                </c:pt>
                <c:pt idx="126">
                  <c:v>-4.5999999999997954</c:v>
                </c:pt>
                <c:pt idx="127">
                  <c:v>-5.4000000000002046</c:v>
                </c:pt>
                <c:pt idx="128">
                  <c:v>-4.8000000000001819</c:v>
                </c:pt>
                <c:pt idx="129">
                  <c:v>-4.5999999999997954</c:v>
                </c:pt>
                <c:pt idx="130">
                  <c:v>-3.7999999999999545</c:v>
                </c:pt>
                <c:pt idx="131">
                  <c:v>-3.7999999999999545</c:v>
                </c:pt>
                <c:pt idx="132">
                  <c:v>-4.0000000000003411</c:v>
                </c:pt>
                <c:pt idx="133">
                  <c:v>-0.5999999999994543</c:v>
                </c:pt>
                <c:pt idx="134">
                  <c:v>8.3999999999997499</c:v>
                </c:pt>
                <c:pt idx="135">
                  <c:v>6.2000000000000455</c:v>
                </c:pt>
                <c:pt idx="136">
                  <c:v>-2.4000000000000909</c:v>
                </c:pt>
                <c:pt idx="137">
                  <c:v>-6.8000000000000682</c:v>
                </c:pt>
                <c:pt idx="138">
                  <c:v>-8.6000000000001364</c:v>
                </c:pt>
                <c:pt idx="139">
                  <c:v>-6.9999999999998863</c:v>
                </c:pt>
                <c:pt idx="140">
                  <c:v>-8.3999999999997499</c:v>
                </c:pt>
                <c:pt idx="141">
                  <c:v>-6.2000000000000455</c:v>
                </c:pt>
                <c:pt idx="142">
                  <c:v>-2.4000000000000909</c:v>
                </c:pt>
                <c:pt idx="143">
                  <c:v>-3.0000000000001137</c:v>
                </c:pt>
                <c:pt idx="144">
                  <c:v>-4.5999999999997954</c:v>
                </c:pt>
                <c:pt idx="145">
                  <c:v>-4.6000000000003638</c:v>
                </c:pt>
                <c:pt idx="146">
                  <c:v>-3.1999999999999318</c:v>
                </c:pt>
                <c:pt idx="147">
                  <c:v>-6.2000000000000455</c:v>
                </c:pt>
                <c:pt idx="148">
                  <c:v>-5.3999999999996362</c:v>
                </c:pt>
                <c:pt idx="149">
                  <c:v>-3.0000000000001137</c:v>
                </c:pt>
                <c:pt idx="150">
                  <c:v>-4.5999999999997954</c:v>
                </c:pt>
                <c:pt idx="151">
                  <c:v>-3.1999999999999318</c:v>
                </c:pt>
                <c:pt idx="152">
                  <c:v>-3.800000000000523</c:v>
                </c:pt>
                <c:pt idx="153">
                  <c:v>-3.1999999999999318</c:v>
                </c:pt>
                <c:pt idx="154">
                  <c:v>7.0000000000004547</c:v>
                </c:pt>
                <c:pt idx="155">
                  <c:v>10</c:v>
                </c:pt>
                <c:pt idx="156">
                  <c:v>0</c:v>
                </c:pt>
                <c:pt idx="157">
                  <c:v>-6.2000000000000455</c:v>
                </c:pt>
                <c:pt idx="158">
                  <c:v>-8.4000000000003183</c:v>
                </c:pt>
                <c:pt idx="159">
                  <c:v>-9.2000000000001592</c:v>
                </c:pt>
                <c:pt idx="160">
                  <c:v>-7.7999999999997272</c:v>
                </c:pt>
                <c:pt idx="161">
                  <c:v>-6.9999999999998863</c:v>
                </c:pt>
                <c:pt idx="162">
                  <c:v>-3.0000000000001137</c:v>
                </c:pt>
                <c:pt idx="163">
                  <c:v>-3.9999999999997726</c:v>
                </c:pt>
                <c:pt idx="164">
                  <c:v>-3.800000000000523</c:v>
                </c:pt>
                <c:pt idx="165">
                  <c:v>-4.5999999999997954</c:v>
                </c:pt>
                <c:pt idx="166">
                  <c:v>-6.2000000000000455</c:v>
                </c:pt>
                <c:pt idx="167">
                  <c:v>-3.0000000000001137</c:v>
                </c:pt>
                <c:pt idx="168">
                  <c:v>-4.5999999999997954</c:v>
                </c:pt>
                <c:pt idx="169">
                  <c:v>-4.8000000000001819</c:v>
                </c:pt>
                <c:pt idx="170">
                  <c:v>-3.7999999999999545</c:v>
                </c:pt>
                <c:pt idx="171">
                  <c:v>-3.7999999999999545</c:v>
                </c:pt>
                <c:pt idx="172">
                  <c:v>-4.5999999999997954</c:v>
                </c:pt>
                <c:pt idx="173">
                  <c:v>-3.1999999999999318</c:v>
                </c:pt>
                <c:pt idx="174">
                  <c:v>-3.7999999999999545</c:v>
                </c:pt>
                <c:pt idx="175">
                  <c:v>6.2000000000000455</c:v>
                </c:pt>
                <c:pt idx="176">
                  <c:v>10</c:v>
                </c:pt>
                <c:pt idx="177">
                  <c:v>2.9999999999995453</c:v>
                </c:pt>
                <c:pt idx="178">
                  <c:v>-5.3999999999996362</c:v>
                </c:pt>
                <c:pt idx="179">
                  <c:v>-10.800000000000409</c:v>
                </c:pt>
                <c:pt idx="180">
                  <c:v>-10</c:v>
                </c:pt>
                <c:pt idx="181">
                  <c:v>-8.3999999999997499</c:v>
                </c:pt>
                <c:pt idx="182">
                  <c:v>-6.9999999999998863</c:v>
                </c:pt>
                <c:pt idx="183">
                  <c:v>-1.6000000000002501</c:v>
                </c:pt>
                <c:pt idx="184">
                  <c:v>-3.0000000000001137</c:v>
                </c:pt>
                <c:pt idx="185">
                  <c:v>-3.1999999999999318</c:v>
                </c:pt>
                <c:pt idx="186">
                  <c:v>-6.2000000000000455</c:v>
                </c:pt>
                <c:pt idx="187">
                  <c:v>-3.7999999999999545</c:v>
                </c:pt>
                <c:pt idx="188">
                  <c:v>-4.5999999999997954</c:v>
                </c:pt>
                <c:pt idx="189">
                  <c:v>-4.5999999999997954</c:v>
                </c:pt>
                <c:pt idx="190">
                  <c:v>-4.0000000000003411</c:v>
                </c:pt>
                <c:pt idx="191">
                  <c:v>-3.7999999999999545</c:v>
                </c:pt>
                <c:pt idx="192">
                  <c:v>-3.7999999999999545</c:v>
                </c:pt>
                <c:pt idx="193">
                  <c:v>-3.1999999999999318</c:v>
                </c:pt>
                <c:pt idx="194">
                  <c:v>-4.5999999999997954</c:v>
                </c:pt>
                <c:pt idx="195">
                  <c:v>-0.80000000000040927</c:v>
                </c:pt>
                <c:pt idx="196">
                  <c:v>7.8000000000002956</c:v>
                </c:pt>
                <c:pt idx="197">
                  <c:v>9.1999999999995907</c:v>
                </c:pt>
                <c:pt idx="198">
                  <c:v>0</c:v>
                </c:pt>
                <c:pt idx="199">
                  <c:v>-8.3999999999997499</c:v>
                </c:pt>
                <c:pt idx="200">
                  <c:v>-10</c:v>
                </c:pt>
                <c:pt idx="201">
                  <c:v>-6.2000000000000455</c:v>
                </c:pt>
                <c:pt idx="202">
                  <c:v>-11.599999999999682</c:v>
                </c:pt>
                <c:pt idx="203">
                  <c:v>-4.0000000000003411</c:v>
                </c:pt>
                <c:pt idx="204">
                  <c:v>-0.60000000000002274</c:v>
                </c:pt>
                <c:pt idx="205">
                  <c:v>-3.1999999999999318</c:v>
                </c:pt>
                <c:pt idx="206">
                  <c:v>-3.7999999999999545</c:v>
                </c:pt>
                <c:pt idx="207">
                  <c:v>-2.4000000000000909</c:v>
                </c:pt>
                <c:pt idx="208">
                  <c:v>-5.3999999999996362</c:v>
                </c:pt>
                <c:pt idx="209">
                  <c:v>-6.2000000000000455</c:v>
                </c:pt>
                <c:pt idx="210">
                  <c:v>-2.2000000000002728</c:v>
                </c:pt>
                <c:pt idx="211">
                  <c:v>-3.9999999999997726</c:v>
                </c:pt>
                <c:pt idx="212">
                  <c:v>-4.6000000000003638</c:v>
                </c:pt>
                <c:pt idx="213">
                  <c:v>-2.9999999999995453</c:v>
                </c:pt>
                <c:pt idx="214">
                  <c:v>-2.4000000000000909</c:v>
                </c:pt>
                <c:pt idx="215">
                  <c:v>-3.7999999999999545</c:v>
                </c:pt>
                <c:pt idx="216">
                  <c:v>3.7999999999999545</c:v>
                </c:pt>
                <c:pt idx="217">
                  <c:v>10</c:v>
                </c:pt>
                <c:pt idx="218">
                  <c:v>5.3999999999996362</c:v>
                </c:pt>
                <c:pt idx="219">
                  <c:v>-3.7999999999999545</c:v>
                </c:pt>
                <c:pt idx="220">
                  <c:v>-9.1999999999995907</c:v>
                </c:pt>
                <c:pt idx="221">
                  <c:v>-11.60000000000025</c:v>
                </c:pt>
                <c:pt idx="222">
                  <c:v>-8.6000000000001364</c:v>
                </c:pt>
                <c:pt idx="223">
                  <c:v>-6.8000000000000682</c:v>
                </c:pt>
                <c:pt idx="224">
                  <c:v>-3.9999999999997726</c:v>
                </c:pt>
                <c:pt idx="225">
                  <c:v>-2.2000000000002728</c:v>
                </c:pt>
                <c:pt idx="226">
                  <c:v>-5.3999999999996362</c:v>
                </c:pt>
                <c:pt idx="227">
                  <c:v>-3.1999999999999318</c:v>
                </c:pt>
                <c:pt idx="228">
                  <c:v>-4.6000000000003638</c:v>
                </c:pt>
                <c:pt idx="229">
                  <c:v>-5.3999999999996362</c:v>
                </c:pt>
                <c:pt idx="230">
                  <c:v>-3.7999999999999545</c:v>
                </c:pt>
                <c:pt idx="231">
                  <c:v>-3.2000000000005002</c:v>
                </c:pt>
                <c:pt idx="232">
                  <c:v>-5.3999999999996362</c:v>
                </c:pt>
                <c:pt idx="233">
                  <c:v>-2.2000000000002728</c:v>
                </c:pt>
                <c:pt idx="234">
                  <c:v>-5.3999999999996362</c:v>
                </c:pt>
                <c:pt idx="235">
                  <c:v>-1.6000000000002501</c:v>
                </c:pt>
                <c:pt idx="236">
                  <c:v>1.6000000000002501</c:v>
                </c:pt>
                <c:pt idx="237">
                  <c:v>10.799999999999841</c:v>
                </c:pt>
                <c:pt idx="238">
                  <c:v>7.5999999999999091</c:v>
                </c:pt>
                <c:pt idx="239">
                  <c:v>0</c:v>
                </c:pt>
                <c:pt idx="240">
                  <c:v>-7.5999999999999091</c:v>
                </c:pt>
                <c:pt idx="241">
                  <c:v>-10.199999999999818</c:v>
                </c:pt>
                <c:pt idx="242">
                  <c:v>-9.2000000000001592</c:v>
                </c:pt>
                <c:pt idx="243">
                  <c:v>-11.60000000000025</c:v>
                </c:pt>
                <c:pt idx="244">
                  <c:v>-2.9999999999995453</c:v>
                </c:pt>
                <c:pt idx="245">
                  <c:v>-3.2000000000005002</c:v>
                </c:pt>
                <c:pt idx="246">
                  <c:v>-3.7999999999999545</c:v>
                </c:pt>
                <c:pt idx="247">
                  <c:v>-2.4000000000000909</c:v>
                </c:pt>
                <c:pt idx="248">
                  <c:v>-3.7999999999999545</c:v>
                </c:pt>
                <c:pt idx="249">
                  <c:v>-6.2000000000000455</c:v>
                </c:pt>
                <c:pt idx="250">
                  <c:v>-5.3999999999996362</c:v>
                </c:pt>
                <c:pt idx="251">
                  <c:v>-3.7999999999999545</c:v>
                </c:pt>
                <c:pt idx="252">
                  <c:v>-1.6000000000002501</c:v>
                </c:pt>
                <c:pt idx="253">
                  <c:v>-3.7999999999999545</c:v>
                </c:pt>
                <c:pt idx="254">
                  <c:v>-1.5999999999996817</c:v>
                </c:pt>
                <c:pt idx="255">
                  <c:v>-3.0000000000001137</c:v>
                </c:pt>
                <c:pt idx="256">
                  <c:v>-3.1999999999999318</c:v>
                </c:pt>
                <c:pt idx="257">
                  <c:v>5.3999999999996362</c:v>
                </c:pt>
                <c:pt idx="258">
                  <c:v>11.60000000000025</c:v>
                </c:pt>
                <c:pt idx="259">
                  <c:v>3.1999999999999318</c:v>
                </c:pt>
                <c:pt idx="260">
                  <c:v>-1.6000000000002501</c:v>
                </c:pt>
                <c:pt idx="261">
                  <c:v>-8.599999999999568</c:v>
                </c:pt>
                <c:pt idx="262">
                  <c:v>-10</c:v>
                </c:pt>
                <c:pt idx="263">
                  <c:v>-10.800000000000409</c:v>
                </c:pt>
                <c:pt idx="264">
                  <c:v>-6.9999999999998863</c:v>
                </c:pt>
                <c:pt idx="265">
                  <c:v>-2.1999999999997044</c:v>
                </c:pt>
                <c:pt idx="266">
                  <c:v>-0.80000000000040927</c:v>
                </c:pt>
                <c:pt idx="267">
                  <c:v>-3.7999999999999545</c:v>
                </c:pt>
                <c:pt idx="268">
                  <c:v>-4.7999999999996135</c:v>
                </c:pt>
                <c:pt idx="269">
                  <c:v>-3.7999999999999545</c:v>
                </c:pt>
                <c:pt idx="270">
                  <c:v>-5.4000000000002046</c:v>
                </c:pt>
                <c:pt idx="271">
                  <c:v>-5.4000000000002046</c:v>
                </c:pt>
                <c:pt idx="272">
                  <c:v>-3.0000000000001137</c:v>
                </c:pt>
                <c:pt idx="273">
                  <c:v>-2.3999999999995225</c:v>
                </c:pt>
                <c:pt idx="274">
                  <c:v>-3.0000000000001137</c:v>
                </c:pt>
                <c:pt idx="275">
                  <c:v>-4.8000000000001819</c:v>
                </c:pt>
                <c:pt idx="276">
                  <c:v>-2.1999999999997044</c:v>
                </c:pt>
                <c:pt idx="277">
                  <c:v>2.9999999999995453</c:v>
                </c:pt>
                <c:pt idx="278">
                  <c:v>11.60000000000025</c:v>
                </c:pt>
                <c:pt idx="279">
                  <c:v>9.3999999999999773</c:v>
                </c:pt>
                <c:pt idx="280">
                  <c:v>0</c:v>
                </c:pt>
                <c:pt idx="281">
                  <c:v>-4.8000000000001819</c:v>
                </c:pt>
                <c:pt idx="282">
                  <c:v>-10</c:v>
                </c:pt>
                <c:pt idx="283">
                  <c:v>-12.400000000000091</c:v>
                </c:pt>
                <c:pt idx="284">
                  <c:v>-11.399999999999864</c:v>
                </c:pt>
                <c:pt idx="285">
                  <c:v>-5.6000000000000227</c:v>
                </c:pt>
                <c:pt idx="286">
                  <c:v>-2.1999999999997044</c:v>
                </c:pt>
                <c:pt idx="287">
                  <c:v>-3.7999999999999545</c:v>
                </c:pt>
                <c:pt idx="288">
                  <c:v>-1.6000000000002501</c:v>
                </c:pt>
                <c:pt idx="289">
                  <c:v>-4.5999999999997954</c:v>
                </c:pt>
                <c:pt idx="290">
                  <c:v>-4.6000000000003638</c:v>
                </c:pt>
                <c:pt idx="291">
                  <c:v>-3.9999999999997726</c:v>
                </c:pt>
                <c:pt idx="292">
                  <c:v>-5.4000000000002046</c:v>
                </c:pt>
                <c:pt idx="293">
                  <c:v>-5.3999999999996362</c:v>
                </c:pt>
                <c:pt idx="294">
                  <c:v>-3.0000000000001137</c:v>
                </c:pt>
                <c:pt idx="295">
                  <c:v>-2.4000000000000909</c:v>
                </c:pt>
                <c:pt idx="296">
                  <c:v>-3.7999999999999545</c:v>
                </c:pt>
                <c:pt idx="297">
                  <c:v>3.0000000000001137</c:v>
                </c:pt>
                <c:pt idx="298">
                  <c:v>11.599999999999682</c:v>
                </c:pt>
                <c:pt idx="299">
                  <c:v>9.3999999999999773</c:v>
                </c:pt>
                <c:pt idx="300">
                  <c:v>2.2000000000002728</c:v>
                </c:pt>
                <c:pt idx="301">
                  <c:v>-4.5999999999997954</c:v>
                </c:pt>
                <c:pt idx="302">
                  <c:v>-11.60000000000025</c:v>
                </c:pt>
                <c:pt idx="303">
                  <c:v>-11.60000000000025</c:v>
                </c:pt>
                <c:pt idx="304">
                  <c:v>-13.199999999999932</c:v>
                </c:pt>
                <c:pt idx="305">
                  <c:v>-5.9999999999996589</c:v>
                </c:pt>
                <c:pt idx="306">
                  <c:v>-3.1999999999999318</c:v>
                </c:pt>
                <c:pt idx="307">
                  <c:v>-3.0000000000001137</c:v>
                </c:pt>
                <c:pt idx="308">
                  <c:v>-2.4000000000000909</c:v>
                </c:pt>
                <c:pt idx="309">
                  <c:v>-3.7999999999999545</c:v>
                </c:pt>
                <c:pt idx="310">
                  <c:v>-6.2000000000000455</c:v>
                </c:pt>
                <c:pt idx="311">
                  <c:v>-5.4000000000002046</c:v>
                </c:pt>
                <c:pt idx="312">
                  <c:v>-3.7999999999999545</c:v>
                </c:pt>
                <c:pt idx="313">
                  <c:v>-3.9999999999997726</c:v>
                </c:pt>
                <c:pt idx="314">
                  <c:v>-3.0000000000001137</c:v>
                </c:pt>
                <c:pt idx="315">
                  <c:v>-2.4000000000000909</c:v>
                </c:pt>
                <c:pt idx="316">
                  <c:v>-2.1999999999997044</c:v>
                </c:pt>
                <c:pt idx="317">
                  <c:v>-3.1999999999999318</c:v>
                </c:pt>
                <c:pt idx="318">
                  <c:v>7.7999999999997272</c:v>
                </c:pt>
                <c:pt idx="319">
                  <c:v>13.000000000000114</c:v>
                </c:pt>
                <c:pt idx="320">
                  <c:v>8.6000000000001364</c:v>
                </c:pt>
                <c:pt idx="321">
                  <c:v>-1.6000000000002501</c:v>
                </c:pt>
                <c:pt idx="322">
                  <c:v>-9.2000000000001592</c:v>
                </c:pt>
                <c:pt idx="323">
                  <c:v>-10.799999999999841</c:v>
                </c:pt>
                <c:pt idx="324">
                  <c:v>-15.400000000000205</c:v>
                </c:pt>
                <c:pt idx="325">
                  <c:v>-9.3999999999999773</c:v>
                </c:pt>
                <c:pt idx="326">
                  <c:v>-2.9999999999995453</c:v>
                </c:pt>
                <c:pt idx="327">
                  <c:v>0</c:v>
                </c:pt>
                <c:pt idx="328">
                  <c:v>-2.4000000000000909</c:v>
                </c:pt>
                <c:pt idx="329">
                  <c:v>-6.2000000000000455</c:v>
                </c:pt>
                <c:pt idx="330">
                  <c:v>-3.0000000000001137</c:v>
                </c:pt>
                <c:pt idx="331">
                  <c:v>-3.1999999999999318</c:v>
                </c:pt>
                <c:pt idx="332">
                  <c:v>-5.4000000000002046</c:v>
                </c:pt>
                <c:pt idx="333">
                  <c:v>-3.7999999999999545</c:v>
                </c:pt>
                <c:pt idx="334">
                  <c:v>-3.0000000000001137</c:v>
                </c:pt>
                <c:pt idx="335">
                  <c:v>-4.7999999999996135</c:v>
                </c:pt>
                <c:pt idx="336">
                  <c:v>-3.7999999999999545</c:v>
                </c:pt>
                <c:pt idx="337">
                  <c:v>-2.2000000000002728</c:v>
                </c:pt>
                <c:pt idx="338">
                  <c:v>8.4000000000003183</c:v>
                </c:pt>
                <c:pt idx="339">
                  <c:v>14.599999999999795</c:v>
                </c:pt>
                <c:pt idx="340">
                  <c:v>6.2000000000000455</c:v>
                </c:pt>
                <c:pt idx="341">
                  <c:v>3.9999999999997726</c:v>
                </c:pt>
                <c:pt idx="342">
                  <c:v>-6.9999999999998863</c:v>
                </c:pt>
                <c:pt idx="343">
                  <c:v>-7.7999999999997272</c:v>
                </c:pt>
                <c:pt idx="344">
                  <c:v>-16.200000000000045</c:v>
                </c:pt>
                <c:pt idx="345">
                  <c:v>-10.800000000000409</c:v>
                </c:pt>
                <c:pt idx="346">
                  <c:v>-5.3999999999996362</c:v>
                </c:pt>
                <c:pt idx="347">
                  <c:v>-1.6000000000002501</c:v>
                </c:pt>
                <c:pt idx="348">
                  <c:v>-3.0000000000001137</c:v>
                </c:pt>
                <c:pt idx="349">
                  <c:v>-3.7999999999999545</c:v>
                </c:pt>
                <c:pt idx="350">
                  <c:v>-3.1999999999999318</c:v>
                </c:pt>
                <c:pt idx="351">
                  <c:v>-3.7999999999999545</c:v>
                </c:pt>
                <c:pt idx="352">
                  <c:v>-5.4000000000002046</c:v>
                </c:pt>
                <c:pt idx="353">
                  <c:v>-3.9999999999997726</c:v>
                </c:pt>
                <c:pt idx="354">
                  <c:v>-3.7999999999999545</c:v>
                </c:pt>
                <c:pt idx="355">
                  <c:v>-3.0000000000001137</c:v>
                </c:pt>
                <c:pt idx="356">
                  <c:v>-3.1999999999999318</c:v>
                </c:pt>
                <c:pt idx="357">
                  <c:v>-3.0000000000001137</c:v>
                </c:pt>
                <c:pt idx="358">
                  <c:v>6.9999999999998863</c:v>
                </c:pt>
                <c:pt idx="359">
                  <c:v>16.200000000000045</c:v>
                </c:pt>
                <c:pt idx="360">
                  <c:v>11.60000000000025</c:v>
                </c:pt>
                <c:pt idx="361">
                  <c:v>0.60000000000002274</c:v>
                </c:pt>
                <c:pt idx="362">
                  <c:v>-6.0000000000002274</c:v>
                </c:pt>
                <c:pt idx="363">
                  <c:v>-6.9999999999998863</c:v>
                </c:pt>
                <c:pt idx="364">
                  <c:v>-13.199999999999932</c:v>
                </c:pt>
                <c:pt idx="365">
                  <c:v>-15.400000000000205</c:v>
                </c:pt>
                <c:pt idx="366">
                  <c:v>-8.599999999999568</c:v>
                </c:pt>
                <c:pt idx="367">
                  <c:v>-2.2000000000002728</c:v>
                </c:pt>
                <c:pt idx="368">
                  <c:v>-4.5999999999997954</c:v>
                </c:pt>
                <c:pt idx="369">
                  <c:v>-3.1999999999999318</c:v>
                </c:pt>
                <c:pt idx="370">
                  <c:v>-5.4000000000002046</c:v>
                </c:pt>
                <c:pt idx="371">
                  <c:v>-4.5999999999997954</c:v>
                </c:pt>
                <c:pt idx="372">
                  <c:v>-3.800000000000523</c:v>
                </c:pt>
                <c:pt idx="373">
                  <c:v>-4.5999999999997954</c:v>
                </c:pt>
                <c:pt idx="374">
                  <c:v>-3.1999999999999318</c:v>
                </c:pt>
                <c:pt idx="375">
                  <c:v>-2.2000000000002728</c:v>
                </c:pt>
                <c:pt idx="376">
                  <c:v>-3.9999999999997726</c:v>
                </c:pt>
                <c:pt idx="377">
                  <c:v>-2.1999999999997044</c:v>
                </c:pt>
                <c:pt idx="378">
                  <c:v>9.1999999999995907</c:v>
                </c:pt>
                <c:pt idx="379">
                  <c:v>14.600000000000364</c:v>
                </c:pt>
                <c:pt idx="380">
                  <c:v>9.3999999999999773</c:v>
                </c:pt>
                <c:pt idx="381">
                  <c:v>0</c:v>
                </c:pt>
                <c:pt idx="382">
                  <c:v>-5.4000000000002046</c:v>
                </c:pt>
                <c:pt idx="383">
                  <c:v>-8.6000000000001364</c:v>
                </c:pt>
                <c:pt idx="384">
                  <c:v>-12.400000000000091</c:v>
                </c:pt>
                <c:pt idx="385">
                  <c:v>-15.399999999999636</c:v>
                </c:pt>
                <c:pt idx="386">
                  <c:v>-6.9999999999998863</c:v>
                </c:pt>
                <c:pt idx="387">
                  <c:v>-3.0000000000001137</c:v>
                </c:pt>
                <c:pt idx="388">
                  <c:v>-4.6000000000003638</c:v>
                </c:pt>
                <c:pt idx="389">
                  <c:v>-2.3999999999995225</c:v>
                </c:pt>
                <c:pt idx="390">
                  <c:v>-2.2000000000002728</c:v>
                </c:pt>
                <c:pt idx="391">
                  <c:v>-6.2000000000000455</c:v>
                </c:pt>
                <c:pt idx="392">
                  <c:v>-5.4000000000002046</c:v>
                </c:pt>
                <c:pt idx="393">
                  <c:v>-3.9999999999997726</c:v>
                </c:pt>
                <c:pt idx="394">
                  <c:v>-3.7999999999999545</c:v>
                </c:pt>
                <c:pt idx="395">
                  <c:v>-3.0000000000001137</c:v>
                </c:pt>
                <c:pt idx="396">
                  <c:v>-2.4000000000000909</c:v>
                </c:pt>
                <c:pt idx="397">
                  <c:v>2.4000000000000909</c:v>
                </c:pt>
                <c:pt idx="398">
                  <c:v>13.799999999999955</c:v>
                </c:pt>
                <c:pt idx="399">
                  <c:v>13.199999999999932</c:v>
                </c:pt>
                <c:pt idx="400">
                  <c:v>7.0000000000004547</c:v>
                </c:pt>
                <c:pt idx="401">
                  <c:v>-6.2000000000000455</c:v>
                </c:pt>
                <c:pt idx="402">
                  <c:v>-5.4000000000002046</c:v>
                </c:pt>
                <c:pt idx="403">
                  <c:v>-12.400000000000091</c:v>
                </c:pt>
                <c:pt idx="404">
                  <c:v>-13.999999999999773</c:v>
                </c:pt>
                <c:pt idx="405">
                  <c:v>-10.799999999999841</c:v>
                </c:pt>
                <c:pt idx="406">
                  <c:v>-5.4000000000002046</c:v>
                </c:pt>
                <c:pt idx="407">
                  <c:v>-3.7999999999999545</c:v>
                </c:pt>
                <c:pt idx="408">
                  <c:v>-3.1999999999999318</c:v>
                </c:pt>
                <c:pt idx="409">
                  <c:v>-4.6000000000003638</c:v>
                </c:pt>
                <c:pt idx="410">
                  <c:v>-2.9999999999995453</c:v>
                </c:pt>
                <c:pt idx="411">
                  <c:v>-3.2000000000005002</c:v>
                </c:pt>
                <c:pt idx="412">
                  <c:v>-4.5999999999997954</c:v>
                </c:pt>
                <c:pt idx="413">
                  <c:v>-3.0000000000001137</c:v>
                </c:pt>
                <c:pt idx="414">
                  <c:v>-3.9999999999997726</c:v>
                </c:pt>
                <c:pt idx="415">
                  <c:v>-3.0000000000001137</c:v>
                </c:pt>
                <c:pt idx="416">
                  <c:v>-2.4000000000000909</c:v>
                </c:pt>
                <c:pt idx="417">
                  <c:v>10.200000000000387</c:v>
                </c:pt>
                <c:pt idx="418">
                  <c:v>15.399999999999636</c:v>
                </c:pt>
                <c:pt idx="419">
                  <c:v>11.60000000000025</c:v>
                </c:pt>
                <c:pt idx="420">
                  <c:v>0</c:v>
                </c:pt>
                <c:pt idx="421">
                  <c:v>-6.2000000000000455</c:v>
                </c:pt>
                <c:pt idx="422">
                  <c:v>-8.6000000000001364</c:v>
                </c:pt>
                <c:pt idx="423">
                  <c:v>-12.199999999999704</c:v>
                </c:pt>
                <c:pt idx="424">
                  <c:v>-13.2000000000005</c:v>
                </c:pt>
                <c:pt idx="425">
                  <c:v>-9.1999999999995907</c:v>
                </c:pt>
                <c:pt idx="426">
                  <c:v>-4.0000000000003411</c:v>
                </c:pt>
                <c:pt idx="427">
                  <c:v>-3.0000000000001137</c:v>
                </c:pt>
                <c:pt idx="428">
                  <c:v>-3.1999999999999318</c:v>
                </c:pt>
                <c:pt idx="429">
                  <c:v>-4.5999999999997954</c:v>
                </c:pt>
                <c:pt idx="430">
                  <c:v>-3.0000000000001137</c:v>
                </c:pt>
                <c:pt idx="431">
                  <c:v>-5.3999999999996362</c:v>
                </c:pt>
                <c:pt idx="432">
                  <c:v>-4.0000000000003411</c:v>
                </c:pt>
                <c:pt idx="433">
                  <c:v>-3.0000000000001137</c:v>
                </c:pt>
                <c:pt idx="434">
                  <c:v>-2.9999999999995453</c:v>
                </c:pt>
                <c:pt idx="435">
                  <c:v>-4.0000000000003411</c:v>
                </c:pt>
                <c:pt idx="436">
                  <c:v>2.4000000000000909</c:v>
                </c:pt>
                <c:pt idx="437">
                  <c:v>13.199999999999932</c:v>
                </c:pt>
                <c:pt idx="438">
                  <c:v>16.200000000000045</c:v>
                </c:pt>
                <c:pt idx="439">
                  <c:v>6.2000000000000455</c:v>
                </c:pt>
                <c:pt idx="440">
                  <c:v>-2.4000000000000909</c:v>
                </c:pt>
                <c:pt idx="441">
                  <c:v>-3.7999999999999545</c:v>
                </c:pt>
                <c:pt idx="442">
                  <c:v>-9.3999999999999773</c:v>
                </c:pt>
                <c:pt idx="443">
                  <c:v>-12.400000000000091</c:v>
                </c:pt>
                <c:pt idx="444">
                  <c:v>-10.799999999999841</c:v>
                </c:pt>
                <c:pt idx="445">
                  <c:v>-10</c:v>
                </c:pt>
                <c:pt idx="446">
                  <c:v>-6.2000000000000455</c:v>
                </c:pt>
                <c:pt idx="447">
                  <c:v>-3.7999999999999545</c:v>
                </c:pt>
                <c:pt idx="448">
                  <c:v>-6.2000000000000455</c:v>
                </c:pt>
                <c:pt idx="449">
                  <c:v>-3.0000000000001137</c:v>
                </c:pt>
                <c:pt idx="450">
                  <c:v>-4.5999999999997954</c:v>
                </c:pt>
                <c:pt idx="451">
                  <c:v>-4.0000000000003411</c:v>
                </c:pt>
                <c:pt idx="452">
                  <c:v>-3.7999999999999545</c:v>
                </c:pt>
                <c:pt idx="453">
                  <c:v>-3.1999999999999318</c:v>
                </c:pt>
                <c:pt idx="454">
                  <c:v>-2.1999999999997044</c:v>
                </c:pt>
                <c:pt idx="455">
                  <c:v>-3.1999999999999318</c:v>
                </c:pt>
                <c:pt idx="456">
                  <c:v>3.1999999999999318</c:v>
                </c:pt>
                <c:pt idx="457">
                  <c:v>14.599999999999795</c:v>
                </c:pt>
                <c:pt idx="458">
                  <c:v>15.400000000000205</c:v>
                </c:pt>
                <c:pt idx="459">
                  <c:v>4.7999999999996135</c:v>
                </c:pt>
                <c:pt idx="460">
                  <c:v>-3.1999999999999318</c:v>
                </c:pt>
                <c:pt idx="461">
                  <c:v>-4.5999999999997954</c:v>
                </c:pt>
                <c:pt idx="462">
                  <c:v>-8.4000000000003183</c:v>
                </c:pt>
                <c:pt idx="463">
                  <c:v>-11.599999999999682</c:v>
                </c:pt>
                <c:pt idx="464">
                  <c:v>-11.60000000000025</c:v>
                </c:pt>
                <c:pt idx="465">
                  <c:v>-8.599999999999568</c:v>
                </c:pt>
                <c:pt idx="466">
                  <c:v>-6.2000000000000455</c:v>
                </c:pt>
                <c:pt idx="467">
                  <c:v>-6.2000000000000455</c:v>
                </c:pt>
                <c:pt idx="468">
                  <c:v>-3.7999999999999545</c:v>
                </c:pt>
                <c:pt idx="469">
                  <c:v>-4.6000000000003638</c:v>
                </c:pt>
                <c:pt idx="470">
                  <c:v>-4.5999999999997954</c:v>
                </c:pt>
                <c:pt idx="471">
                  <c:v>-3.9999999999997726</c:v>
                </c:pt>
                <c:pt idx="472">
                  <c:v>-2.2000000000002728</c:v>
                </c:pt>
                <c:pt idx="473">
                  <c:v>-4.5999999999997954</c:v>
                </c:pt>
                <c:pt idx="474">
                  <c:v>-2.4000000000000909</c:v>
                </c:pt>
                <c:pt idx="475">
                  <c:v>-2.2000000000002728</c:v>
                </c:pt>
                <c:pt idx="476">
                  <c:v>1.400000000000432</c:v>
                </c:pt>
                <c:pt idx="477">
                  <c:v>14.799999999999613</c:v>
                </c:pt>
                <c:pt idx="478">
                  <c:v>16.200000000000045</c:v>
                </c:pt>
                <c:pt idx="479">
                  <c:v>6.8000000000000682</c:v>
                </c:pt>
                <c:pt idx="480">
                  <c:v>-3.0000000000001137</c:v>
                </c:pt>
                <c:pt idx="481">
                  <c:v>-3.7999999999999545</c:v>
                </c:pt>
                <c:pt idx="482">
                  <c:v>-8.6000000000001364</c:v>
                </c:pt>
                <c:pt idx="483">
                  <c:v>-10</c:v>
                </c:pt>
                <c:pt idx="484">
                  <c:v>-11.599999999999682</c:v>
                </c:pt>
                <c:pt idx="485">
                  <c:v>-7.5999999999999091</c:v>
                </c:pt>
                <c:pt idx="486">
                  <c:v>-7.8000000000002956</c:v>
                </c:pt>
                <c:pt idx="487">
                  <c:v>-4.5999999999997954</c:v>
                </c:pt>
                <c:pt idx="488">
                  <c:v>-5.4000000000002046</c:v>
                </c:pt>
                <c:pt idx="489">
                  <c:v>-3.1999999999999318</c:v>
                </c:pt>
                <c:pt idx="490">
                  <c:v>-3.7999999999999545</c:v>
                </c:pt>
                <c:pt idx="491">
                  <c:v>-4.6000000000000796</c:v>
                </c:pt>
                <c:pt idx="492">
                  <c:v>-4.0000000000000568</c:v>
                </c:pt>
                <c:pt idx="493">
                  <c:v>-2.9999999999998295</c:v>
                </c:pt>
                <c:pt idx="494">
                  <c:v>-3.7999999999999545</c:v>
                </c:pt>
                <c:pt idx="495">
                  <c:v>-2.4000000000000909</c:v>
                </c:pt>
                <c:pt idx="496">
                  <c:v>3.1999999999999318</c:v>
                </c:pt>
                <c:pt idx="497">
                  <c:v>15.39999999999992</c:v>
                </c:pt>
                <c:pt idx="498">
                  <c:v>17.800000000000011</c:v>
                </c:pt>
                <c:pt idx="499">
                  <c:v>4.6000000000000796</c:v>
                </c:pt>
                <c:pt idx="500">
                  <c:v>-3.1999999999999318</c:v>
                </c:pt>
                <c:pt idx="501">
                  <c:v>-3.0000000000001137</c:v>
                </c:pt>
                <c:pt idx="502">
                  <c:v>-6.9999999999998863</c:v>
                </c:pt>
                <c:pt idx="503">
                  <c:v>-10</c:v>
                </c:pt>
                <c:pt idx="504">
                  <c:v>-8.6000000000001364</c:v>
                </c:pt>
                <c:pt idx="505">
                  <c:v>-6.799999999999784</c:v>
                </c:pt>
                <c:pt idx="506">
                  <c:v>-6.2000000000000455</c:v>
                </c:pt>
                <c:pt idx="507">
                  <c:v>-8.6000000000001364</c:v>
                </c:pt>
                <c:pt idx="508">
                  <c:v>-7.5999999999999091</c:v>
                </c:pt>
                <c:pt idx="509">
                  <c:v>-6.2000000000000455</c:v>
                </c:pt>
                <c:pt idx="510">
                  <c:v>-3.7999999999999545</c:v>
                </c:pt>
                <c:pt idx="511">
                  <c:v>-4.0000000000000568</c:v>
                </c:pt>
                <c:pt idx="512">
                  <c:v>-2.9999999999998295</c:v>
                </c:pt>
                <c:pt idx="513">
                  <c:v>-5.4000000000002046</c:v>
                </c:pt>
                <c:pt idx="514">
                  <c:v>-2.3999999999998067</c:v>
                </c:pt>
                <c:pt idx="515">
                  <c:v>-1.6000000000002501</c:v>
                </c:pt>
                <c:pt idx="516">
                  <c:v>3.200000000000216</c:v>
                </c:pt>
                <c:pt idx="517">
                  <c:v>15.39999999999992</c:v>
                </c:pt>
                <c:pt idx="518">
                  <c:v>20</c:v>
                </c:pt>
                <c:pt idx="519">
                  <c:v>4.7999999999998977</c:v>
                </c:pt>
                <c:pt idx="520">
                  <c:v>-0.79999999999984084</c:v>
                </c:pt>
                <c:pt idx="521">
                  <c:v>-5.3999999999999204</c:v>
                </c:pt>
                <c:pt idx="522">
                  <c:v>-7.8000000000000114</c:v>
                </c:pt>
                <c:pt idx="523">
                  <c:v>-8.4000000000000341</c:v>
                </c:pt>
                <c:pt idx="524">
                  <c:v>-7.8000000000000114</c:v>
                </c:pt>
                <c:pt idx="525">
                  <c:v>-9.2000000000001592</c:v>
                </c:pt>
                <c:pt idx="526">
                  <c:v>-4.5999999999997954</c:v>
                </c:pt>
                <c:pt idx="527">
                  <c:v>-9.4000000000002615</c:v>
                </c:pt>
                <c:pt idx="528">
                  <c:v>-5.3999999999999204</c:v>
                </c:pt>
                <c:pt idx="529">
                  <c:v>-8.4000000000000341</c:v>
                </c:pt>
                <c:pt idx="530">
                  <c:v>-4.5999999999997954</c:v>
                </c:pt>
                <c:pt idx="531">
                  <c:v>-5.6000000000000227</c:v>
                </c:pt>
                <c:pt idx="532">
                  <c:v>-3.0000000000001137</c:v>
                </c:pt>
                <c:pt idx="533">
                  <c:v>-3.7999999999999545</c:v>
                </c:pt>
                <c:pt idx="534">
                  <c:v>-2.4000000000000909</c:v>
                </c:pt>
                <c:pt idx="535">
                  <c:v>-4.5999999999997954</c:v>
                </c:pt>
                <c:pt idx="536">
                  <c:v>-0.80000000000012506</c:v>
                </c:pt>
                <c:pt idx="537">
                  <c:v>14.60000000000008</c:v>
                </c:pt>
                <c:pt idx="538">
                  <c:v>20.199999999999818</c:v>
                </c:pt>
                <c:pt idx="539">
                  <c:v>10</c:v>
                </c:pt>
                <c:pt idx="540">
                  <c:v>0</c:v>
                </c:pt>
                <c:pt idx="541">
                  <c:v>-5.3999999999999204</c:v>
                </c:pt>
                <c:pt idx="542">
                  <c:v>-3.0000000000001137</c:v>
                </c:pt>
                <c:pt idx="543">
                  <c:v>-6.1999999999997613</c:v>
                </c:pt>
                <c:pt idx="544">
                  <c:v>-8.6000000000001364</c:v>
                </c:pt>
                <c:pt idx="545">
                  <c:v>-6.2000000000000455</c:v>
                </c:pt>
                <c:pt idx="546">
                  <c:v>-6.2000000000000455</c:v>
                </c:pt>
                <c:pt idx="547">
                  <c:v>-8.3999999999997499</c:v>
                </c:pt>
                <c:pt idx="548">
                  <c:v>-6.2000000000000455</c:v>
                </c:pt>
                <c:pt idx="549">
                  <c:v>-7.8000000000000114</c:v>
                </c:pt>
                <c:pt idx="550">
                  <c:v>-5.9999999999999432</c:v>
                </c:pt>
                <c:pt idx="551">
                  <c:v>-7.8000000000000114</c:v>
                </c:pt>
                <c:pt idx="552">
                  <c:v>-3.8000000000002387</c:v>
                </c:pt>
                <c:pt idx="553">
                  <c:v>-3.9999999999997726</c:v>
                </c:pt>
                <c:pt idx="554">
                  <c:v>-3.0000000000001137</c:v>
                </c:pt>
                <c:pt idx="555">
                  <c:v>-2.4000000000000909</c:v>
                </c:pt>
                <c:pt idx="556">
                  <c:v>-2.1999999999999886</c:v>
                </c:pt>
                <c:pt idx="557">
                  <c:v>5.4000000000002046</c:v>
                </c:pt>
                <c:pt idx="558">
                  <c:v>19.199999999999875</c:v>
                </c:pt>
                <c:pt idx="559">
                  <c:v>16.999999999999886</c:v>
                </c:pt>
                <c:pt idx="560">
                  <c:v>1.6000000000002501</c:v>
                </c:pt>
                <c:pt idx="561">
                  <c:v>-0.80000000000012506</c:v>
                </c:pt>
                <c:pt idx="562">
                  <c:v>3.1999999999999318</c:v>
                </c:pt>
                <c:pt idx="563">
                  <c:v>-3.1999999999999318</c:v>
                </c:pt>
                <c:pt idx="564">
                  <c:v>-6.2000000000000455</c:v>
                </c:pt>
                <c:pt idx="565">
                  <c:v>-5.3999999999999204</c:v>
                </c:pt>
                <c:pt idx="566">
                  <c:v>-4.6000000000000796</c:v>
                </c:pt>
                <c:pt idx="567">
                  <c:v>-9.1999999999998749</c:v>
                </c:pt>
                <c:pt idx="568">
                  <c:v>-8.6000000000001364</c:v>
                </c:pt>
                <c:pt idx="569">
                  <c:v>-7.5999999999999091</c:v>
                </c:pt>
                <c:pt idx="570">
                  <c:v>-12.400000000000091</c:v>
                </c:pt>
                <c:pt idx="571">
                  <c:v>-7.8000000000000114</c:v>
                </c:pt>
                <c:pt idx="572">
                  <c:v>-6.9999999999998863</c:v>
                </c:pt>
                <c:pt idx="573">
                  <c:v>-5.3999999999999204</c:v>
                </c:pt>
                <c:pt idx="574">
                  <c:v>-5.4000000000002046</c:v>
                </c:pt>
                <c:pt idx="575">
                  <c:v>-1.3999999999998636</c:v>
                </c:pt>
                <c:pt idx="576">
                  <c:v>-4.8000000000001819</c:v>
                </c:pt>
                <c:pt idx="577">
                  <c:v>-1.3999999999998636</c:v>
                </c:pt>
                <c:pt idx="578">
                  <c:v>12.400000000000091</c:v>
                </c:pt>
                <c:pt idx="579">
                  <c:v>19.199999999999875</c:v>
                </c:pt>
                <c:pt idx="580">
                  <c:v>13.199999999999932</c:v>
                </c:pt>
                <c:pt idx="581">
                  <c:v>3.0000000000001137</c:v>
                </c:pt>
                <c:pt idx="582">
                  <c:v>4.6000000000000796</c:v>
                </c:pt>
                <c:pt idx="583">
                  <c:v>0</c:v>
                </c:pt>
                <c:pt idx="584">
                  <c:v>-5.4000000000002046</c:v>
                </c:pt>
                <c:pt idx="585">
                  <c:v>-6.2000000000000455</c:v>
                </c:pt>
                <c:pt idx="586">
                  <c:v>-8.3999999999997499</c:v>
                </c:pt>
                <c:pt idx="587">
                  <c:v>-7.0000000000001705</c:v>
                </c:pt>
                <c:pt idx="588">
                  <c:v>-6.2000000000000455</c:v>
                </c:pt>
                <c:pt idx="589">
                  <c:v>-9.1999999999998749</c:v>
                </c:pt>
                <c:pt idx="590">
                  <c:v>-8.6000000000001364</c:v>
                </c:pt>
                <c:pt idx="591">
                  <c:v>-8.3999999999997499</c:v>
                </c:pt>
                <c:pt idx="592">
                  <c:v>-7.8000000000000114</c:v>
                </c:pt>
                <c:pt idx="593">
                  <c:v>-7.6000000000001933</c:v>
                </c:pt>
                <c:pt idx="594">
                  <c:v>-4.0000000000000568</c:v>
                </c:pt>
                <c:pt idx="595">
                  <c:v>-5.3999999999999204</c:v>
                </c:pt>
                <c:pt idx="596">
                  <c:v>-2.9999999999998295</c:v>
                </c:pt>
                <c:pt idx="597">
                  <c:v>-0.80000000000012506</c:v>
                </c:pt>
                <c:pt idx="598">
                  <c:v>-0.80000000000012506</c:v>
                </c:pt>
                <c:pt idx="599">
                  <c:v>10.800000000000125</c:v>
                </c:pt>
                <c:pt idx="600">
                  <c:v>20.999999999999943</c:v>
                </c:pt>
                <c:pt idx="601">
                  <c:v>12.199999999999989</c:v>
                </c:pt>
                <c:pt idx="602">
                  <c:v>9.3999999999999773</c:v>
                </c:pt>
                <c:pt idx="603">
                  <c:v>2.1999999999999886</c:v>
                </c:pt>
                <c:pt idx="604">
                  <c:v>-0.79999999999984084</c:v>
                </c:pt>
                <c:pt idx="605">
                  <c:v>-4.6000000000000796</c:v>
                </c:pt>
                <c:pt idx="606">
                  <c:v>-6.8000000000000682</c:v>
                </c:pt>
                <c:pt idx="607">
                  <c:v>-5.6000000000000227</c:v>
                </c:pt>
                <c:pt idx="608">
                  <c:v>-4.5999999999997954</c:v>
                </c:pt>
                <c:pt idx="609">
                  <c:v>-6.2000000000000455</c:v>
                </c:pt>
                <c:pt idx="610">
                  <c:v>-7.5999999999999091</c:v>
                </c:pt>
                <c:pt idx="611">
                  <c:v>-5.4000000000002046</c:v>
                </c:pt>
                <c:pt idx="612">
                  <c:v>-6.9999999999998863</c:v>
                </c:pt>
                <c:pt idx="613">
                  <c:v>-7.8000000000000114</c:v>
                </c:pt>
                <c:pt idx="614">
                  <c:v>-10</c:v>
                </c:pt>
                <c:pt idx="615">
                  <c:v>-7.5999999999999091</c:v>
                </c:pt>
                <c:pt idx="616">
                  <c:v>-6.2000000000000455</c:v>
                </c:pt>
                <c:pt idx="617">
                  <c:v>-5.4000000000002046</c:v>
                </c:pt>
                <c:pt idx="618">
                  <c:v>-5.3999999999999204</c:v>
                </c:pt>
                <c:pt idx="619">
                  <c:v>0</c:v>
                </c:pt>
                <c:pt idx="620">
                  <c:v>15.39999999999992</c:v>
                </c:pt>
                <c:pt idx="621">
                  <c:v>22.400000000000091</c:v>
                </c:pt>
                <c:pt idx="622">
                  <c:v>13.000000000000114</c:v>
                </c:pt>
                <c:pt idx="623">
                  <c:v>4.0000000000000568</c:v>
                </c:pt>
                <c:pt idx="624">
                  <c:v>0</c:v>
                </c:pt>
                <c:pt idx="625">
                  <c:v>-1.6000000000002501</c:v>
                </c:pt>
                <c:pt idx="626">
                  <c:v>-5.3999999999999204</c:v>
                </c:pt>
                <c:pt idx="627">
                  <c:v>-7.8000000000000114</c:v>
                </c:pt>
                <c:pt idx="628">
                  <c:v>-5.9999999999999432</c:v>
                </c:pt>
                <c:pt idx="629">
                  <c:v>-6.9999999999998863</c:v>
                </c:pt>
                <c:pt idx="630">
                  <c:v>-4.0000000000000568</c:v>
                </c:pt>
                <c:pt idx="631">
                  <c:v>-7.6000000000001933</c:v>
                </c:pt>
                <c:pt idx="632">
                  <c:v>-6.9999999999998863</c:v>
                </c:pt>
                <c:pt idx="633">
                  <c:v>-7.8000000000000114</c:v>
                </c:pt>
                <c:pt idx="634">
                  <c:v>-6.8000000000000682</c:v>
                </c:pt>
                <c:pt idx="635">
                  <c:v>-9.3999999999999773</c:v>
                </c:pt>
                <c:pt idx="636">
                  <c:v>-7.5999999999999091</c:v>
                </c:pt>
                <c:pt idx="637">
                  <c:v>-4.6000000000000796</c:v>
                </c:pt>
                <c:pt idx="638">
                  <c:v>-6.2000000000000455</c:v>
                </c:pt>
                <c:pt idx="639">
                  <c:v>-4.5999999999997954</c:v>
                </c:pt>
                <c:pt idx="640">
                  <c:v>-2.4000000000000909</c:v>
                </c:pt>
                <c:pt idx="641">
                  <c:v>6.9999999999998863</c:v>
                </c:pt>
                <c:pt idx="642">
                  <c:v>22.400000000000091</c:v>
                </c:pt>
                <c:pt idx="643">
                  <c:v>18.400000000000034</c:v>
                </c:pt>
                <c:pt idx="644">
                  <c:v>9.3999999999999773</c:v>
                </c:pt>
                <c:pt idx="645">
                  <c:v>0</c:v>
                </c:pt>
                <c:pt idx="646">
                  <c:v>0</c:v>
                </c:pt>
                <c:pt idx="647">
                  <c:v>-5.3999999999999204</c:v>
                </c:pt>
                <c:pt idx="648">
                  <c:v>-7.0000000000001705</c:v>
                </c:pt>
                <c:pt idx="649">
                  <c:v>-6.9999999999998863</c:v>
                </c:pt>
                <c:pt idx="650">
                  <c:v>-8.4000000000000341</c:v>
                </c:pt>
                <c:pt idx="651">
                  <c:v>-5.3999999999999204</c:v>
                </c:pt>
                <c:pt idx="652">
                  <c:v>-7.0000000000001705</c:v>
                </c:pt>
                <c:pt idx="653">
                  <c:v>-6.9999999999998863</c:v>
                </c:pt>
                <c:pt idx="654">
                  <c:v>-6.2000000000000455</c:v>
                </c:pt>
                <c:pt idx="655">
                  <c:v>-7.5999999999999091</c:v>
                </c:pt>
                <c:pt idx="656">
                  <c:v>-8.6000000000001364</c:v>
                </c:pt>
                <c:pt idx="657">
                  <c:v>-7.5999999999999091</c:v>
                </c:pt>
                <c:pt idx="658">
                  <c:v>-6.9999999999998863</c:v>
                </c:pt>
                <c:pt idx="659">
                  <c:v>-4.0000000000000568</c:v>
                </c:pt>
                <c:pt idx="660">
                  <c:v>-3.0000000000001137</c:v>
                </c:pt>
                <c:pt idx="661">
                  <c:v>-2.9999999999998295</c:v>
                </c:pt>
                <c:pt idx="662">
                  <c:v>1.3999999999998636</c:v>
                </c:pt>
                <c:pt idx="663">
                  <c:v>14.799999999999898</c:v>
                </c:pt>
                <c:pt idx="664">
                  <c:v>22.400000000000091</c:v>
                </c:pt>
                <c:pt idx="665">
                  <c:v>11.599999999999966</c:v>
                </c:pt>
                <c:pt idx="666">
                  <c:v>2.1999999999999886</c:v>
                </c:pt>
                <c:pt idx="667">
                  <c:v>-0.79999999999984084</c:v>
                </c:pt>
                <c:pt idx="668">
                  <c:v>-2.1999999999999886</c:v>
                </c:pt>
                <c:pt idx="669">
                  <c:v>-7.8000000000000114</c:v>
                </c:pt>
                <c:pt idx="670">
                  <c:v>-6.2000000000000455</c:v>
                </c:pt>
                <c:pt idx="671">
                  <c:v>-6.2000000000000455</c:v>
                </c:pt>
                <c:pt idx="672">
                  <c:v>-6.8000000000000682</c:v>
                </c:pt>
                <c:pt idx="673">
                  <c:v>-5.3999999999999204</c:v>
                </c:pt>
                <c:pt idx="674">
                  <c:v>-5.3999999999999204</c:v>
                </c:pt>
                <c:pt idx="675">
                  <c:v>-4.0000000000000568</c:v>
                </c:pt>
                <c:pt idx="676">
                  <c:v>-6.2000000000000455</c:v>
                </c:pt>
                <c:pt idx="677">
                  <c:v>-7.5999999999999091</c:v>
                </c:pt>
                <c:pt idx="678">
                  <c:v>-5.4000000000002046</c:v>
                </c:pt>
                <c:pt idx="679">
                  <c:v>-6.9999999999998863</c:v>
                </c:pt>
                <c:pt idx="680">
                  <c:v>-5.3999999999999204</c:v>
                </c:pt>
                <c:pt idx="681">
                  <c:v>-4.6000000000000796</c:v>
                </c:pt>
                <c:pt idx="682">
                  <c:v>-4.0000000000000568</c:v>
                </c:pt>
                <c:pt idx="683">
                  <c:v>1.5999999999999659</c:v>
                </c:pt>
                <c:pt idx="684">
                  <c:v>17.000000000000171</c:v>
                </c:pt>
                <c:pt idx="685">
                  <c:v>20</c:v>
                </c:pt>
                <c:pt idx="686">
                  <c:v>9.3999999999999773</c:v>
                </c:pt>
                <c:pt idx="687">
                  <c:v>1.5999999999999659</c:v>
                </c:pt>
                <c:pt idx="688">
                  <c:v>-0.80000000000012506</c:v>
                </c:pt>
                <c:pt idx="689">
                  <c:v>-3.9999999999997726</c:v>
                </c:pt>
                <c:pt idx="690">
                  <c:v>-6.2000000000000455</c:v>
                </c:pt>
                <c:pt idx="691">
                  <c:v>-6.8000000000000682</c:v>
                </c:pt>
                <c:pt idx="692">
                  <c:v>-10</c:v>
                </c:pt>
                <c:pt idx="693">
                  <c:v>-4.7999999999998977</c:v>
                </c:pt>
                <c:pt idx="694">
                  <c:v>-5.4000000000002046</c:v>
                </c:pt>
                <c:pt idx="695">
                  <c:v>-4.5999999999997954</c:v>
                </c:pt>
                <c:pt idx="696">
                  <c:v>-3.0000000000001137</c:v>
                </c:pt>
                <c:pt idx="697">
                  <c:v>-6.2000000000000455</c:v>
                </c:pt>
                <c:pt idx="698">
                  <c:v>-7.8000000000000114</c:v>
                </c:pt>
                <c:pt idx="699">
                  <c:v>-6.9999999999998863</c:v>
                </c:pt>
                <c:pt idx="700">
                  <c:v>-6.8000000000000682</c:v>
                </c:pt>
                <c:pt idx="701">
                  <c:v>-7.8000000000000114</c:v>
                </c:pt>
                <c:pt idx="702">
                  <c:v>-6.2000000000000455</c:v>
                </c:pt>
                <c:pt idx="703">
                  <c:v>-3.7999999999999545</c:v>
                </c:pt>
                <c:pt idx="704">
                  <c:v>2.1999999999999886</c:v>
                </c:pt>
                <c:pt idx="705">
                  <c:v>20.200000000000102</c:v>
                </c:pt>
                <c:pt idx="706">
                  <c:v>19.199999999999875</c:v>
                </c:pt>
                <c:pt idx="707">
                  <c:v>7.0000000000001705</c:v>
                </c:pt>
                <c:pt idx="708">
                  <c:v>0.79999999999984084</c:v>
                </c:pt>
                <c:pt idx="709">
                  <c:v>-0.79999999999984084</c:v>
                </c:pt>
                <c:pt idx="710">
                  <c:v>-4.6000000000000796</c:v>
                </c:pt>
                <c:pt idx="711">
                  <c:v>-7.8000000000000114</c:v>
                </c:pt>
                <c:pt idx="712">
                  <c:v>-7.5999999999999091</c:v>
                </c:pt>
                <c:pt idx="713">
                  <c:v>-5.4000000000002046</c:v>
                </c:pt>
                <c:pt idx="714">
                  <c:v>-4.5999999999997954</c:v>
                </c:pt>
                <c:pt idx="715">
                  <c:v>-5.4000000000002046</c:v>
                </c:pt>
                <c:pt idx="716">
                  <c:v>-5.6000000000000227</c:v>
                </c:pt>
                <c:pt idx="717">
                  <c:v>-4.5999999999997954</c:v>
                </c:pt>
                <c:pt idx="718">
                  <c:v>-5.4000000000002046</c:v>
                </c:pt>
                <c:pt idx="719">
                  <c:v>-7.5999999999999091</c:v>
                </c:pt>
                <c:pt idx="720">
                  <c:v>-6.9999999999998863</c:v>
                </c:pt>
                <c:pt idx="721">
                  <c:v>-7.8000000000000114</c:v>
                </c:pt>
                <c:pt idx="722">
                  <c:v>-7.6000000000001933</c:v>
                </c:pt>
                <c:pt idx="723">
                  <c:v>-6.1999999999997613</c:v>
                </c:pt>
                <c:pt idx="724">
                  <c:v>-5.4000000000002046</c:v>
                </c:pt>
                <c:pt idx="725">
                  <c:v>1.4000000000001478</c:v>
                </c:pt>
                <c:pt idx="726">
                  <c:v>17.800000000000011</c:v>
                </c:pt>
                <c:pt idx="727">
                  <c:v>22.399999999999807</c:v>
                </c:pt>
                <c:pt idx="728">
                  <c:v>7.0000000000001705</c:v>
                </c:pt>
                <c:pt idx="729">
                  <c:v>0.79999999999984084</c:v>
                </c:pt>
                <c:pt idx="730">
                  <c:v>-0.79999999999984084</c:v>
                </c:pt>
                <c:pt idx="731">
                  <c:v>-3.7999999999999545</c:v>
                </c:pt>
                <c:pt idx="732">
                  <c:v>-7.8000000000000114</c:v>
                </c:pt>
                <c:pt idx="733">
                  <c:v>-7.0000000000001705</c:v>
                </c:pt>
                <c:pt idx="734">
                  <c:v>-8.4000000000000341</c:v>
                </c:pt>
                <c:pt idx="735">
                  <c:v>-3.7999999999999545</c:v>
                </c:pt>
                <c:pt idx="736">
                  <c:v>-5.3999999999999204</c:v>
                </c:pt>
                <c:pt idx="737">
                  <c:v>-3.1999999999999318</c:v>
                </c:pt>
                <c:pt idx="738">
                  <c:v>-3.7999999999999545</c:v>
                </c:pt>
                <c:pt idx="739">
                  <c:v>-6.2000000000000455</c:v>
                </c:pt>
                <c:pt idx="740">
                  <c:v>-7.0000000000001705</c:v>
                </c:pt>
                <c:pt idx="741">
                  <c:v>-4.5999999999997954</c:v>
                </c:pt>
                <c:pt idx="742">
                  <c:v>-8.6000000000001364</c:v>
                </c:pt>
                <c:pt idx="743">
                  <c:v>-5.9999999999999432</c:v>
                </c:pt>
                <c:pt idx="744">
                  <c:v>-6.2000000000000455</c:v>
                </c:pt>
                <c:pt idx="745">
                  <c:v>-5.3999999999999204</c:v>
                </c:pt>
                <c:pt idx="746">
                  <c:v>1.3999999999998636</c:v>
                </c:pt>
                <c:pt idx="747">
                  <c:v>15.600000000000023</c:v>
                </c:pt>
                <c:pt idx="748">
                  <c:v>20.800000000000125</c:v>
                </c:pt>
                <c:pt idx="749">
                  <c:v>7.5999999999999091</c:v>
                </c:pt>
                <c:pt idx="750">
                  <c:v>0.80000000000012506</c:v>
                </c:pt>
                <c:pt idx="751">
                  <c:v>-2.1999999999999886</c:v>
                </c:pt>
                <c:pt idx="752">
                  <c:v>-4.0000000000000568</c:v>
                </c:pt>
                <c:pt idx="753">
                  <c:v>-6.8000000000000682</c:v>
                </c:pt>
                <c:pt idx="754">
                  <c:v>-6.2000000000000455</c:v>
                </c:pt>
                <c:pt idx="755">
                  <c:v>-6.9999999999998863</c:v>
                </c:pt>
                <c:pt idx="756">
                  <c:v>-5.3999999999999204</c:v>
                </c:pt>
                <c:pt idx="757">
                  <c:v>-5.4000000000002046</c:v>
                </c:pt>
                <c:pt idx="758">
                  <c:v>-3.7999999999999545</c:v>
                </c:pt>
                <c:pt idx="759">
                  <c:v>-4.0000000000000568</c:v>
                </c:pt>
                <c:pt idx="760">
                  <c:v>-4.5999999999997954</c:v>
                </c:pt>
                <c:pt idx="761">
                  <c:v>-7.0000000000001705</c:v>
                </c:pt>
                <c:pt idx="762">
                  <c:v>-5.3999999999999204</c:v>
                </c:pt>
                <c:pt idx="763">
                  <c:v>-6.8000000000000682</c:v>
                </c:pt>
                <c:pt idx="764">
                  <c:v>-5.3999999999999204</c:v>
                </c:pt>
                <c:pt idx="765">
                  <c:v>-7.8000000000000114</c:v>
                </c:pt>
                <c:pt idx="766">
                  <c:v>-3.7999999999999545</c:v>
                </c:pt>
                <c:pt idx="767">
                  <c:v>0.79999999999984084</c:v>
                </c:pt>
                <c:pt idx="768">
                  <c:v>16.200000000000045</c:v>
                </c:pt>
                <c:pt idx="769">
                  <c:v>22.400000000000091</c:v>
                </c:pt>
                <c:pt idx="770">
                  <c:v>7.5999999999999091</c:v>
                </c:pt>
                <c:pt idx="771">
                  <c:v>0</c:v>
                </c:pt>
                <c:pt idx="772">
                  <c:v>-0.79999999999984084</c:v>
                </c:pt>
                <c:pt idx="773">
                  <c:v>-3.8000000000002387</c:v>
                </c:pt>
                <c:pt idx="774">
                  <c:v>-7.8000000000000114</c:v>
                </c:pt>
                <c:pt idx="775">
                  <c:v>-6.799999999999784</c:v>
                </c:pt>
                <c:pt idx="776">
                  <c:v>-7.0000000000001705</c:v>
                </c:pt>
                <c:pt idx="777">
                  <c:v>-4.5999999999997954</c:v>
                </c:pt>
                <c:pt idx="778">
                  <c:v>-3.8000000000002387</c:v>
                </c:pt>
                <c:pt idx="779">
                  <c:v>-3.9999999999997726</c:v>
                </c:pt>
                <c:pt idx="780">
                  <c:v>-5.4000000000002046</c:v>
                </c:pt>
                <c:pt idx="781">
                  <c:v>-4.5999999999997954</c:v>
                </c:pt>
                <c:pt idx="782">
                  <c:v>-5.4000000000002046</c:v>
                </c:pt>
                <c:pt idx="783">
                  <c:v>-4.5999999999997954</c:v>
                </c:pt>
                <c:pt idx="784">
                  <c:v>-6.2000000000000455</c:v>
                </c:pt>
                <c:pt idx="785">
                  <c:v>-6.2000000000000455</c:v>
                </c:pt>
                <c:pt idx="786">
                  <c:v>-6.2000000000000455</c:v>
                </c:pt>
                <c:pt idx="787">
                  <c:v>-3.7999999999999545</c:v>
                </c:pt>
                <c:pt idx="788">
                  <c:v>6.2000000000000455</c:v>
                </c:pt>
                <c:pt idx="789">
                  <c:v>19.199999999999875</c:v>
                </c:pt>
                <c:pt idx="790">
                  <c:v>15.39999999999992</c:v>
                </c:pt>
                <c:pt idx="791">
                  <c:v>4.8000000000001819</c:v>
                </c:pt>
                <c:pt idx="792">
                  <c:v>0</c:v>
                </c:pt>
                <c:pt idx="793">
                  <c:v>-2.4000000000000909</c:v>
                </c:pt>
                <c:pt idx="794">
                  <c:v>-6.2000000000000455</c:v>
                </c:pt>
                <c:pt idx="795">
                  <c:v>-6.2000000000000455</c:v>
                </c:pt>
                <c:pt idx="796">
                  <c:v>-7.5999999999999091</c:v>
                </c:pt>
                <c:pt idx="797">
                  <c:v>-3.1999999999999318</c:v>
                </c:pt>
                <c:pt idx="798">
                  <c:v>-3.7999999999999545</c:v>
                </c:pt>
                <c:pt idx="799">
                  <c:v>-3.1999999999999318</c:v>
                </c:pt>
                <c:pt idx="800">
                  <c:v>-3.8000000000002387</c:v>
                </c:pt>
                <c:pt idx="801">
                  <c:v>-2.1999999999999886</c:v>
                </c:pt>
                <c:pt idx="802">
                  <c:v>-5.3999999999999204</c:v>
                </c:pt>
                <c:pt idx="803">
                  <c:v>-5.6000000000000227</c:v>
                </c:pt>
                <c:pt idx="804">
                  <c:v>-5.9999999999999432</c:v>
                </c:pt>
                <c:pt idx="805">
                  <c:v>-6.9999999999998863</c:v>
                </c:pt>
                <c:pt idx="806">
                  <c:v>-5.4000000000002046</c:v>
                </c:pt>
                <c:pt idx="807">
                  <c:v>-6.2000000000000455</c:v>
                </c:pt>
                <c:pt idx="808">
                  <c:v>3.8000000000002387</c:v>
                </c:pt>
                <c:pt idx="809">
                  <c:v>18.599999999999852</c:v>
                </c:pt>
                <c:pt idx="810">
                  <c:v>13.199999999999932</c:v>
                </c:pt>
                <c:pt idx="811">
                  <c:v>3.0000000000001137</c:v>
                </c:pt>
                <c:pt idx="812">
                  <c:v>0</c:v>
                </c:pt>
                <c:pt idx="813">
                  <c:v>0</c:v>
                </c:pt>
                <c:pt idx="814">
                  <c:v>-3.0000000000001137</c:v>
                </c:pt>
                <c:pt idx="815">
                  <c:v>-6.9999999999998863</c:v>
                </c:pt>
                <c:pt idx="816">
                  <c:v>-5.3999999999999204</c:v>
                </c:pt>
                <c:pt idx="817">
                  <c:v>-4.6000000000000796</c:v>
                </c:pt>
                <c:pt idx="818">
                  <c:v>-5.3999999999999204</c:v>
                </c:pt>
                <c:pt idx="819">
                  <c:v>-1.5999999999999659</c:v>
                </c:pt>
                <c:pt idx="820">
                  <c:v>-3.200000000000216</c:v>
                </c:pt>
                <c:pt idx="821">
                  <c:v>-4.5999999999997954</c:v>
                </c:pt>
                <c:pt idx="822">
                  <c:v>-4.6000000000000796</c:v>
                </c:pt>
                <c:pt idx="823">
                  <c:v>-4.6000000000000796</c:v>
                </c:pt>
                <c:pt idx="824">
                  <c:v>-4.6000000000000796</c:v>
                </c:pt>
                <c:pt idx="825">
                  <c:v>-6.9999999999998863</c:v>
                </c:pt>
                <c:pt idx="826">
                  <c:v>-5.3999999999999204</c:v>
                </c:pt>
                <c:pt idx="827">
                  <c:v>-6.2000000000000455</c:v>
                </c:pt>
                <c:pt idx="828">
                  <c:v>-0.80000000000012506</c:v>
                </c:pt>
                <c:pt idx="829">
                  <c:v>15.400000000000205</c:v>
                </c:pt>
                <c:pt idx="830">
                  <c:v>13.999999999999773</c:v>
                </c:pt>
                <c:pt idx="831">
                  <c:v>3.8000000000002387</c:v>
                </c:pt>
                <c:pt idx="832">
                  <c:v>2.3999999999998067</c:v>
                </c:pt>
                <c:pt idx="833">
                  <c:v>0</c:v>
                </c:pt>
                <c:pt idx="834">
                  <c:v>-3.7999999999999545</c:v>
                </c:pt>
                <c:pt idx="835">
                  <c:v>-4.7999999999998977</c:v>
                </c:pt>
                <c:pt idx="836">
                  <c:v>-5.4000000000002046</c:v>
                </c:pt>
                <c:pt idx="837">
                  <c:v>-4.5999999999997954</c:v>
                </c:pt>
                <c:pt idx="838">
                  <c:v>-3.7999999999999545</c:v>
                </c:pt>
                <c:pt idx="839">
                  <c:v>-0.80000000000012506</c:v>
                </c:pt>
                <c:pt idx="840">
                  <c:v>-3.7999999999999545</c:v>
                </c:pt>
                <c:pt idx="841">
                  <c:v>-3.1999999999999318</c:v>
                </c:pt>
                <c:pt idx="842">
                  <c:v>-4.6000000000000796</c:v>
                </c:pt>
                <c:pt idx="843">
                  <c:v>-1.5999999999999659</c:v>
                </c:pt>
                <c:pt idx="844">
                  <c:v>-4.6000000000000796</c:v>
                </c:pt>
                <c:pt idx="845">
                  <c:v>-4.6000000000000796</c:v>
                </c:pt>
                <c:pt idx="846">
                  <c:v>-4.5999999999997954</c:v>
                </c:pt>
                <c:pt idx="847">
                  <c:v>-5.4000000000002046</c:v>
                </c:pt>
                <c:pt idx="848">
                  <c:v>-3.1999999999999318</c:v>
                </c:pt>
                <c:pt idx="849">
                  <c:v>6.9999999999998863</c:v>
                </c:pt>
                <c:pt idx="850">
                  <c:v>17.000000000000171</c:v>
                </c:pt>
                <c:pt idx="851">
                  <c:v>4.6000000000000796</c:v>
                </c:pt>
                <c:pt idx="852">
                  <c:v>3.1999999999999318</c:v>
                </c:pt>
                <c:pt idx="853">
                  <c:v>0.79999999999984084</c:v>
                </c:pt>
                <c:pt idx="854">
                  <c:v>-0.79999999999984084</c:v>
                </c:pt>
                <c:pt idx="855">
                  <c:v>-3.1999999999999318</c:v>
                </c:pt>
                <c:pt idx="856">
                  <c:v>-5.4000000000002046</c:v>
                </c:pt>
                <c:pt idx="857">
                  <c:v>-2.9999999999998295</c:v>
                </c:pt>
                <c:pt idx="858">
                  <c:v>-3.200000000000216</c:v>
                </c:pt>
                <c:pt idx="859">
                  <c:v>-2.9999999999998295</c:v>
                </c:pt>
                <c:pt idx="860">
                  <c:v>-1.5999999999999659</c:v>
                </c:pt>
                <c:pt idx="861">
                  <c:v>-3.0000000000001137</c:v>
                </c:pt>
                <c:pt idx="862">
                  <c:v>-4.0000000000000568</c:v>
                </c:pt>
                <c:pt idx="863">
                  <c:v>-2.9999999999998295</c:v>
                </c:pt>
                <c:pt idx="864">
                  <c:v>-4.6000000000000796</c:v>
                </c:pt>
                <c:pt idx="865">
                  <c:v>-3.1999999999999318</c:v>
                </c:pt>
                <c:pt idx="866">
                  <c:v>-3.0000000000001137</c:v>
                </c:pt>
                <c:pt idx="867">
                  <c:v>-4.6000000000000796</c:v>
                </c:pt>
                <c:pt idx="868">
                  <c:v>-3.9999999999997726</c:v>
                </c:pt>
                <c:pt idx="869">
                  <c:v>3.9999999999997726</c:v>
                </c:pt>
                <c:pt idx="870">
                  <c:v>10.800000000000125</c:v>
                </c:pt>
                <c:pt idx="871">
                  <c:v>5.3999999999999204</c:v>
                </c:pt>
                <c:pt idx="872">
                  <c:v>3.7999999999999545</c:v>
                </c:pt>
                <c:pt idx="873">
                  <c:v>1.6000000000002501</c:v>
                </c:pt>
                <c:pt idx="874">
                  <c:v>0</c:v>
                </c:pt>
                <c:pt idx="875">
                  <c:v>-4.0000000000000568</c:v>
                </c:pt>
                <c:pt idx="876">
                  <c:v>-5.3999999999999204</c:v>
                </c:pt>
                <c:pt idx="877">
                  <c:v>-3.0000000000001137</c:v>
                </c:pt>
                <c:pt idx="878">
                  <c:v>-3.7999999999999545</c:v>
                </c:pt>
                <c:pt idx="879">
                  <c:v>-0.80000000000012506</c:v>
                </c:pt>
                <c:pt idx="880">
                  <c:v>-3.1999999999999318</c:v>
                </c:pt>
                <c:pt idx="881">
                  <c:v>-3.7999999999999545</c:v>
                </c:pt>
                <c:pt idx="882">
                  <c:v>-2.1999999999999886</c:v>
                </c:pt>
                <c:pt idx="883">
                  <c:v>-4.0000000000000568</c:v>
                </c:pt>
                <c:pt idx="884">
                  <c:v>-3.7999999999999545</c:v>
                </c:pt>
                <c:pt idx="885">
                  <c:v>-4.6000000000000796</c:v>
                </c:pt>
                <c:pt idx="886">
                  <c:v>-3.1999999999999318</c:v>
                </c:pt>
                <c:pt idx="887">
                  <c:v>-5.3999999999999204</c:v>
                </c:pt>
                <c:pt idx="888">
                  <c:v>-3.0000000000001137</c:v>
                </c:pt>
                <c:pt idx="889">
                  <c:v>-0.80000000000012506</c:v>
                </c:pt>
                <c:pt idx="890">
                  <c:v>9.2000000000001592</c:v>
                </c:pt>
                <c:pt idx="891">
                  <c:v>7.8000000000000114</c:v>
                </c:pt>
                <c:pt idx="892">
                  <c:v>2.1999999999999886</c:v>
                </c:pt>
                <c:pt idx="893">
                  <c:v>-81.800000000000068</c:v>
                </c:pt>
                <c:pt idx="894">
                  <c:v>-88.000000000000114</c:v>
                </c:pt>
                <c:pt idx="895">
                  <c:v>-73.39999999999975</c:v>
                </c:pt>
                <c:pt idx="896">
                  <c:v>-62.600000000000193</c:v>
                </c:pt>
                <c:pt idx="897">
                  <c:v>-57.800000000000011</c:v>
                </c:pt>
                <c:pt idx="898">
                  <c:v>-51.799999999999784</c:v>
                </c:pt>
                <c:pt idx="899">
                  <c:v>-51.800000000000068</c:v>
                </c:pt>
                <c:pt idx="900">
                  <c:v>-47.000000000000171</c:v>
                </c:pt>
                <c:pt idx="901">
                  <c:v>-44.199999999999875</c:v>
                </c:pt>
                <c:pt idx="902">
                  <c:v>-44.000000000000057</c:v>
                </c:pt>
                <c:pt idx="903">
                  <c:v>-43.999999999999915</c:v>
                </c:pt>
                <c:pt idx="904">
                  <c:v>-40.200000000000102</c:v>
                </c:pt>
                <c:pt idx="905">
                  <c:v>-40</c:v>
                </c:pt>
                <c:pt idx="906">
                  <c:v>-36.400000000000006</c:v>
                </c:pt>
                <c:pt idx="907">
                  <c:v>-36.199999999999903</c:v>
                </c:pt>
                <c:pt idx="908">
                  <c:v>-35.600000000000023</c:v>
                </c:pt>
                <c:pt idx="909">
                  <c:v>-34.000000000000057</c:v>
                </c:pt>
                <c:pt idx="910">
                  <c:v>-28.599999999999994</c:v>
                </c:pt>
                <c:pt idx="911">
                  <c:v>-26.199999999999903</c:v>
                </c:pt>
                <c:pt idx="912">
                  <c:v>-28.599999999999994</c:v>
                </c:pt>
                <c:pt idx="913">
                  <c:v>-27.000000000000028</c:v>
                </c:pt>
                <c:pt idx="914">
                  <c:v>-27.000000000000028</c:v>
                </c:pt>
                <c:pt idx="915">
                  <c:v>-27.000000000000028</c:v>
                </c:pt>
                <c:pt idx="916">
                  <c:v>-27.199999999999989</c:v>
                </c:pt>
                <c:pt idx="917">
                  <c:v>-26.200000000000045</c:v>
                </c:pt>
                <c:pt idx="918">
                  <c:v>-24.799999999999898</c:v>
                </c:pt>
                <c:pt idx="919">
                  <c:v>-22.199999999999989</c:v>
                </c:pt>
                <c:pt idx="920">
                  <c:v>-23.200000000000074</c:v>
                </c:pt>
                <c:pt idx="921">
                  <c:v>-22.399999999999949</c:v>
                </c:pt>
                <c:pt idx="922">
                  <c:v>-20.19999999999996</c:v>
                </c:pt>
                <c:pt idx="923">
                  <c:v>-22.400000000000091</c:v>
                </c:pt>
                <c:pt idx="924">
                  <c:v>-19.199999999999946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B8-4530-A377-734FC85F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46848"/>
        <c:axId val="388235200"/>
      </c:scatterChart>
      <c:valAx>
        <c:axId val="388246848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235200"/>
        <c:crosses val="autoZero"/>
        <c:crossBetween val="midCat"/>
      </c:valAx>
      <c:valAx>
        <c:axId val="388235200"/>
        <c:scaling>
          <c:orientation val="minMax"/>
          <c:max val="20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24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352424</xdr:colOff>
      <xdr:row>3</xdr:row>
      <xdr:rowOff>52386</xdr:rowOff>
    </xdr:from>
    <xdr:to>
      <xdr:col>15</xdr:col>
      <xdr:colOff>285749</xdr:colOff>
      <xdr:row>24</xdr:row>
      <xdr:rowOff>171449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51797</xdr:colOff>
      <xdr:row>7</xdr:row>
      <xdr:rowOff>76200</xdr:rowOff>
    </xdr:from>
    <xdr:to>
      <xdr:col>10</xdr:col>
      <xdr:colOff>51797</xdr:colOff>
      <xdr:row>24</xdr:row>
      <xdr:rowOff>0</xdr:rowOff>
    </xdr:to>
    <xdr:cxnSp macro="">
      <xdr:nvCxnSpPr>
        <xdr:cNvPr id="5" name="Conector recto 4"/>
        <xdr:cNvCxnSpPr/>
      </xdr:nvCxnSpPr>
      <xdr:spPr>
        <a:xfrm flipV="1">
          <a:off x="6909797" y="1409700"/>
          <a:ext cx="0" cy="316230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512234</xdr:colOff>
      <xdr:row>7</xdr:row>
      <xdr:rowOff>91016</xdr:rowOff>
    </xdr:from>
    <xdr:to>
      <xdr:col>13</xdr:col>
      <xdr:colOff>512234</xdr:colOff>
      <xdr:row>24</xdr:row>
      <xdr:rowOff>14816</xdr:rowOff>
    </xdr:to>
    <xdr:cxnSp macro="">
      <xdr:nvCxnSpPr>
        <xdr:cNvPr id="6" name="Conector recto 5"/>
        <xdr:cNvCxnSpPr/>
      </xdr:nvCxnSpPr>
      <xdr:spPr>
        <a:xfrm flipV="1">
          <a:off x="10418234" y="1424516"/>
          <a:ext cx="0" cy="3162300"/>
        </a:xfrm>
        <a:prstGeom prst="line">
          <a:avLst/>
        </a:prstGeom>
        <a:ln>
          <a:solidFill>
            <a:srgbClr val="FF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706092</xdr:colOff>
      <xdr:row>8</xdr:row>
      <xdr:rowOff>131688</xdr:rowOff>
    </xdr:from>
    <xdr:to>
      <xdr:col>13</xdr:col>
      <xdr:colOff>582267</xdr:colOff>
      <xdr:row>8</xdr:row>
      <xdr:rowOff>131688</xdr:rowOff>
    </xdr:to>
    <xdr:cxnSp macro="">
      <xdr:nvCxnSpPr>
        <xdr:cNvPr id="8" name="Conector recto 7"/>
        <xdr:cNvCxnSpPr/>
      </xdr:nvCxnSpPr>
      <xdr:spPr>
        <a:xfrm>
          <a:off x="5278092" y="1655688"/>
          <a:ext cx="52101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708919</xdr:colOff>
      <xdr:row>11</xdr:row>
      <xdr:rowOff>146207</xdr:rowOff>
    </xdr:from>
    <xdr:to>
      <xdr:col>13</xdr:col>
      <xdr:colOff>585094</xdr:colOff>
      <xdr:row>11</xdr:row>
      <xdr:rowOff>146207</xdr:rowOff>
    </xdr:to>
    <xdr:cxnSp macro="">
      <xdr:nvCxnSpPr>
        <xdr:cNvPr id="9" name="Conector recto 8"/>
        <xdr:cNvCxnSpPr/>
      </xdr:nvCxnSpPr>
      <xdr:spPr>
        <a:xfrm>
          <a:off x="4518919" y="2241707"/>
          <a:ext cx="5210175" cy="0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25</xdr:row>
      <xdr:rowOff>85725</xdr:rowOff>
    </xdr:from>
    <xdr:to>
      <xdr:col>15</xdr:col>
      <xdr:colOff>295275</xdr:colOff>
      <xdr:row>43</xdr:row>
      <xdr:rowOff>180974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391583</xdr:colOff>
      <xdr:row>2</xdr:row>
      <xdr:rowOff>172459</xdr:rowOff>
    </xdr:from>
    <xdr:to>
      <xdr:col>45</xdr:col>
      <xdr:colOff>35598</xdr:colOff>
      <xdr:row>26</xdr:row>
      <xdr:rowOff>127000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380999</xdr:colOff>
      <xdr:row>30</xdr:row>
      <xdr:rowOff>94191</xdr:rowOff>
    </xdr:from>
    <xdr:to>
      <xdr:col>29</xdr:col>
      <xdr:colOff>84666</xdr:colOff>
      <xdr:row>46</xdr:row>
      <xdr:rowOff>42333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486833</xdr:colOff>
      <xdr:row>27</xdr:row>
      <xdr:rowOff>16885</xdr:rowOff>
    </xdr:from>
    <xdr:to>
      <xdr:col>53</xdr:col>
      <xdr:colOff>349710</xdr:colOff>
      <xdr:row>43</xdr:row>
      <xdr:rowOff>81444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76</xdr:col>
      <xdr:colOff>491021</xdr:colOff>
      <xdr:row>1</xdr:row>
      <xdr:rowOff>31580</xdr:rowOff>
    </xdr:from>
    <xdr:to>
      <xdr:col>86</xdr:col>
      <xdr:colOff>213931</xdr:colOff>
      <xdr:row>26</xdr:row>
      <xdr:rowOff>31579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32</xdr:col>
      <xdr:colOff>195056</xdr:colOff>
      <xdr:row>29</xdr:row>
      <xdr:rowOff>145775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481853</xdr:colOff>
      <xdr:row>1</xdr:row>
      <xdr:rowOff>33618</xdr:rowOff>
    </xdr:from>
    <xdr:to>
      <xdr:col>59</xdr:col>
      <xdr:colOff>619436</xdr:colOff>
      <xdr:row>22</xdr:row>
      <xdr:rowOff>182843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67235</xdr:colOff>
      <xdr:row>1</xdr:row>
      <xdr:rowOff>22411</xdr:rowOff>
    </xdr:from>
    <xdr:to>
      <xdr:col>72</xdr:col>
      <xdr:colOff>257734</xdr:colOff>
      <xdr:row>25</xdr:row>
      <xdr:rowOff>78441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0.25666</cdr:x>
      <cdr:y>0.74727</cdr:y>
    </cdr:from>
    <cdr:to>
      <cdr:x>0.92987</cdr:x>
      <cdr:y>0.74727</cdr:y>
    </cdr:to>
    <cdr:cxnSp macro="">
      <cdr:nvCxnSpPr>
        <cdr:cNvPr id="3" name="Conector recto 2"/>
        <cdr:cNvCxnSpPr/>
      </cdr:nvCxnSpPr>
      <cdr:spPr>
        <a:xfrm xmlns:a="http://schemas.openxmlformats.org/drawingml/2006/main">
          <a:off x="1743076" y="3078440"/>
          <a:ext cx="457200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>
              <a:lumMod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0.27024</cdr:x>
      <cdr:y>0.70532</cdr:y>
    </cdr:from>
    <cdr:to>
      <cdr:x>0.94345</cdr:x>
      <cdr:y>0.70532</cdr:y>
    </cdr:to>
    <cdr:cxnSp macro="">
      <cdr:nvCxnSpPr>
        <cdr:cNvPr id="4" name="Conector recto 3"/>
        <cdr:cNvCxnSpPr/>
      </cdr:nvCxnSpPr>
      <cdr:spPr>
        <a:xfrm xmlns:a="http://schemas.openxmlformats.org/drawingml/2006/main">
          <a:off x="1835289" y="2905610"/>
          <a:ext cx="457200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>
              <a:lumMod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0.33575</cdr:x>
      <cdr:y>0.14641</cdr:y>
    </cdr:from>
    <cdr:to>
      <cdr:x>0.33575</cdr:x>
      <cdr:y>0.85053</cdr:y>
    </cdr:to>
    <cdr:cxnSp macro="">
      <cdr:nvCxnSpPr>
        <cdr:cNvPr id="7" name="Conector recto 6"/>
        <cdr:cNvCxnSpPr/>
      </cdr:nvCxnSpPr>
      <cdr:spPr>
        <a:xfrm xmlns:a="http://schemas.openxmlformats.org/drawingml/2006/main">
          <a:off x="2623931" y="774425"/>
          <a:ext cx="0" cy="37242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0.71724</cdr:x>
      <cdr:y>0.31569</cdr:y>
    </cdr:from>
    <cdr:to>
      <cdr:x>0.71724</cdr:x>
      <cdr:y>0.83072</cdr:y>
    </cdr:to>
    <cdr:cxnSp macro="">
      <cdr:nvCxnSpPr>
        <cdr:cNvPr id="10" name="Conector recto 9"/>
        <cdr:cNvCxnSpPr/>
      </cdr:nvCxnSpPr>
      <cdr:spPr>
        <a:xfrm xmlns:a="http://schemas.openxmlformats.org/drawingml/2006/main">
          <a:off x="5605256" y="1669775"/>
          <a:ext cx="0" cy="27241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90486</xdr:rowOff>
    </xdr:from>
    <xdr:to>
      <xdr:col>7</xdr:col>
      <xdr:colOff>342900</xdr:colOff>
      <xdr:row>18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0</xdr:row>
      <xdr:rowOff>166686</xdr:rowOff>
    </xdr:from>
    <xdr:to>
      <xdr:col>16</xdr:col>
      <xdr:colOff>514350</xdr:colOff>
      <xdr:row>19</xdr:row>
      <xdr:rowOff>19049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742950</xdr:colOff>
      <xdr:row>5</xdr:row>
      <xdr:rowOff>66675</xdr:rowOff>
    </xdr:from>
    <xdr:to>
      <xdr:col>12</xdr:col>
      <xdr:colOff>742950</xdr:colOff>
      <xdr:row>16</xdr:row>
      <xdr:rowOff>9525</xdr:rowOff>
    </xdr:to>
    <xdr:cxnSp macro="">
      <xdr:nvCxnSpPr>
        <xdr:cNvPr id="5" name="Conector recto 4"/>
        <xdr:cNvCxnSpPr/>
      </xdr:nvCxnSpPr>
      <xdr:spPr>
        <a:xfrm flipV="1">
          <a:off x="10439400" y="1019175"/>
          <a:ext cx="0" cy="2038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657225</xdr:colOff>
      <xdr:row>7</xdr:row>
      <xdr:rowOff>104775</xdr:rowOff>
    </xdr:from>
    <xdr:to>
      <xdr:col>14</xdr:col>
      <xdr:colOff>685800</xdr:colOff>
      <xdr:row>7</xdr:row>
      <xdr:rowOff>104775</xdr:rowOff>
    </xdr:to>
    <xdr:cxnSp macro="">
      <xdr:nvCxnSpPr>
        <xdr:cNvPr id="7" name="Conector recto 6"/>
        <xdr:cNvCxnSpPr/>
      </xdr:nvCxnSpPr>
      <xdr:spPr>
        <a:xfrm>
          <a:off x="8829675" y="1438275"/>
          <a:ext cx="3076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657225</xdr:colOff>
      <xdr:row>9</xdr:row>
      <xdr:rowOff>123825</xdr:rowOff>
    </xdr:from>
    <xdr:to>
      <xdr:col>15</xdr:col>
      <xdr:colOff>552450</xdr:colOff>
      <xdr:row>9</xdr:row>
      <xdr:rowOff>123825</xdr:rowOff>
    </xdr:to>
    <xdr:cxnSp macro="">
      <xdr:nvCxnSpPr>
        <xdr:cNvPr id="9" name="Conector recto 8"/>
        <xdr:cNvCxnSpPr/>
      </xdr:nvCxnSpPr>
      <xdr:spPr>
        <a:xfrm>
          <a:off x="8829675" y="1838325"/>
          <a:ext cx="3705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685800</xdr:colOff>
      <xdr:row>8</xdr:row>
      <xdr:rowOff>19050</xdr:rowOff>
    </xdr:from>
    <xdr:to>
      <xdr:col>14</xdr:col>
      <xdr:colOff>685800</xdr:colOff>
      <xdr:row>17</xdr:row>
      <xdr:rowOff>19050</xdr:rowOff>
    </xdr:to>
    <xdr:cxnSp macro="">
      <xdr:nvCxnSpPr>
        <xdr:cNvPr id="6" name="Conector recto 5"/>
        <xdr:cNvCxnSpPr/>
      </xdr:nvCxnSpPr>
      <xdr:spPr>
        <a:xfrm>
          <a:off x="11906250" y="1543050"/>
          <a:ext cx="0" cy="1714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314325</xdr:colOff>
      <xdr:row>1</xdr:row>
      <xdr:rowOff>14287</xdr:rowOff>
    </xdr:from>
    <xdr:to>
      <xdr:col>28</xdr:col>
      <xdr:colOff>200025</xdr:colOff>
      <xdr:row>21</xdr:row>
      <xdr:rowOff>66675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219075</xdr:colOff>
      <xdr:row>2</xdr:row>
      <xdr:rowOff>95250</xdr:rowOff>
    </xdr:from>
    <xdr:to>
      <xdr:col>22</xdr:col>
      <xdr:colOff>219075</xdr:colOff>
      <xdr:row>16</xdr:row>
      <xdr:rowOff>57150</xdr:rowOff>
    </xdr:to>
    <xdr:cxnSp macro="">
      <xdr:nvCxnSpPr>
        <xdr:cNvPr id="11" name="Conector recto 10"/>
        <xdr:cNvCxnSpPr/>
      </xdr:nvCxnSpPr>
      <xdr:spPr>
        <a:xfrm flipV="1">
          <a:off x="16802100" y="476250"/>
          <a:ext cx="0" cy="262890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400050</xdr:colOff>
      <xdr:row>4</xdr:row>
      <xdr:rowOff>161925</xdr:rowOff>
    </xdr:from>
    <xdr:to>
      <xdr:col>23</xdr:col>
      <xdr:colOff>28575</xdr:colOff>
      <xdr:row>4</xdr:row>
      <xdr:rowOff>161925</xdr:rowOff>
    </xdr:to>
    <xdr:cxnSp macro="">
      <xdr:nvCxnSpPr>
        <xdr:cNvPr id="13" name="Conector recto 12"/>
        <xdr:cNvCxnSpPr/>
      </xdr:nvCxnSpPr>
      <xdr:spPr>
        <a:xfrm flipH="1">
          <a:off x="15459075" y="923925"/>
          <a:ext cx="1914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1</xdr:row>
      <xdr:rowOff>71437</xdr:rowOff>
    </xdr:from>
    <xdr:to>
      <xdr:col>38</xdr:col>
      <xdr:colOff>561975</xdr:colOff>
      <xdr:row>17</xdr:row>
      <xdr:rowOff>161925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466724</xdr:colOff>
      <xdr:row>0</xdr:row>
      <xdr:rowOff>185736</xdr:rowOff>
    </xdr:from>
    <xdr:to>
      <xdr:col>49</xdr:col>
      <xdr:colOff>590550</xdr:colOff>
      <xdr:row>19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161924</xdr:colOff>
      <xdr:row>1</xdr:row>
      <xdr:rowOff>33336</xdr:rowOff>
    </xdr:from>
    <xdr:to>
      <xdr:col>61</xdr:col>
      <xdr:colOff>276225</xdr:colOff>
      <xdr:row>20</xdr:row>
      <xdr:rowOff>19050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0.07317</cdr:x>
      <cdr:y>0.35021</cdr:y>
    </cdr:from>
    <cdr:to>
      <cdr:x>0.74859</cdr:x>
      <cdr:y>0.35021</cdr:y>
    </cdr:to>
    <cdr:cxnSp macro="">
      <cdr:nvCxnSpPr>
        <cdr:cNvPr id="3" name="Conector recto 2"/>
        <cdr:cNvCxnSpPr/>
      </cdr:nvCxnSpPr>
      <cdr:spPr>
        <a:xfrm xmlns:a="http://schemas.openxmlformats.org/drawingml/2006/main">
          <a:off x="371464" y="1185862"/>
          <a:ext cx="342898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0.409</cdr:x>
      <cdr:y>0.24613</cdr:y>
    </cdr:from>
    <cdr:to>
      <cdr:x>0.409</cdr:x>
      <cdr:y>0.8706</cdr:y>
    </cdr:to>
    <cdr:cxnSp macro="">
      <cdr:nvCxnSpPr>
        <cdr:cNvPr id="5" name="Conector recto 4"/>
        <cdr:cNvCxnSpPr/>
      </cdr:nvCxnSpPr>
      <cdr:spPr>
        <a:xfrm xmlns:a="http://schemas.openxmlformats.org/drawingml/2006/main">
          <a:off x="2076434" y="833446"/>
          <a:ext cx="0" cy="211454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0.06191</cdr:x>
      <cdr:y>0.4993</cdr:y>
    </cdr:from>
    <cdr:to>
      <cdr:x>0.9606</cdr:x>
      <cdr:y>0.4993</cdr:y>
    </cdr:to>
    <cdr:cxnSp macro="">
      <cdr:nvCxnSpPr>
        <cdr:cNvPr id="7" name="Conector recto 6"/>
        <cdr:cNvCxnSpPr/>
      </cdr:nvCxnSpPr>
      <cdr:spPr>
        <a:xfrm xmlns:a="http://schemas.openxmlformats.org/drawingml/2006/main">
          <a:off x="314325" y="1690689"/>
          <a:ext cx="456247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206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0.79174</cdr:x>
      <cdr:y>0.31364</cdr:y>
    </cdr:from>
    <cdr:to>
      <cdr:x>0.79174</cdr:x>
      <cdr:y>0.8256</cdr:y>
    </cdr:to>
    <cdr:cxnSp macro="">
      <cdr:nvCxnSpPr>
        <cdr:cNvPr id="9" name="Conector recto 8"/>
        <cdr:cNvCxnSpPr/>
      </cdr:nvCxnSpPr>
      <cdr:spPr>
        <a:xfrm xmlns:a="http://schemas.openxmlformats.org/drawingml/2006/main" flipV="1">
          <a:off x="4019550" y="1062039"/>
          <a:ext cx="0" cy="17335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7030A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0.78846</cdr:x>
      <cdr:y>0.34128</cdr:y>
    </cdr:from>
    <cdr:to>
      <cdr:x>0.78846</cdr:x>
      <cdr:y>0.85693</cdr:y>
    </cdr:to>
    <cdr:cxnSp macro="">
      <cdr:nvCxnSpPr>
        <cdr:cNvPr id="3" name="Conector recto 2"/>
        <cdr:cNvCxnSpPr/>
      </cdr:nvCxnSpPr>
      <cdr:spPr>
        <a:xfrm xmlns:a="http://schemas.openxmlformats.org/drawingml/2006/main" flipV="1">
          <a:off x="4295775" y="1090613"/>
          <a:ext cx="0" cy="16478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0.0542</cdr:x>
      <cdr:y>0.47541</cdr:y>
    </cdr:from>
    <cdr:to>
      <cdr:x>0.85664</cdr:x>
      <cdr:y>0.47541</cdr:y>
    </cdr:to>
    <cdr:cxnSp macro="">
      <cdr:nvCxnSpPr>
        <cdr:cNvPr id="6" name="Conector recto 5"/>
        <cdr:cNvCxnSpPr/>
      </cdr:nvCxnSpPr>
      <cdr:spPr>
        <a:xfrm xmlns:a="http://schemas.openxmlformats.org/drawingml/2006/main" flipH="1">
          <a:off x="295275" y="1519238"/>
          <a:ext cx="437197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0.43729</cdr:x>
      <cdr:y>0.217</cdr:y>
    </cdr:from>
    <cdr:to>
      <cdr:x>0.43729</cdr:x>
      <cdr:y>0.86343</cdr:y>
    </cdr:to>
    <cdr:cxnSp macro="">
      <cdr:nvCxnSpPr>
        <cdr:cNvPr id="3" name="Conector recto 2"/>
        <cdr:cNvCxnSpPr/>
      </cdr:nvCxnSpPr>
      <cdr:spPr>
        <a:xfrm xmlns:a="http://schemas.openxmlformats.org/drawingml/2006/main" flipV="1">
          <a:off x="2524125" y="681038"/>
          <a:ext cx="0" cy="20288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0.08251</cdr:x>
      <cdr:y>0.37178</cdr:y>
    </cdr:from>
    <cdr:to>
      <cdr:x>0.49835</cdr:x>
      <cdr:y>0.37178</cdr:y>
    </cdr:to>
    <cdr:cxnSp macro="">
      <cdr:nvCxnSpPr>
        <cdr:cNvPr id="5" name="Conector recto 4"/>
        <cdr:cNvCxnSpPr/>
      </cdr:nvCxnSpPr>
      <cdr:spPr>
        <a:xfrm xmlns:a="http://schemas.openxmlformats.org/drawingml/2006/main" flipH="1">
          <a:off x="476250" y="1166813"/>
          <a:ext cx="240030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0.77558</cdr:x>
      <cdr:y>0.33232</cdr:y>
    </cdr:from>
    <cdr:to>
      <cdr:x>0.77558</cdr:x>
      <cdr:y>0.82398</cdr:y>
    </cdr:to>
    <cdr:cxnSp macro="">
      <cdr:nvCxnSpPr>
        <cdr:cNvPr id="7" name="Conector recto 6"/>
        <cdr:cNvCxnSpPr/>
      </cdr:nvCxnSpPr>
      <cdr:spPr>
        <a:xfrm xmlns:a="http://schemas.openxmlformats.org/drawingml/2006/main" flipV="1">
          <a:off x="4476750" y="1042988"/>
          <a:ext cx="0" cy="15430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0.07426</cdr:x>
      <cdr:y>0.50531</cdr:y>
    </cdr:from>
    <cdr:to>
      <cdr:x>0.86799</cdr:x>
      <cdr:y>0.50531</cdr:y>
    </cdr:to>
    <cdr:cxnSp macro="">
      <cdr:nvCxnSpPr>
        <cdr:cNvPr id="9" name="Conector recto 8"/>
        <cdr:cNvCxnSpPr/>
      </cdr:nvCxnSpPr>
      <cdr:spPr>
        <a:xfrm xmlns:a="http://schemas.openxmlformats.org/drawingml/2006/main">
          <a:off x="428625" y="1585913"/>
          <a:ext cx="458152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97"/>
  <sheetViews>
    <sheetView topLeftCell="BS1" zoomScale="85" zoomScaleNormal="85" workbookViewId="0">
      <selection activeCell="BU1" sqref="BU1"/>
    </sheetView>
  </sheetViews>
  <sheetFormatPr baseColWidth="10" defaultRowHeight="15" x14ac:dyDescent="0.25"/>
  <cols>
    <col min="3" max="3" width="0" hidden="1" customWidth="1"/>
    <col min="46" max="46" width="7.42578125" customWidth="1"/>
  </cols>
  <sheetData>
    <row r="1" spans="1:77" x14ac:dyDescent="0.25">
      <c r="A1">
        <v>1</v>
      </c>
      <c r="B1">
        <v>150.26</v>
      </c>
      <c r="S1">
        <v>0</v>
      </c>
      <c r="AF1" t="s">
        <v>1</v>
      </c>
      <c r="AH1">
        <v>1</v>
      </c>
      <c r="AV1">
        <v>97</v>
      </c>
      <c r="BJ1">
        <v>140</v>
      </c>
      <c r="BV1">
        <v>154</v>
      </c>
      <c r="BW1">
        <v>97</v>
      </c>
    </row>
    <row r="2" spans="1:77" x14ac:dyDescent="0.25">
      <c r="A2">
        <v>2</v>
      </c>
      <c r="B2">
        <v>151.34</v>
      </c>
      <c r="C2">
        <v>2</v>
      </c>
      <c r="D2">
        <f>(B2-B1)/0.05</f>
        <v>21.60000000000025</v>
      </c>
      <c r="Q2">
        <v>1</v>
      </c>
      <c r="R2" s="4">
        <v>-0.62</v>
      </c>
      <c r="S2" s="4">
        <f t="shared" ref="S2:S65" si="0">IF(T2&gt;0,T2+S$1,0)</f>
        <v>0</v>
      </c>
      <c r="T2" s="4">
        <v>0</v>
      </c>
      <c r="U2" s="4">
        <f t="shared" ref="U2:U4" si="1">(T2-T1)/5</f>
        <v>0</v>
      </c>
      <c r="AF2">
        <v>1</v>
      </c>
      <c r="AG2" s="4">
        <v>0.54</v>
      </c>
      <c r="AH2" s="4">
        <f t="shared" ref="AH2:AH65" si="2">IF(AI2&gt;0,AI2+AH$1,0)</f>
        <v>11.81</v>
      </c>
      <c r="AI2" s="4">
        <v>10.81</v>
      </c>
      <c r="AJ2" s="4">
        <f>(AI2-AI1)/5+AH$1</f>
        <v>3.1619999999999999</v>
      </c>
      <c r="AT2">
        <v>1</v>
      </c>
      <c r="AU2">
        <v>1.39</v>
      </c>
      <c r="AV2">
        <f t="shared" ref="AV2:AV65" si="3">IF(AW2&gt;0,AW2+AV$1,0)</f>
        <v>107.81</v>
      </c>
      <c r="AW2">
        <v>10.81</v>
      </c>
      <c r="AX2" s="1">
        <f>(AW2-AW1)/5+AV$1</f>
        <v>99.162000000000006</v>
      </c>
      <c r="BH2">
        <v>1</v>
      </c>
      <c r="BI2">
        <v>0.62</v>
      </c>
      <c r="BJ2">
        <f>IF(BK2&gt;0,BK2+BJ$1,0)</f>
        <v>153.13</v>
      </c>
      <c r="BK2">
        <v>13.13</v>
      </c>
      <c r="BL2" s="1">
        <f>(BK2-BK1)/5+BJ$1</f>
        <v>142.626</v>
      </c>
      <c r="BT2">
        <v>1</v>
      </c>
      <c r="BU2">
        <v>205.56</v>
      </c>
      <c r="BV2">
        <f>IF(BW2&gt;0,BW2+BV$1,0)</f>
        <v>0</v>
      </c>
      <c r="BW2">
        <v>-6.18</v>
      </c>
      <c r="BY2" t="s">
        <v>0</v>
      </c>
    </row>
    <row r="3" spans="1:77" x14ac:dyDescent="0.25">
      <c r="A3">
        <v>3</v>
      </c>
      <c r="B3">
        <v>152.27000000000001</v>
      </c>
      <c r="C3">
        <v>3</v>
      </c>
      <c r="D3">
        <f>(B3-B2)/0.05</f>
        <v>18.600000000000136</v>
      </c>
      <c r="E3" s="1">
        <f>(D3-D2)/5</f>
        <v>-0.60000000000002274</v>
      </c>
      <c r="Q3">
        <v>2</v>
      </c>
      <c r="R3" s="4">
        <v>-0.62</v>
      </c>
      <c r="S3" s="4">
        <f t="shared" si="0"/>
        <v>0</v>
      </c>
      <c r="T3" s="4">
        <v>0</v>
      </c>
      <c r="U3" s="4">
        <f t="shared" si="1"/>
        <v>0</v>
      </c>
      <c r="AF3">
        <v>2</v>
      </c>
      <c r="AG3" s="4">
        <v>0.97</v>
      </c>
      <c r="AH3" s="4">
        <f t="shared" si="2"/>
        <v>9.5</v>
      </c>
      <c r="AI3" s="4">
        <v>8.5</v>
      </c>
      <c r="AJ3" s="4">
        <f t="shared" ref="AJ3:AJ66" si="4">(AI3-AI2)/5+AH$1</f>
        <v>0.53799999999999992</v>
      </c>
      <c r="AL3" t="s">
        <v>2</v>
      </c>
      <c r="AT3">
        <v>2</v>
      </c>
      <c r="AU3">
        <v>1.97</v>
      </c>
      <c r="AV3">
        <f t="shared" si="3"/>
        <v>108.59</v>
      </c>
      <c r="AW3">
        <v>11.59</v>
      </c>
      <c r="AX3" s="1">
        <f t="shared" ref="AX3:AX66" si="5">(AW3-AW2)/5+AV$1</f>
        <v>97.156000000000006</v>
      </c>
      <c r="BH3">
        <v>2</v>
      </c>
      <c r="BI3">
        <v>1.04</v>
      </c>
      <c r="BJ3">
        <f t="shared" ref="BJ3:BJ66" si="6">IF(BK3&gt;0,BK3+BJ$1,0)</f>
        <v>148.5</v>
      </c>
      <c r="BK3">
        <v>8.5</v>
      </c>
      <c r="BL3" s="1">
        <f t="shared" ref="BL3:BL66" si="7">(BK3-BK2)/5+BJ$1</f>
        <v>139.07400000000001</v>
      </c>
      <c r="BT3">
        <v>2</v>
      </c>
      <c r="BU3">
        <v>205.25</v>
      </c>
      <c r="BV3">
        <f t="shared" ref="BV3:BV66" si="8">IF(BW3&gt;0,BW3+BV$1,0)</f>
        <v>0</v>
      </c>
      <c r="BW3">
        <v>-12.36</v>
      </c>
      <c r="BX3">
        <f>BV$1+(BW3-BW2)/2.5</f>
        <v>151.52799999999999</v>
      </c>
      <c r="BY3" t="s">
        <v>0</v>
      </c>
    </row>
    <row r="4" spans="1:77" x14ac:dyDescent="0.25">
      <c r="A4">
        <v>4</v>
      </c>
      <c r="B4">
        <v>153.5</v>
      </c>
      <c r="C4">
        <v>4</v>
      </c>
      <c r="D4">
        <f t="shared" ref="D4:D67" si="9">(B4-B3)/0.05</f>
        <v>24.599999999999795</v>
      </c>
      <c r="E4" s="1">
        <f t="shared" ref="E4:E67" si="10">(D4-D3)/5</f>
        <v>1.1999999999999318</v>
      </c>
      <c r="Q4">
        <v>3</v>
      </c>
      <c r="R4" s="4">
        <v>-0.62</v>
      </c>
      <c r="S4" s="4">
        <f t="shared" si="0"/>
        <v>0</v>
      </c>
      <c r="T4" s="4">
        <v>0</v>
      </c>
      <c r="U4" s="4">
        <f t="shared" si="1"/>
        <v>0</v>
      </c>
      <c r="AF4">
        <v>3</v>
      </c>
      <c r="AG4" s="4">
        <v>1.31</v>
      </c>
      <c r="AH4" s="4">
        <f t="shared" si="2"/>
        <v>7.95</v>
      </c>
      <c r="AI4" s="4">
        <v>6.95</v>
      </c>
      <c r="AJ4" s="4">
        <f t="shared" si="4"/>
        <v>0.69000000000000006</v>
      </c>
      <c r="AT4">
        <v>3</v>
      </c>
      <c r="AU4">
        <v>2.2799999999999998</v>
      </c>
      <c r="AV4">
        <f t="shared" si="3"/>
        <v>103.18</v>
      </c>
      <c r="AW4">
        <v>6.18</v>
      </c>
      <c r="AX4" s="1">
        <f t="shared" si="5"/>
        <v>95.918000000000006</v>
      </c>
      <c r="BH4">
        <v>3</v>
      </c>
      <c r="BI4">
        <v>1.2</v>
      </c>
      <c r="BJ4">
        <f t="shared" si="6"/>
        <v>143.09</v>
      </c>
      <c r="BK4">
        <v>3.09</v>
      </c>
      <c r="BL4" s="1">
        <f t="shared" si="7"/>
        <v>138.91800000000001</v>
      </c>
      <c r="BT4">
        <v>3</v>
      </c>
      <c r="BU4">
        <v>205.06</v>
      </c>
      <c r="BV4">
        <f t="shared" si="8"/>
        <v>0</v>
      </c>
      <c r="BW4">
        <v>-7.72</v>
      </c>
      <c r="BX4">
        <f t="shared" ref="BX4:BX67" si="11">BV$1+(BW4-BW3)/2.5</f>
        <v>155.85599999999999</v>
      </c>
      <c r="BY4" t="s">
        <v>0</v>
      </c>
    </row>
    <row r="5" spans="1:77" x14ac:dyDescent="0.25">
      <c r="A5">
        <v>5</v>
      </c>
      <c r="B5">
        <v>154.47</v>
      </c>
      <c r="C5">
        <v>5</v>
      </c>
      <c r="D5">
        <f t="shared" si="9"/>
        <v>19.399999999999977</v>
      </c>
      <c r="E5" s="1">
        <f t="shared" si="10"/>
        <v>-1.0399999999999636</v>
      </c>
      <c r="Q5">
        <v>4</v>
      </c>
      <c r="R5" s="4">
        <v>0.08</v>
      </c>
      <c r="S5" s="4">
        <f t="shared" si="0"/>
        <v>13.9</v>
      </c>
      <c r="T5" s="4">
        <v>13.9</v>
      </c>
      <c r="U5" s="4">
        <f>(T5-T4)/5</f>
        <v>2.7800000000000002</v>
      </c>
      <c r="AF5">
        <v>4</v>
      </c>
      <c r="AG5" s="4">
        <v>1.62</v>
      </c>
      <c r="AH5" s="4">
        <f t="shared" si="2"/>
        <v>7.18</v>
      </c>
      <c r="AI5" s="4">
        <v>6.18</v>
      </c>
      <c r="AJ5" s="4">
        <f t="shared" si="4"/>
        <v>0.84599999999999986</v>
      </c>
      <c r="AT5">
        <v>4</v>
      </c>
      <c r="AU5">
        <v>2.2799999999999998</v>
      </c>
      <c r="AV5">
        <f t="shared" si="3"/>
        <v>0</v>
      </c>
      <c r="AW5">
        <v>0</v>
      </c>
      <c r="AX5" s="1">
        <f t="shared" si="5"/>
        <v>95.763999999999996</v>
      </c>
      <c r="BH5">
        <v>4</v>
      </c>
      <c r="BI5">
        <v>1.2</v>
      </c>
      <c r="BJ5">
        <f t="shared" si="6"/>
        <v>0</v>
      </c>
      <c r="BK5">
        <v>0</v>
      </c>
      <c r="BL5" s="1">
        <f t="shared" si="7"/>
        <v>139.38200000000001</v>
      </c>
      <c r="BT5">
        <v>4</v>
      </c>
      <c r="BU5">
        <v>204.79</v>
      </c>
      <c r="BV5">
        <f t="shared" si="8"/>
        <v>0</v>
      </c>
      <c r="BW5">
        <v>-10.81</v>
      </c>
      <c r="BX5">
        <f t="shared" si="11"/>
        <v>152.76400000000001</v>
      </c>
      <c r="BY5" t="s">
        <v>0</v>
      </c>
    </row>
    <row r="6" spans="1:77" x14ac:dyDescent="0.25">
      <c r="A6">
        <v>6</v>
      </c>
      <c r="B6">
        <v>155.59</v>
      </c>
      <c r="C6">
        <v>6</v>
      </c>
      <c r="D6">
        <f t="shared" si="9"/>
        <v>22.400000000000091</v>
      </c>
      <c r="E6" s="1">
        <f t="shared" si="10"/>
        <v>0.60000000000002274</v>
      </c>
      <c r="Q6">
        <v>5</v>
      </c>
      <c r="R6" s="4">
        <v>2.39</v>
      </c>
      <c r="S6" s="4">
        <f t="shared" si="0"/>
        <v>46.34</v>
      </c>
      <c r="T6" s="4">
        <v>46.34</v>
      </c>
      <c r="U6" s="4">
        <f t="shared" ref="U6:U69" si="12">(T6-T5)/5</f>
        <v>6.4880000000000013</v>
      </c>
      <c r="AF6">
        <v>5</v>
      </c>
      <c r="AG6" s="4">
        <v>1.97</v>
      </c>
      <c r="AH6" s="4">
        <f t="shared" si="2"/>
        <v>7.95</v>
      </c>
      <c r="AI6" s="4">
        <v>6.95</v>
      </c>
      <c r="AJ6" s="4">
        <f t="shared" si="4"/>
        <v>1.1540000000000001</v>
      </c>
      <c r="AT6">
        <v>5</v>
      </c>
      <c r="AU6">
        <v>2.2400000000000002</v>
      </c>
      <c r="AV6">
        <f t="shared" si="3"/>
        <v>0</v>
      </c>
      <c r="AW6">
        <v>-0.77</v>
      </c>
      <c r="AX6" s="1">
        <f t="shared" si="5"/>
        <v>96.846000000000004</v>
      </c>
      <c r="BH6">
        <v>5</v>
      </c>
      <c r="BI6">
        <v>1.27</v>
      </c>
      <c r="BJ6">
        <f t="shared" si="6"/>
        <v>141.54</v>
      </c>
      <c r="BK6">
        <v>1.54</v>
      </c>
      <c r="BL6" s="1">
        <f t="shared" si="7"/>
        <v>140.30799999999999</v>
      </c>
      <c r="BT6">
        <v>5</v>
      </c>
      <c r="BU6">
        <v>204.52</v>
      </c>
      <c r="BV6">
        <f t="shared" si="8"/>
        <v>0</v>
      </c>
      <c r="BW6">
        <v>-10.81</v>
      </c>
      <c r="BX6">
        <f t="shared" si="11"/>
        <v>154</v>
      </c>
      <c r="BY6" t="s">
        <v>0</v>
      </c>
    </row>
    <row r="7" spans="1:77" x14ac:dyDescent="0.25">
      <c r="A7">
        <v>7</v>
      </c>
      <c r="B7">
        <v>156.78</v>
      </c>
      <c r="C7">
        <v>7</v>
      </c>
      <c r="D7">
        <f t="shared" si="9"/>
        <v>23.799999999999955</v>
      </c>
      <c r="E7" s="1">
        <f t="shared" si="10"/>
        <v>0.27999999999997272</v>
      </c>
      <c r="Q7">
        <v>6</v>
      </c>
      <c r="R7" s="4">
        <v>2.97</v>
      </c>
      <c r="S7" s="4">
        <f t="shared" si="0"/>
        <v>11.59</v>
      </c>
      <c r="T7" s="4">
        <v>11.59</v>
      </c>
      <c r="U7" s="4">
        <f t="shared" si="12"/>
        <v>-6.95</v>
      </c>
      <c r="AF7">
        <v>6</v>
      </c>
      <c r="AG7" s="4">
        <v>2.09</v>
      </c>
      <c r="AH7" s="4">
        <f t="shared" si="2"/>
        <v>3.32</v>
      </c>
      <c r="AI7" s="4">
        <v>2.3199999999999998</v>
      </c>
      <c r="AJ7" s="4">
        <f t="shared" si="4"/>
        <v>7.3999999999999844E-2</v>
      </c>
      <c r="AT7">
        <v>6</v>
      </c>
      <c r="AU7">
        <v>2.2000000000000002</v>
      </c>
      <c r="AV7">
        <f t="shared" si="3"/>
        <v>0</v>
      </c>
      <c r="AW7">
        <v>-0.77</v>
      </c>
      <c r="AX7" s="1">
        <f t="shared" si="5"/>
        <v>97</v>
      </c>
      <c r="BH7">
        <v>6</v>
      </c>
      <c r="BI7">
        <v>1.27</v>
      </c>
      <c r="BJ7">
        <f t="shared" si="6"/>
        <v>0</v>
      </c>
      <c r="BK7">
        <v>0</v>
      </c>
      <c r="BL7" s="1">
        <f t="shared" si="7"/>
        <v>139.69200000000001</v>
      </c>
      <c r="BT7">
        <v>6</v>
      </c>
      <c r="BU7">
        <v>204.28</v>
      </c>
      <c r="BV7">
        <f t="shared" si="8"/>
        <v>0</v>
      </c>
      <c r="BW7">
        <v>-9.27</v>
      </c>
      <c r="BX7">
        <f t="shared" si="11"/>
        <v>154.61600000000001</v>
      </c>
      <c r="BY7" t="s">
        <v>0</v>
      </c>
    </row>
    <row r="8" spans="1:77" x14ac:dyDescent="0.25">
      <c r="A8">
        <v>8</v>
      </c>
      <c r="B8">
        <v>157.47999999999999</v>
      </c>
      <c r="C8">
        <v>8</v>
      </c>
      <c r="D8">
        <f t="shared" si="9"/>
        <v>13.999999999999773</v>
      </c>
      <c r="E8" s="1">
        <f t="shared" si="10"/>
        <v>-1.9600000000000364</v>
      </c>
      <c r="Q8">
        <v>7</v>
      </c>
      <c r="R8" s="4">
        <v>3.36</v>
      </c>
      <c r="S8" s="4">
        <f t="shared" si="0"/>
        <v>7.72</v>
      </c>
      <c r="T8" s="4">
        <v>7.72</v>
      </c>
      <c r="U8" s="4">
        <f t="shared" si="12"/>
        <v>-0.77400000000000002</v>
      </c>
      <c r="AF8">
        <v>7</v>
      </c>
      <c r="AG8" s="4">
        <v>2.09</v>
      </c>
      <c r="AH8" s="4">
        <f t="shared" si="2"/>
        <v>0</v>
      </c>
      <c r="AI8" s="4">
        <v>0</v>
      </c>
      <c r="AJ8" s="4">
        <f t="shared" si="4"/>
        <v>0.53600000000000003</v>
      </c>
      <c r="AT8">
        <v>7</v>
      </c>
      <c r="AU8">
        <v>2.5499999999999998</v>
      </c>
      <c r="AV8">
        <f t="shared" si="3"/>
        <v>103.95</v>
      </c>
      <c r="AW8">
        <v>6.95</v>
      </c>
      <c r="AX8" s="1">
        <f t="shared" si="5"/>
        <v>98.543999999999997</v>
      </c>
      <c r="BH8">
        <v>7</v>
      </c>
      <c r="BI8">
        <v>1.51</v>
      </c>
      <c r="BJ8">
        <f t="shared" si="6"/>
        <v>144.63</v>
      </c>
      <c r="BK8">
        <v>4.63</v>
      </c>
      <c r="BL8" s="1">
        <f t="shared" si="7"/>
        <v>140.92599999999999</v>
      </c>
      <c r="BT8">
        <v>7</v>
      </c>
      <c r="BU8">
        <v>204.01</v>
      </c>
      <c r="BV8">
        <f t="shared" si="8"/>
        <v>0</v>
      </c>
      <c r="BW8">
        <v>-10.81</v>
      </c>
      <c r="BX8">
        <f t="shared" si="11"/>
        <v>153.38399999999999</v>
      </c>
      <c r="BY8" t="s">
        <v>0</v>
      </c>
    </row>
    <row r="9" spans="1:77" x14ac:dyDescent="0.25">
      <c r="A9">
        <v>9</v>
      </c>
      <c r="B9">
        <v>158.6</v>
      </c>
      <c r="C9">
        <v>9</v>
      </c>
      <c r="D9">
        <f t="shared" si="9"/>
        <v>22.400000000000091</v>
      </c>
      <c r="E9" s="1">
        <f t="shared" si="10"/>
        <v>1.6800000000000637</v>
      </c>
      <c r="Q9">
        <v>8</v>
      </c>
      <c r="R9" s="4">
        <v>3.4</v>
      </c>
      <c r="S9" s="4">
        <f t="shared" si="0"/>
        <v>0.77</v>
      </c>
      <c r="T9" s="4">
        <v>0.77</v>
      </c>
      <c r="U9" s="4">
        <f t="shared" si="12"/>
        <v>-1.39</v>
      </c>
      <c r="AF9">
        <v>8</v>
      </c>
      <c r="AG9" s="4">
        <v>2.09</v>
      </c>
      <c r="AH9" s="4">
        <f t="shared" si="2"/>
        <v>0</v>
      </c>
      <c r="AI9" s="4">
        <v>0</v>
      </c>
      <c r="AJ9" s="4">
        <f t="shared" si="4"/>
        <v>1</v>
      </c>
      <c r="AT9">
        <v>8</v>
      </c>
      <c r="AU9">
        <v>2.63</v>
      </c>
      <c r="AV9">
        <f t="shared" si="3"/>
        <v>98.54</v>
      </c>
      <c r="AW9">
        <v>1.54</v>
      </c>
      <c r="AX9" s="1">
        <f t="shared" si="5"/>
        <v>95.918000000000006</v>
      </c>
      <c r="BH9">
        <v>8</v>
      </c>
      <c r="BI9">
        <v>1.66</v>
      </c>
      <c r="BJ9">
        <f t="shared" si="6"/>
        <v>143.09</v>
      </c>
      <c r="BK9">
        <v>3.09</v>
      </c>
      <c r="BL9" s="1">
        <f t="shared" si="7"/>
        <v>139.69200000000001</v>
      </c>
      <c r="BT9">
        <v>8</v>
      </c>
      <c r="BU9">
        <v>203.74</v>
      </c>
      <c r="BV9">
        <f t="shared" si="8"/>
        <v>0</v>
      </c>
      <c r="BW9">
        <v>-10.81</v>
      </c>
      <c r="BX9">
        <f t="shared" si="11"/>
        <v>154</v>
      </c>
      <c r="BY9" t="s">
        <v>0</v>
      </c>
    </row>
    <row r="10" spans="1:77" x14ac:dyDescent="0.25">
      <c r="A10">
        <v>10</v>
      </c>
      <c r="B10">
        <v>159.53</v>
      </c>
      <c r="C10">
        <v>10</v>
      </c>
      <c r="D10">
        <f t="shared" si="9"/>
        <v>18.600000000000136</v>
      </c>
      <c r="E10" s="1">
        <f t="shared" si="10"/>
        <v>-0.75999999999999091</v>
      </c>
      <c r="Q10">
        <v>9</v>
      </c>
      <c r="R10" s="4">
        <v>3.44</v>
      </c>
      <c r="S10" s="4">
        <f t="shared" si="0"/>
        <v>0.77</v>
      </c>
      <c r="T10" s="4">
        <v>0.77</v>
      </c>
      <c r="U10" s="4">
        <f t="shared" si="12"/>
        <v>0</v>
      </c>
      <c r="AF10">
        <v>9</v>
      </c>
      <c r="AG10" s="4">
        <v>2.16</v>
      </c>
      <c r="AH10" s="4">
        <f t="shared" si="2"/>
        <v>2.54</v>
      </c>
      <c r="AI10" s="4">
        <v>1.54</v>
      </c>
      <c r="AJ10" s="4">
        <f t="shared" si="4"/>
        <v>1.3080000000000001</v>
      </c>
      <c r="AT10">
        <v>9</v>
      </c>
      <c r="AU10">
        <v>2.97</v>
      </c>
      <c r="AV10">
        <f t="shared" si="3"/>
        <v>103.95</v>
      </c>
      <c r="AW10">
        <v>6.95</v>
      </c>
      <c r="AX10" s="1">
        <f t="shared" si="5"/>
        <v>98.081999999999994</v>
      </c>
      <c r="BH10">
        <v>9</v>
      </c>
      <c r="BI10">
        <v>1.74</v>
      </c>
      <c r="BJ10">
        <f t="shared" si="6"/>
        <v>141.54</v>
      </c>
      <c r="BK10">
        <v>1.54</v>
      </c>
      <c r="BL10" s="1">
        <f t="shared" si="7"/>
        <v>139.69</v>
      </c>
      <c r="BT10">
        <v>9</v>
      </c>
      <c r="BU10">
        <v>203.59</v>
      </c>
      <c r="BV10">
        <f t="shared" si="8"/>
        <v>0</v>
      </c>
      <c r="BW10">
        <v>-6.18</v>
      </c>
      <c r="BX10">
        <f t="shared" si="11"/>
        <v>155.852</v>
      </c>
      <c r="BY10" t="s">
        <v>0</v>
      </c>
    </row>
    <row r="11" spans="1:77" x14ac:dyDescent="0.25">
      <c r="A11">
        <v>11</v>
      </c>
      <c r="B11">
        <v>160.49</v>
      </c>
      <c r="C11">
        <v>11</v>
      </c>
      <c r="D11">
        <f t="shared" si="9"/>
        <v>19.200000000000159</v>
      </c>
      <c r="E11" s="1">
        <f t="shared" si="10"/>
        <v>0.12000000000000455</v>
      </c>
      <c r="Q11">
        <v>10</v>
      </c>
      <c r="R11" s="4">
        <v>3.67</v>
      </c>
      <c r="S11" s="4">
        <f t="shared" si="0"/>
        <v>4.63</v>
      </c>
      <c r="T11" s="4">
        <v>4.63</v>
      </c>
      <c r="U11" s="4">
        <f t="shared" si="12"/>
        <v>0.77200000000000002</v>
      </c>
      <c r="AF11">
        <v>10</v>
      </c>
      <c r="AG11" s="4">
        <v>2.09</v>
      </c>
      <c r="AH11" s="4">
        <f t="shared" si="2"/>
        <v>0</v>
      </c>
      <c r="AI11" s="4">
        <v>-1.54</v>
      </c>
      <c r="AJ11" s="4">
        <f t="shared" si="4"/>
        <v>0.38400000000000001</v>
      </c>
      <c r="AT11">
        <v>10</v>
      </c>
      <c r="AU11">
        <v>3.17</v>
      </c>
      <c r="AV11">
        <f t="shared" si="3"/>
        <v>100.86</v>
      </c>
      <c r="AW11">
        <v>3.86</v>
      </c>
      <c r="AX11" s="1">
        <f t="shared" si="5"/>
        <v>96.382000000000005</v>
      </c>
      <c r="BH11">
        <v>10</v>
      </c>
      <c r="BI11">
        <v>1.97</v>
      </c>
      <c r="BJ11">
        <f t="shared" si="6"/>
        <v>144.63</v>
      </c>
      <c r="BK11">
        <v>4.63</v>
      </c>
      <c r="BL11" s="1">
        <f t="shared" si="7"/>
        <v>140.61799999999999</v>
      </c>
      <c r="BT11">
        <v>10</v>
      </c>
      <c r="BU11">
        <v>203.32</v>
      </c>
      <c r="BV11">
        <f t="shared" si="8"/>
        <v>0</v>
      </c>
      <c r="BW11">
        <v>-10.81</v>
      </c>
      <c r="BX11">
        <f t="shared" si="11"/>
        <v>152.148</v>
      </c>
      <c r="BY11" t="s">
        <v>0</v>
      </c>
    </row>
    <row r="12" spans="1:77" x14ac:dyDescent="0.25">
      <c r="A12">
        <v>12</v>
      </c>
      <c r="B12">
        <v>161.5</v>
      </c>
      <c r="C12">
        <v>12</v>
      </c>
      <c r="D12">
        <f t="shared" si="9"/>
        <v>20.199999999999818</v>
      </c>
      <c r="E12" s="1">
        <f t="shared" si="10"/>
        <v>0.19999999999993179</v>
      </c>
      <c r="Q12">
        <v>11</v>
      </c>
      <c r="R12" s="4">
        <v>3.86</v>
      </c>
      <c r="S12" s="4">
        <f t="shared" si="0"/>
        <v>3.86</v>
      </c>
      <c r="T12" s="4">
        <v>3.86</v>
      </c>
      <c r="U12" s="4">
        <f t="shared" si="12"/>
        <v>-0.154</v>
      </c>
      <c r="AF12">
        <v>11</v>
      </c>
      <c r="AG12" s="4">
        <v>2.2000000000000002</v>
      </c>
      <c r="AH12" s="4">
        <f t="shared" si="2"/>
        <v>3.32</v>
      </c>
      <c r="AI12" s="4">
        <v>2.3199999999999998</v>
      </c>
      <c r="AJ12" s="4">
        <f t="shared" si="4"/>
        <v>1.772</v>
      </c>
      <c r="AT12">
        <v>11</v>
      </c>
      <c r="AU12">
        <v>3.44</v>
      </c>
      <c r="AV12">
        <f t="shared" si="3"/>
        <v>102.41</v>
      </c>
      <c r="AW12">
        <v>5.41</v>
      </c>
      <c r="AX12" s="1">
        <f t="shared" si="5"/>
        <v>97.31</v>
      </c>
      <c r="BH12">
        <v>11</v>
      </c>
      <c r="BI12">
        <v>2.09</v>
      </c>
      <c r="BJ12">
        <f t="shared" si="6"/>
        <v>142.32</v>
      </c>
      <c r="BK12">
        <v>2.3199999999999998</v>
      </c>
      <c r="BL12" s="1">
        <f t="shared" si="7"/>
        <v>139.53800000000001</v>
      </c>
      <c r="BT12">
        <v>11</v>
      </c>
      <c r="BU12">
        <v>203.09</v>
      </c>
      <c r="BV12">
        <f t="shared" si="8"/>
        <v>0</v>
      </c>
      <c r="BW12">
        <v>-9.27</v>
      </c>
      <c r="BX12">
        <f t="shared" si="11"/>
        <v>154.61600000000001</v>
      </c>
      <c r="BY12" t="s">
        <v>0</v>
      </c>
    </row>
    <row r="13" spans="1:77" x14ac:dyDescent="0.25">
      <c r="A13">
        <v>13</v>
      </c>
      <c r="B13">
        <v>162.31</v>
      </c>
      <c r="C13">
        <v>13</v>
      </c>
      <c r="D13">
        <f t="shared" si="9"/>
        <v>16.200000000000045</v>
      </c>
      <c r="E13" s="1">
        <f t="shared" si="10"/>
        <v>-0.79999999999995453</v>
      </c>
      <c r="Q13">
        <v>12</v>
      </c>
      <c r="R13" s="4">
        <v>3.82</v>
      </c>
      <c r="S13" s="4">
        <f t="shared" si="0"/>
        <v>0</v>
      </c>
      <c r="T13" s="4">
        <v>-0.77</v>
      </c>
      <c r="U13" s="4">
        <f t="shared" si="12"/>
        <v>-0.92599999999999993</v>
      </c>
      <c r="AF13">
        <v>12</v>
      </c>
      <c r="AG13" s="4">
        <v>2.2000000000000002</v>
      </c>
      <c r="AH13" s="4">
        <f t="shared" si="2"/>
        <v>0</v>
      </c>
      <c r="AI13" s="4">
        <v>0</v>
      </c>
      <c r="AJ13" s="4">
        <f t="shared" si="4"/>
        <v>0.53600000000000003</v>
      </c>
      <c r="AT13">
        <v>12</v>
      </c>
      <c r="AU13">
        <v>3.63</v>
      </c>
      <c r="AV13">
        <f t="shared" si="3"/>
        <v>100.86</v>
      </c>
      <c r="AW13">
        <v>3.86</v>
      </c>
      <c r="AX13" s="1">
        <f t="shared" si="5"/>
        <v>96.69</v>
      </c>
      <c r="BH13">
        <v>12</v>
      </c>
      <c r="BI13">
        <v>2.3199999999999998</v>
      </c>
      <c r="BJ13">
        <f t="shared" si="6"/>
        <v>144.63</v>
      </c>
      <c r="BK13">
        <v>4.63</v>
      </c>
      <c r="BL13" s="1">
        <f t="shared" si="7"/>
        <v>140.46199999999999</v>
      </c>
      <c r="BT13">
        <v>12</v>
      </c>
      <c r="BU13">
        <v>202.93</v>
      </c>
      <c r="BV13">
        <f t="shared" si="8"/>
        <v>0</v>
      </c>
      <c r="BW13">
        <v>-6.18</v>
      </c>
      <c r="BX13">
        <f t="shared" si="11"/>
        <v>155.23599999999999</v>
      </c>
      <c r="BY13" t="s">
        <v>0</v>
      </c>
    </row>
    <row r="14" spans="1:77" x14ac:dyDescent="0.25">
      <c r="A14">
        <v>14</v>
      </c>
      <c r="B14">
        <v>163</v>
      </c>
      <c r="C14">
        <v>14</v>
      </c>
      <c r="D14">
        <f t="shared" si="9"/>
        <v>13.799999999999955</v>
      </c>
      <c r="E14" s="1">
        <f t="shared" si="10"/>
        <v>-0.48000000000001819</v>
      </c>
      <c r="Q14">
        <v>13</v>
      </c>
      <c r="R14" s="4">
        <v>3.86</v>
      </c>
      <c r="S14" s="4">
        <f t="shared" si="0"/>
        <v>0.77</v>
      </c>
      <c r="T14" s="4">
        <v>0.77</v>
      </c>
      <c r="U14" s="4">
        <f t="shared" si="12"/>
        <v>0.308</v>
      </c>
      <c r="AF14">
        <v>13</v>
      </c>
      <c r="AG14" s="4">
        <v>2.4300000000000002</v>
      </c>
      <c r="AH14" s="4">
        <f t="shared" si="2"/>
        <v>5.63</v>
      </c>
      <c r="AI14" s="4">
        <v>4.63</v>
      </c>
      <c r="AJ14" s="4">
        <f t="shared" si="4"/>
        <v>1.9259999999999999</v>
      </c>
      <c r="AT14">
        <v>13</v>
      </c>
      <c r="AU14">
        <v>3.98</v>
      </c>
      <c r="AV14">
        <f t="shared" si="3"/>
        <v>103.95</v>
      </c>
      <c r="AW14">
        <v>6.95</v>
      </c>
      <c r="AX14" s="1">
        <f t="shared" si="5"/>
        <v>97.617999999999995</v>
      </c>
      <c r="BH14">
        <v>13</v>
      </c>
      <c r="BI14">
        <v>2.5499999999999998</v>
      </c>
      <c r="BJ14">
        <f t="shared" si="6"/>
        <v>144.63</v>
      </c>
      <c r="BK14">
        <v>4.63</v>
      </c>
      <c r="BL14" s="1">
        <f t="shared" si="7"/>
        <v>140</v>
      </c>
      <c r="BT14">
        <v>13</v>
      </c>
      <c r="BU14">
        <v>202.82</v>
      </c>
      <c r="BV14">
        <f t="shared" si="8"/>
        <v>0</v>
      </c>
      <c r="BW14">
        <v>-4.63</v>
      </c>
      <c r="BX14">
        <f t="shared" si="11"/>
        <v>154.62</v>
      </c>
      <c r="BY14" t="s">
        <v>0</v>
      </c>
    </row>
    <row r="15" spans="1:77" x14ac:dyDescent="0.25">
      <c r="A15">
        <v>15</v>
      </c>
      <c r="B15">
        <v>162.77000000000001</v>
      </c>
      <c r="C15">
        <v>15</v>
      </c>
      <c r="D15">
        <f t="shared" si="9"/>
        <v>-4.5999999999997954</v>
      </c>
      <c r="E15" s="1">
        <f t="shared" si="10"/>
        <v>-3.67999999999995</v>
      </c>
      <c r="Q15">
        <v>14</v>
      </c>
      <c r="R15" s="4">
        <v>3.78</v>
      </c>
      <c r="S15" s="4">
        <f t="shared" si="0"/>
        <v>0</v>
      </c>
      <c r="T15" s="4">
        <v>-1.54</v>
      </c>
      <c r="U15" s="4">
        <f t="shared" si="12"/>
        <v>-0.46200000000000002</v>
      </c>
      <c r="AF15">
        <v>14</v>
      </c>
      <c r="AG15" s="4">
        <v>2.5099999999999998</v>
      </c>
      <c r="AH15" s="4">
        <f t="shared" si="2"/>
        <v>2.54</v>
      </c>
      <c r="AI15" s="4">
        <v>1.54</v>
      </c>
      <c r="AJ15" s="4">
        <f t="shared" si="4"/>
        <v>0.38200000000000001</v>
      </c>
      <c r="AT15">
        <v>14</v>
      </c>
      <c r="AU15">
        <v>4.4000000000000004</v>
      </c>
      <c r="AV15">
        <f t="shared" si="3"/>
        <v>105.5</v>
      </c>
      <c r="AW15">
        <v>8.5</v>
      </c>
      <c r="AX15" s="1">
        <f t="shared" si="5"/>
        <v>97.31</v>
      </c>
      <c r="BH15">
        <v>14</v>
      </c>
      <c r="BI15">
        <v>2.74</v>
      </c>
      <c r="BJ15">
        <f t="shared" si="6"/>
        <v>143.86000000000001</v>
      </c>
      <c r="BK15">
        <v>3.86</v>
      </c>
      <c r="BL15" s="1">
        <f t="shared" si="7"/>
        <v>139.846</v>
      </c>
      <c r="BT15">
        <v>14</v>
      </c>
      <c r="BU15">
        <v>203.12</v>
      </c>
      <c r="BV15">
        <f t="shared" si="8"/>
        <v>166.36</v>
      </c>
      <c r="BW15">
        <v>12.36</v>
      </c>
      <c r="BX15">
        <f t="shared" si="11"/>
        <v>160.79599999999999</v>
      </c>
      <c r="BY15" t="s">
        <v>0</v>
      </c>
    </row>
    <row r="16" spans="1:77" x14ac:dyDescent="0.25">
      <c r="A16">
        <v>16</v>
      </c>
      <c r="B16">
        <v>161.57</v>
      </c>
      <c r="C16">
        <v>16</v>
      </c>
      <c r="D16">
        <f t="shared" si="9"/>
        <v>-24.000000000000341</v>
      </c>
      <c r="E16" s="1">
        <f t="shared" si="10"/>
        <v>-3.8800000000001091</v>
      </c>
      <c r="Q16">
        <v>15</v>
      </c>
      <c r="R16" s="4">
        <v>3.75</v>
      </c>
      <c r="S16" s="4">
        <f t="shared" si="0"/>
        <v>0</v>
      </c>
      <c r="T16" s="4">
        <v>-0.77</v>
      </c>
      <c r="U16" s="4">
        <f t="shared" si="12"/>
        <v>0.154</v>
      </c>
      <c r="AF16">
        <v>15</v>
      </c>
      <c r="AG16" s="4">
        <v>2.74</v>
      </c>
      <c r="AH16" s="4">
        <f t="shared" si="2"/>
        <v>5.63</v>
      </c>
      <c r="AI16" s="4">
        <v>4.63</v>
      </c>
      <c r="AJ16" s="4">
        <f t="shared" si="4"/>
        <v>1.6179999999999999</v>
      </c>
      <c r="AT16">
        <v>15</v>
      </c>
      <c r="AU16">
        <v>4.67</v>
      </c>
      <c r="AV16">
        <f t="shared" si="3"/>
        <v>102.41</v>
      </c>
      <c r="AW16">
        <v>5.41</v>
      </c>
      <c r="AX16" s="1">
        <f t="shared" si="5"/>
        <v>96.382000000000005</v>
      </c>
      <c r="BH16">
        <v>15</v>
      </c>
      <c r="BI16">
        <v>2.93</v>
      </c>
      <c r="BJ16">
        <f t="shared" si="6"/>
        <v>143.86000000000001</v>
      </c>
      <c r="BK16">
        <v>3.86</v>
      </c>
      <c r="BL16" s="1">
        <f t="shared" si="7"/>
        <v>140</v>
      </c>
      <c r="BT16">
        <v>15</v>
      </c>
      <c r="BU16">
        <v>203.09</v>
      </c>
      <c r="BV16">
        <f t="shared" si="8"/>
        <v>0</v>
      </c>
      <c r="BW16">
        <v>-1.54</v>
      </c>
      <c r="BX16">
        <f t="shared" si="11"/>
        <v>148.44</v>
      </c>
      <c r="BY16" t="s">
        <v>0</v>
      </c>
    </row>
    <row r="17" spans="1:77" x14ac:dyDescent="0.25">
      <c r="A17">
        <v>17</v>
      </c>
      <c r="B17">
        <v>160.61000000000001</v>
      </c>
      <c r="C17">
        <v>17</v>
      </c>
      <c r="D17">
        <f t="shared" si="9"/>
        <v>-19.199999999999591</v>
      </c>
      <c r="E17" s="1">
        <f t="shared" si="10"/>
        <v>0.96000000000015007</v>
      </c>
      <c r="Q17">
        <v>16</v>
      </c>
      <c r="R17" s="4">
        <v>3.71</v>
      </c>
      <c r="S17" s="4">
        <f t="shared" si="0"/>
        <v>0</v>
      </c>
      <c r="T17" s="4">
        <v>-0.77</v>
      </c>
      <c r="U17" s="4">
        <f t="shared" si="12"/>
        <v>0</v>
      </c>
      <c r="AF17">
        <v>16</v>
      </c>
      <c r="AG17" s="4">
        <v>2.86</v>
      </c>
      <c r="AH17" s="4">
        <f t="shared" si="2"/>
        <v>3.32</v>
      </c>
      <c r="AI17" s="4">
        <v>2.3199999999999998</v>
      </c>
      <c r="AJ17" s="4">
        <f t="shared" si="4"/>
        <v>0.53800000000000003</v>
      </c>
      <c r="AT17">
        <v>16</v>
      </c>
      <c r="AU17">
        <v>5.17</v>
      </c>
      <c r="AV17">
        <f t="shared" si="3"/>
        <v>107.03999999999999</v>
      </c>
      <c r="AW17">
        <v>10.039999999999999</v>
      </c>
      <c r="AX17" s="1">
        <f t="shared" si="5"/>
        <v>97.926000000000002</v>
      </c>
      <c r="BH17">
        <v>16</v>
      </c>
      <c r="BI17">
        <v>3.17</v>
      </c>
      <c r="BJ17">
        <f t="shared" si="6"/>
        <v>144.63</v>
      </c>
      <c r="BK17">
        <v>4.63</v>
      </c>
      <c r="BL17" s="1">
        <f t="shared" si="7"/>
        <v>140.154</v>
      </c>
      <c r="BT17">
        <v>16</v>
      </c>
      <c r="BU17">
        <v>202.7</v>
      </c>
      <c r="BV17">
        <f t="shared" si="8"/>
        <v>0</v>
      </c>
      <c r="BW17">
        <v>-15.45</v>
      </c>
      <c r="BX17">
        <f t="shared" si="11"/>
        <v>148.43600000000001</v>
      </c>
      <c r="BY17" t="s">
        <v>0</v>
      </c>
    </row>
    <row r="18" spans="1:77" x14ac:dyDescent="0.25">
      <c r="A18">
        <v>18</v>
      </c>
      <c r="B18">
        <v>159.63999999999999</v>
      </c>
      <c r="C18">
        <v>18</v>
      </c>
      <c r="D18">
        <f t="shared" si="9"/>
        <v>-19.400000000000546</v>
      </c>
      <c r="E18" s="1">
        <f t="shared" si="10"/>
        <v>-4.0000000000190994E-2</v>
      </c>
      <c r="Q18">
        <v>17</v>
      </c>
      <c r="R18" s="4">
        <v>3.86</v>
      </c>
      <c r="S18" s="4">
        <f t="shared" si="0"/>
        <v>3.09</v>
      </c>
      <c r="T18" s="4">
        <v>3.09</v>
      </c>
      <c r="U18" s="4">
        <f t="shared" si="12"/>
        <v>0.77200000000000002</v>
      </c>
      <c r="AF18">
        <v>17</v>
      </c>
      <c r="AG18" s="4">
        <v>3.09</v>
      </c>
      <c r="AH18" s="4">
        <f t="shared" si="2"/>
        <v>5.63</v>
      </c>
      <c r="AI18" s="4">
        <v>4.63</v>
      </c>
      <c r="AJ18" s="4">
        <f t="shared" si="4"/>
        <v>1.462</v>
      </c>
      <c r="AT18">
        <v>17</v>
      </c>
      <c r="AU18">
        <v>5.48</v>
      </c>
      <c r="AV18">
        <f t="shared" si="3"/>
        <v>103.18</v>
      </c>
      <c r="AW18">
        <v>6.18</v>
      </c>
      <c r="AX18" s="1">
        <f t="shared" si="5"/>
        <v>96.227999999999994</v>
      </c>
      <c r="BH18">
        <v>17</v>
      </c>
      <c r="BI18">
        <v>3.36</v>
      </c>
      <c r="BJ18">
        <f t="shared" si="6"/>
        <v>143.86000000000001</v>
      </c>
      <c r="BK18">
        <v>3.86</v>
      </c>
      <c r="BL18" s="1">
        <f t="shared" si="7"/>
        <v>139.846</v>
      </c>
      <c r="BT18">
        <v>17</v>
      </c>
      <c r="BU18">
        <v>202.35</v>
      </c>
      <c r="BV18">
        <f t="shared" si="8"/>
        <v>0</v>
      </c>
      <c r="BW18">
        <v>-13.9</v>
      </c>
      <c r="BX18">
        <f t="shared" si="11"/>
        <v>154.62</v>
      </c>
      <c r="BY18" t="s">
        <v>0</v>
      </c>
    </row>
    <row r="19" spans="1:77" x14ac:dyDescent="0.25">
      <c r="A19">
        <v>19</v>
      </c>
      <c r="B19">
        <v>158.83000000000001</v>
      </c>
      <c r="C19">
        <v>19</v>
      </c>
      <c r="D19">
        <f t="shared" si="9"/>
        <v>-16.199999999999477</v>
      </c>
      <c r="E19" s="1">
        <f t="shared" si="10"/>
        <v>0.64000000000021373</v>
      </c>
      <c r="Q19">
        <v>18</v>
      </c>
      <c r="R19" s="4">
        <v>4.3600000000000003</v>
      </c>
      <c r="S19" s="4">
        <f t="shared" si="0"/>
        <v>10.039999999999999</v>
      </c>
      <c r="T19" s="4">
        <v>10.039999999999999</v>
      </c>
      <c r="U19" s="4">
        <f t="shared" si="12"/>
        <v>1.39</v>
      </c>
      <c r="AF19">
        <v>18</v>
      </c>
      <c r="AG19" s="4">
        <v>3.21</v>
      </c>
      <c r="AH19" s="4">
        <f t="shared" si="2"/>
        <v>3.32</v>
      </c>
      <c r="AI19" s="4">
        <v>2.3199999999999998</v>
      </c>
      <c r="AJ19" s="4">
        <f t="shared" si="4"/>
        <v>0.53800000000000003</v>
      </c>
      <c r="AT19">
        <v>18</v>
      </c>
      <c r="AU19">
        <v>5.95</v>
      </c>
      <c r="AV19">
        <f t="shared" si="3"/>
        <v>106.27</v>
      </c>
      <c r="AW19">
        <v>9.27</v>
      </c>
      <c r="AX19" s="1">
        <f t="shared" si="5"/>
        <v>97.617999999999995</v>
      </c>
      <c r="BH19">
        <v>18</v>
      </c>
      <c r="BI19">
        <v>3.59</v>
      </c>
      <c r="BJ19">
        <f t="shared" si="6"/>
        <v>144.63</v>
      </c>
      <c r="BK19">
        <v>4.63</v>
      </c>
      <c r="BL19" s="1">
        <f t="shared" si="7"/>
        <v>140.154</v>
      </c>
      <c r="BT19">
        <v>18</v>
      </c>
      <c r="BU19">
        <v>201.97</v>
      </c>
      <c r="BV19">
        <f t="shared" si="8"/>
        <v>0</v>
      </c>
      <c r="BW19">
        <v>-15.45</v>
      </c>
      <c r="BX19">
        <f t="shared" si="11"/>
        <v>153.38</v>
      </c>
      <c r="BY19" t="s">
        <v>0</v>
      </c>
    </row>
    <row r="20" spans="1:77" x14ac:dyDescent="0.25">
      <c r="A20">
        <v>20</v>
      </c>
      <c r="B20">
        <v>158.02000000000001</v>
      </c>
      <c r="C20">
        <v>20</v>
      </c>
      <c r="D20">
        <f t="shared" si="9"/>
        <v>-16.200000000000045</v>
      </c>
      <c r="E20" s="1">
        <f t="shared" si="10"/>
        <v>-1.1368683772161603E-13</v>
      </c>
      <c r="Q20">
        <v>19</v>
      </c>
      <c r="R20" s="4">
        <v>4.4400000000000004</v>
      </c>
      <c r="S20" s="4">
        <f t="shared" si="0"/>
        <v>1.54</v>
      </c>
      <c r="T20" s="4">
        <v>1.54</v>
      </c>
      <c r="U20" s="4">
        <f t="shared" si="12"/>
        <v>-1.7</v>
      </c>
      <c r="AF20">
        <v>19</v>
      </c>
      <c r="AG20" s="4">
        <v>3.44</v>
      </c>
      <c r="AH20" s="4">
        <f t="shared" si="2"/>
        <v>5.63</v>
      </c>
      <c r="AI20" s="4">
        <v>4.63</v>
      </c>
      <c r="AJ20" s="4">
        <f t="shared" si="4"/>
        <v>1.462</v>
      </c>
      <c r="AT20">
        <v>19</v>
      </c>
      <c r="AU20">
        <v>6.29</v>
      </c>
      <c r="AV20">
        <f t="shared" si="3"/>
        <v>103.95</v>
      </c>
      <c r="AW20">
        <v>6.95</v>
      </c>
      <c r="AX20" s="1">
        <f t="shared" si="5"/>
        <v>96.536000000000001</v>
      </c>
      <c r="BH20">
        <v>19</v>
      </c>
      <c r="BI20">
        <v>3.82</v>
      </c>
      <c r="BJ20">
        <f t="shared" si="6"/>
        <v>144.63</v>
      </c>
      <c r="BK20">
        <v>4.63</v>
      </c>
      <c r="BL20" s="1">
        <f t="shared" si="7"/>
        <v>140</v>
      </c>
      <c r="BT20">
        <v>19</v>
      </c>
      <c r="BU20">
        <v>201.73</v>
      </c>
      <c r="BV20">
        <f t="shared" si="8"/>
        <v>0</v>
      </c>
      <c r="BW20">
        <v>-9.27</v>
      </c>
      <c r="BX20">
        <f t="shared" si="11"/>
        <v>156.47200000000001</v>
      </c>
      <c r="BY20" t="s">
        <v>0</v>
      </c>
    </row>
    <row r="21" spans="1:77" x14ac:dyDescent="0.25">
      <c r="A21">
        <v>21</v>
      </c>
      <c r="B21">
        <v>157.16999999999999</v>
      </c>
      <c r="C21">
        <v>21</v>
      </c>
      <c r="D21">
        <f t="shared" si="9"/>
        <v>-17.000000000000455</v>
      </c>
      <c r="E21" s="1">
        <f t="shared" si="10"/>
        <v>-0.16000000000008185</v>
      </c>
      <c r="Q21">
        <v>20</v>
      </c>
      <c r="R21" s="4">
        <v>4.83</v>
      </c>
      <c r="S21" s="4">
        <f t="shared" si="0"/>
        <v>7.72</v>
      </c>
      <c r="T21" s="4">
        <v>7.72</v>
      </c>
      <c r="U21" s="4">
        <f t="shared" si="12"/>
        <v>1.236</v>
      </c>
      <c r="AF21">
        <v>20</v>
      </c>
      <c r="AG21" s="4">
        <v>3.51</v>
      </c>
      <c r="AH21" s="4">
        <f t="shared" si="2"/>
        <v>2.54</v>
      </c>
      <c r="AI21" s="4">
        <v>1.54</v>
      </c>
      <c r="AJ21" s="4">
        <f t="shared" si="4"/>
        <v>0.38200000000000001</v>
      </c>
      <c r="AT21">
        <v>20</v>
      </c>
      <c r="AU21">
        <v>6.68</v>
      </c>
      <c r="AV21">
        <f t="shared" si="3"/>
        <v>104.72</v>
      </c>
      <c r="AW21">
        <v>7.72</v>
      </c>
      <c r="AX21" s="1">
        <f t="shared" si="5"/>
        <v>97.153999999999996</v>
      </c>
      <c r="BH21">
        <v>20</v>
      </c>
      <c r="BI21">
        <v>4.13</v>
      </c>
      <c r="BJ21">
        <f t="shared" si="6"/>
        <v>146.18</v>
      </c>
      <c r="BK21">
        <v>6.18</v>
      </c>
      <c r="BL21" s="1">
        <f t="shared" si="7"/>
        <v>140.31</v>
      </c>
      <c r="BT21">
        <v>20</v>
      </c>
      <c r="BU21">
        <v>201.27</v>
      </c>
      <c r="BV21">
        <f t="shared" si="8"/>
        <v>0</v>
      </c>
      <c r="BW21">
        <v>-18.54</v>
      </c>
      <c r="BX21">
        <f t="shared" si="11"/>
        <v>150.292</v>
      </c>
      <c r="BY21" t="s">
        <v>0</v>
      </c>
    </row>
    <row r="22" spans="1:77" x14ac:dyDescent="0.25">
      <c r="A22">
        <v>22</v>
      </c>
      <c r="B22">
        <v>156.44</v>
      </c>
      <c r="C22">
        <v>22</v>
      </c>
      <c r="D22">
        <f t="shared" si="9"/>
        <v>-14.599999999999795</v>
      </c>
      <c r="E22" s="1">
        <f t="shared" si="10"/>
        <v>0.48000000000013188</v>
      </c>
      <c r="Q22">
        <v>21</v>
      </c>
      <c r="R22" s="4">
        <v>4.9000000000000004</v>
      </c>
      <c r="S22" s="4">
        <f t="shared" si="0"/>
        <v>1.54</v>
      </c>
      <c r="T22" s="4">
        <v>1.54</v>
      </c>
      <c r="U22" s="4">
        <f t="shared" si="12"/>
        <v>-1.236</v>
      </c>
      <c r="AF22">
        <v>21</v>
      </c>
      <c r="AG22" s="4">
        <v>3.86</v>
      </c>
      <c r="AH22" s="4">
        <f t="shared" si="2"/>
        <v>7.95</v>
      </c>
      <c r="AI22" s="4">
        <v>6.95</v>
      </c>
      <c r="AJ22" s="4">
        <f t="shared" si="4"/>
        <v>2.0819999999999999</v>
      </c>
      <c r="AT22">
        <v>21</v>
      </c>
      <c r="AU22">
        <v>7.18</v>
      </c>
      <c r="AV22">
        <f t="shared" si="3"/>
        <v>107.03999999999999</v>
      </c>
      <c r="AW22">
        <v>10.039999999999999</v>
      </c>
      <c r="AX22" s="1">
        <f t="shared" si="5"/>
        <v>97.463999999999999</v>
      </c>
      <c r="BH22">
        <v>21</v>
      </c>
      <c r="BI22">
        <v>4.3600000000000003</v>
      </c>
      <c r="BJ22">
        <f t="shared" si="6"/>
        <v>144.63</v>
      </c>
      <c r="BK22">
        <v>4.63</v>
      </c>
      <c r="BL22" s="1">
        <f t="shared" si="7"/>
        <v>139.69</v>
      </c>
      <c r="BT22">
        <v>21</v>
      </c>
      <c r="BU22">
        <v>201.12</v>
      </c>
      <c r="BV22">
        <f t="shared" si="8"/>
        <v>0</v>
      </c>
      <c r="BW22">
        <v>-6.18</v>
      </c>
      <c r="BX22">
        <f t="shared" si="11"/>
        <v>158.94399999999999</v>
      </c>
      <c r="BY22" t="s">
        <v>0</v>
      </c>
    </row>
    <row r="23" spans="1:77" x14ac:dyDescent="0.25">
      <c r="A23">
        <v>23</v>
      </c>
      <c r="B23">
        <v>155.69999999999999</v>
      </c>
      <c r="C23">
        <v>23</v>
      </c>
      <c r="D23">
        <f t="shared" si="9"/>
        <v>-14.800000000000182</v>
      </c>
      <c r="E23" s="1">
        <f t="shared" si="10"/>
        <v>-4.0000000000077307E-2</v>
      </c>
      <c r="Q23">
        <v>22</v>
      </c>
      <c r="R23" s="4">
        <v>5.33</v>
      </c>
      <c r="S23" s="4">
        <f t="shared" si="0"/>
        <v>8.5</v>
      </c>
      <c r="T23" s="4">
        <v>8.5</v>
      </c>
      <c r="U23" s="4">
        <f t="shared" si="12"/>
        <v>1.3919999999999999</v>
      </c>
      <c r="AF23">
        <v>22</v>
      </c>
      <c r="AG23" s="4">
        <v>4.0199999999999996</v>
      </c>
      <c r="AH23" s="4">
        <f t="shared" si="2"/>
        <v>4.09</v>
      </c>
      <c r="AI23" s="4">
        <v>3.09</v>
      </c>
      <c r="AJ23" s="4">
        <f t="shared" si="4"/>
        <v>0.22799999999999998</v>
      </c>
      <c r="AT23">
        <v>22</v>
      </c>
      <c r="AU23">
        <v>7.49</v>
      </c>
      <c r="AV23">
        <f t="shared" si="3"/>
        <v>103.18</v>
      </c>
      <c r="AW23">
        <v>6.18</v>
      </c>
      <c r="AX23" s="1">
        <f t="shared" si="5"/>
        <v>96.227999999999994</v>
      </c>
      <c r="BH23">
        <v>22</v>
      </c>
      <c r="BI23">
        <v>4.63</v>
      </c>
      <c r="BJ23">
        <f t="shared" si="6"/>
        <v>145.41</v>
      </c>
      <c r="BK23">
        <v>5.41</v>
      </c>
      <c r="BL23" s="1">
        <f t="shared" si="7"/>
        <v>140.15600000000001</v>
      </c>
      <c r="BT23">
        <v>22</v>
      </c>
      <c r="BU23">
        <v>200.92</v>
      </c>
      <c r="BV23">
        <f t="shared" si="8"/>
        <v>0</v>
      </c>
      <c r="BW23">
        <v>-7.72</v>
      </c>
      <c r="BX23">
        <f t="shared" si="11"/>
        <v>153.38399999999999</v>
      </c>
      <c r="BY23" t="s">
        <v>0</v>
      </c>
    </row>
    <row r="24" spans="1:77" x14ac:dyDescent="0.25">
      <c r="A24">
        <v>24</v>
      </c>
      <c r="B24">
        <v>154.97</v>
      </c>
      <c r="C24">
        <v>24</v>
      </c>
      <c r="D24">
        <f t="shared" si="9"/>
        <v>-14.599999999999795</v>
      </c>
      <c r="E24" s="1">
        <f t="shared" si="10"/>
        <v>4.0000000000077307E-2</v>
      </c>
      <c r="Q24">
        <v>23</v>
      </c>
      <c r="R24" s="4">
        <v>5.41</v>
      </c>
      <c r="S24" s="4">
        <f t="shared" si="0"/>
        <v>1.54</v>
      </c>
      <c r="T24" s="4">
        <v>1.54</v>
      </c>
      <c r="U24" s="4">
        <f t="shared" si="12"/>
        <v>-1.3919999999999999</v>
      </c>
      <c r="AF24">
        <v>23</v>
      </c>
      <c r="AG24" s="4">
        <v>4.3600000000000003</v>
      </c>
      <c r="AH24" s="4">
        <f t="shared" si="2"/>
        <v>7.95</v>
      </c>
      <c r="AI24" s="4">
        <v>6.95</v>
      </c>
      <c r="AJ24" s="4">
        <f t="shared" si="4"/>
        <v>1.772</v>
      </c>
      <c r="AT24">
        <v>23</v>
      </c>
      <c r="AU24">
        <v>8.15</v>
      </c>
      <c r="AV24">
        <f t="shared" si="3"/>
        <v>110.13</v>
      </c>
      <c r="AW24">
        <v>13.13</v>
      </c>
      <c r="AX24" s="1">
        <f t="shared" si="5"/>
        <v>98.39</v>
      </c>
      <c r="BH24">
        <v>23</v>
      </c>
      <c r="BI24">
        <v>4.79</v>
      </c>
      <c r="BJ24">
        <f t="shared" si="6"/>
        <v>143.09</v>
      </c>
      <c r="BK24">
        <v>3.09</v>
      </c>
      <c r="BL24" s="1">
        <f t="shared" si="7"/>
        <v>139.536</v>
      </c>
      <c r="BT24">
        <v>23</v>
      </c>
      <c r="BU24">
        <v>200.69</v>
      </c>
      <c r="BV24">
        <f t="shared" si="8"/>
        <v>0</v>
      </c>
      <c r="BW24">
        <v>-9.27</v>
      </c>
      <c r="BX24">
        <f t="shared" si="11"/>
        <v>153.38</v>
      </c>
      <c r="BY24" t="s">
        <v>0</v>
      </c>
    </row>
    <row r="25" spans="1:77" x14ac:dyDescent="0.25">
      <c r="A25">
        <v>25</v>
      </c>
      <c r="B25">
        <v>154.27000000000001</v>
      </c>
      <c r="C25">
        <v>25</v>
      </c>
      <c r="D25">
        <f t="shared" si="9"/>
        <v>-13.999999999999773</v>
      </c>
      <c r="E25" s="1">
        <f t="shared" si="10"/>
        <v>0.12000000000000455</v>
      </c>
      <c r="Q25">
        <v>24</v>
      </c>
      <c r="R25" s="4">
        <v>5.95</v>
      </c>
      <c r="S25" s="4">
        <f t="shared" si="0"/>
        <v>10.81</v>
      </c>
      <c r="T25" s="4">
        <v>10.81</v>
      </c>
      <c r="U25" s="4">
        <f t="shared" si="12"/>
        <v>1.8539999999999999</v>
      </c>
      <c r="AF25">
        <v>24</v>
      </c>
      <c r="AG25" s="4">
        <v>4.5199999999999996</v>
      </c>
      <c r="AH25" s="4">
        <f t="shared" si="2"/>
        <v>4.09</v>
      </c>
      <c r="AI25" s="4">
        <v>3.09</v>
      </c>
      <c r="AJ25" s="4">
        <f t="shared" si="4"/>
        <v>0.22799999999999998</v>
      </c>
      <c r="AT25">
        <v>24</v>
      </c>
      <c r="AU25">
        <v>8.5</v>
      </c>
      <c r="AV25">
        <f t="shared" si="3"/>
        <v>103.95</v>
      </c>
      <c r="AW25">
        <v>6.95</v>
      </c>
      <c r="AX25" s="1">
        <f t="shared" si="5"/>
        <v>95.763999999999996</v>
      </c>
      <c r="BH25">
        <v>24</v>
      </c>
      <c r="BI25">
        <v>5.21</v>
      </c>
      <c r="BJ25">
        <f t="shared" si="6"/>
        <v>148.5</v>
      </c>
      <c r="BK25">
        <v>8.5</v>
      </c>
      <c r="BL25" s="1">
        <f t="shared" si="7"/>
        <v>141.08199999999999</v>
      </c>
      <c r="BT25">
        <v>24</v>
      </c>
      <c r="BU25">
        <v>200.46</v>
      </c>
      <c r="BV25">
        <f t="shared" si="8"/>
        <v>0</v>
      </c>
      <c r="BW25">
        <v>-9.27</v>
      </c>
      <c r="BX25">
        <f t="shared" si="11"/>
        <v>154</v>
      </c>
      <c r="BY25" t="s">
        <v>0</v>
      </c>
    </row>
    <row r="26" spans="1:77" x14ac:dyDescent="0.25">
      <c r="A26">
        <v>26</v>
      </c>
      <c r="B26">
        <v>153.69999999999999</v>
      </c>
      <c r="C26">
        <v>26</v>
      </c>
      <c r="D26">
        <f t="shared" si="9"/>
        <v>-11.400000000000432</v>
      </c>
      <c r="E26" s="1">
        <f t="shared" si="10"/>
        <v>0.51999999999986812</v>
      </c>
      <c r="Q26">
        <v>25</v>
      </c>
      <c r="R26" s="4">
        <v>6.06</v>
      </c>
      <c r="S26" s="4">
        <f t="shared" si="0"/>
        <v>2.3199999999999998</v>
      </c>
      <c r="T26" s="4">
        <v>2.3199999999999998</v>
      </c>
      <c r="U26" s="4">
        <f t="shared" si="12"/>
        <v>-1.698</v>
      </c>
      <c r="AF26">
        <v>25</v>
      </c>
      <c r="AG26" s="4">
        <v>4.83</v>
      </c>
      <c r="AH26" s="4">
        <f t="shared" si="2"/>
        <v>7.18</v>
      </c>
      <c r="AI26" s="4">
        <v>6.18</v>
      </c>
      <c r="AJ26" s="4">
        <f t="shared" si="4"/>
        <v>1.6179999999999999</v>
      </c>
      <c r="AT26">
        <v>25</v>
      </c>
      <c r="AU26">
        <v>9</v>
      </c>
      <c r="AV26">
        <f t="shared" si="3"/>
        <v>107.03999999999999</v>
      </c>
      <c r="AW26">
        <v>10.039999999999999</v>
      </c>
      <c r="AX26" s="1">
        <f t="shared" si="5"/>
        <v>97.617999999999995</v>
      </c>
      <c r="BH26">
        <v>25</v>
      </c>
      <c r="BI26">
        <v>5.48</v>
      </c>
      <c r="BJ26">
        <f t="shared" si="6"/>
        <v>145.41</v>
      </c>
      <c r="BK26">
        <v>5.41</v>
      </c>
      <c r="BL26" s="1">
        <f t="shared" si="7"/>
        <v>139.38200000000001</v>
      </c>
      <c r="BT26">
        <v>25</v>
      </c>
      <c r="BU26">
        <v>200.19</v>
      </c>
      <c r="BV26">
        <f t="shared" si="8"/>
        <v>0</v>
      </c>
      <c r="BW26">
        <v>-10.81</v>
      </c>
      <c r="BX26">
        <f t="shared" si="11"/>
        <v>153.38399999999999</v>
      </c>
      <c r="BY26" t="s">
        <v>0</v>
      </c>
    </row>
    <row r="27" spans="1:77" x14ac:dyDescent="0.25">
      <c r="A27">
        <v>27</v>
      </c>
      <c r="B27">
        <v>153.22999999999999</v>
      </c>
      <c r="C27">
        <v>27</v>
      </c>
      <c r="D27">
        <f t="shared" si="9"/>
        <v>-9.3999999999999773</v>
      </c>
      <c r="E27" s="1">
        <f t="shared" si="10"/>
        <v>0.40000000000009095</v>
      </c>
      <c r="Q27">
        <v>26</v>
      </c>
      <c r="R27" s="4">
        <v>6.6</v>
      </c>
      <c r="S27" s="4">
        <f t="shared" si="0"/>
        <v>10.81</v>
      </c>
      <c r="T27" s="4">
        <v>10.81</v>
      </c>
      <c r="U27" s="4">
        <f t="shared" si="12"/>
        <v>1.698</v>
      </c>
      <c r="AF27">
        <v>26</v>
      </c>
      <c r="AG27" s="4">
        <v>5.0599999999999996</v>
      </c>
      <c r="AH27" s="4">
        <f t="shared" si="2"/>
        <v>5.63</v>
      </c>
      <c r="AI27" s="4">
        <v>4.63</v>
      </c>
      <c r="AJ27" s="4">
        <f t="shared" si="4"/>
        <v>0.69000000000000006</v>
      </c>
      <c r="AT27">
        <v>26</v>
      </c>
      <c r="AU27">
        <v>9.5399999999999991</v>
      </c>
      <c r="AV27">
        <f t="shared" si="3"/>
        <v>107.81</v>
      </c>
      <c r="AW27">
        <v>10.81</v>
      </c>
      <c r="AX27" s="1">
        <f t="shared" si="5"/>
        <v>97.153999999999996</v>
      </c>
      <c r="BH27">
        <v>26</v>
      </c>
      <c r="BI27">
        <v>5.72</v>
      </c>
      <c r="BJ27">
        <f t="shared" si="6"/>
        <v>144.63</v>
      </c>
      <c r="BK27">
        <v>4.63</v>
      </c>
      <c r="BL27" s="1">
        <f t="shared" si="7"/>
        <v>139.84399999999999</v>
      </c>
      <c r="BT27">
        <v>26</v>
      </c>
      <c r="BU27">
        <v>199.84</v>
      </c>
      <c r="BV27">
        <f t="shared" si="8"/>
        <v>0</v>
      </c>
      <c r="BW27">
        <v>-13.9</v>
      </c>
      <c r="BX27">
        <f t="shared" si="11"/>
        <v>152.76400000000001</v>
      </c>
      <c r="BY27" t="s">
        <v>0</v>
      </c>
    </row>
    <row r="28" spans="1:77" x14ac:dyDescent="0.25">
      <c r="A28">
        <v>28</v>
      </c>
      <c r="B28">
        <v>152.41999999999999</v>
      </c>
      <c r="C28">
        <v>28</v>
      </c>
      <c r="D28">
        <f t="shared" si="9"/>
        <v>-16.200000000000045</v>
      </c>
      <c r="E28" s="1">
        <f t="shared" si="10"/>
        <v>-1.3600000000000136</v>
      </c>
      <c r="Q28">
        <v>27</v>
      </c>
      <c r="R28" s="4">
        <v>6.87</v>
      </c>
      <c r="S28" s="4">
        <f t="shared" si="0"/>
        <v>5.41</v>
      </c>
      <c r="T28" s="4">
        <v>5.41</v>
      </c>
      <c r="U28" s="4">
        <f t="shared" si="12"/>
        <v>-1.08</v>
      </c>
      <c r="AF28">
        <v>27</v>
      </c>
      <c r="AG28" s="4">
        <v>5.41</v>
      </c>
      <c r="AH28" s="4">
        <f t="shared" si="2"/>
        <v>7.95</v>
      </c>
      <c r="AI28" s="4">
        <v>6.95</v>
      </c>
      <c r="AJ28" s="4">
        <f t="shared" si="4"/>
        <v>1.464</v>
      </c>
      <c r="AT28">
        <v>27</v>
      </c>
      <c r="AU28">
        <v>9.89</v>
      </c>
      <c r="AV28">
        <f t="shared" si="3"/>
        <v>103.95</v>
      </c>
      <c r="AW28">
        <v>6.95</v>
      </c>
      <c r="AX28" s="1">
        <f t="shared" si="5"/>
        <v>96.227999999999994</v>
      </c>
      <c r="BH28">
        <v>27</v>
      </c>
      <c r="BI28">
        <v>6.06</v>
      </c>
      <c r="BJ28">
        <f t="shared" si="6"/>
        <v>146.94999999999999</v>
      </c>
      <c r="BK28">
        <v>6.95</v>
      </c>
      <c r="BL28" s="1">
        <f t="shared" si="7"/>
        <v>140.464</v>
      </c>
      <c r="BT28">
        <v>27</v>
      </c>
      <c r="BU28">
        <v>199.69</v>
      </c>
      <c r="BV28">
        <f t="shared" si="8"/>
        <v>0</v>
      </c>
      <c r="BW28">
        <v>-6.18</v>
      </c>
      <c r="BX28">
        <f t="shared" si="11"/>
        <v>157.08799999999999</v>
      </c>
      <c r="BY28" t="s">
        <v>0</v>
      </c>
    </row>
    <row r="29" spans="1:77" x14ac:dyDescent="0.25">
      <c r="A29">
        <v>29</v>
      </c>
      <c r="B29">
        <v>151.72999999999999</v>
      </c>
      <c r="C29">
        <v>29</v>
      </c>
      <c r="D29">
        <f t="shared" si="9"/>
        <v>-13.799999999999955</v>
      </c>
      <c r="E29" s="1">
        <f t="shared" si="10"/>
        <v>0.48000000000001819</v>
      </c>
      <c r="Q29">
        <v>28</v>
      </c>
      <c r="R29" s="4">
        <v>7.18</v>
      </c>
      <c r="S29" s="4">
        <f t="shared" si="0"/>
        <v>6.18</v>
      </c>
      <c r="T29" s="4">
        <v>6.18</v>
      </c>
      <c r="U29" s="4">
        <f t="shared" si="12"/>
        <v>0.15399999999999991</v>
      </c>
      <c r="AF29">
        <v>28</v>
      </c>
      <c r="AG29" s="4">
        <v>5.56</v>
      </c>
      <c r="AH29" s="4">
        <f t="shared" si="2"/>
        <v>4.09</v>
      </c>
      <c r="AI29" s="4">
        <v>3.09</v>
      </c>
      <c r="AJ29" s="4">
        <f t="shared" si="4"/>
        <v>0.22799999999999998</v>
      </c>
      <c r="AT29">
        <v>28</v>
      </c>
      <c r="AU29">
        <v>10.58</v>
      </c>
      <c r="AV29">
        <f t="shared" si="3"/>
        <v>110.9</v>
      </c>
      <c r="AW29">
        <v>13.9</v>
      </c>
      <c r="AX29" s="1">
        <f t="shared" si="5"/>
        <v>98.39</v>
      </c>
      <c r="BH29">
        <v>28</v>
      </c>
      <c r="BI29">
        <v>6.18</v>
      </c>
      <c r="BJ29">
        <f t="shared" si="6"/>
        <v>142.32</v>
      </c>
      <c r="BK29">
        <v>2.3199999999999998</v>
      </c>
      <c r="BL29" s="1">
        <f t="shared" si="7"/>
        <v>139.07400000000001</v>
      </c>
      <c r="BT29">
        <v>28</v>
      </c>
      <c r="BU29">
        <v>199.42</v>
      </c>
      <c r="BV29">
        <f t="shared" si="8"/>
        <v>0</v>
      </c>
      <c r="BW29">
        <v>-10.81</v>
      </c>
      <c r="BX29">
        <f t="shared" si="11"/>
        <v>152.148</v>
      </c>
      <c r="BY29" t="s">
        <v>0</v>
      </c>
    </row>
    <row r="30" spans="1:77" x14ac:dyDescent="0.25">
      <c r="A30">
        <v>30</v>
      </c>
      <c r="B30">
        <v>150.99</v>
      </c>
      <c r="C30">
        <v>30</v>
      </c>
      <c r="D30">
        <f t="shared" si="9"/>
        <v>-14.799999999999613</v>
      </c>
      <c r="E30" s="1">
        <f t="shared" si="10"/>
        <v>-0.19999999999993179</v>
      </c>
      <c r="Q30">
        <v>29</v>
      </c>
      <c r="R30" s="4">
        <v>7.61</v>
      </c>
      <c r="S30" s="4">
        <f t="shared" si="0"/>
        <v>8.5</v>
      </c>
      <c r="T30" s="4">
        <v>8.5</v>
      </c>
      <c r="U30" s="4">
        <f t="shared" si="12"/>
        <v>0.46400000000000008</v>
      </c>
      <c r="AF30">
        <v>29</v>
      </c>
      <c r="AG30" s="4">
        <v>6.02</v>
      </c>
      <c r="AH30" s="4">
        <f t="shared" si="2"/>
        <v>10.27</v>
      </c>
      <c r="AI30" s="4">
        <v>9.27</v>
      </c>
      <c r="AJ30" s="4">
        <f t="shared" si="4"/>
        <v>2.2359999999999998</v>
      </c>
      <c r="AT30">
        <v>29</v>
      </c>
      <c r="AU30">
        <v>11.08</v>
      </c>
      <c r="AV30">
        <f t="shared" si="3"/>
        <v>107.03999999999999</v>
      </c>
      <c r="AW30">
        <v>10.039999999999999</v>
      </c>
      <c r="AX30" s="1">
        <f t="shared" si="5"/>
        <v>96.227999999999994</v>
      </c>
      <c r="BH30">
        <v>29</v>
      </c>
      <c r="BI30">
        <v>6.49</v>
      </c>
      <c r="BJ30">
        <f t="shared" si="6"/>
        <v>146.18</v>
      </c>
      <c r="BK30">
        <v>6.18</v>
      </c>
      <c r="BL30" s="1">
        <f t="shared" si="7"/>
        <v>140.77199999999999</v>
      </c>
      <c r="BT30">
        <v>29</v>
      </c>
      <c r="BU30">
        <v>199.22</v>
      </c>
      <c r="BV30">
        <f t="shared" si="8"/>
        <v>0</v>
      </c>
      <c r="BW30">
        <v>-7.72</v>
      </c>
      <c r="BX30">
        <f t="shared" si="11"/>
        <v>155.23599999999999</v>
      </c>
      <c r="BY30" t="s">
        <v>0</v>
      </c>
    </row>
    <row r="31" spans="1:77" x14ac:dyDescent="0.25">
      <c r="A31">
        <v>31</v>
      </c>
      <c r="B31">
        <v>150.37</v>
      </c>
      <c r="C31">
        <v>31</v>
      </c>
      <c r="D31">
        <f t="shared" si="9"/>
        <v>-12.400000000000091</v>
      </c>
      <c r="E31" s="1">
        <f t="shared" si="10"/>
        <v>0.4799999999999045</v>
      </c>
      <c r="Q31">
        <v>30</v>
      </c>
      <c r="R31" s="4">
        <v>7.96</v>
      </c>
      <c r="S31" s="4">
        <f t="shared" si="0"/>
        <v>6.95</v>
      </c>
      <c r="T31" s="4">
        <v>6.95</v>
      </c>
      <c r="U31" s="4">
        <f t="shared" si="12"/>
        <v>-0.30999999999999994</v>
      </c>
      <c r="AF31">
        <v>30</v>
      </c>
      <c r="AG31" s="4">
        <v>6.29</v>
      </c>
      <c r="AH31" s="4">
        <f t="shared" si="2"/>
        <v>6.41</v>
      </c>
      <c r="AI31" s="4">
        <v>5.41</v>
      </c>
      <c r="AJ31" s="4">
        <f t="shared" si="4"/>
        <v>0.22800000000000009</v>
      </c>
      <c r="AT31">
        <v>30</v>
      </c>
      <c r="AU31">
        <v>11.7</v>
      </c>
      <c r="AV31">
        <f t="shared" si="3"/>
        <v>109.36</v>
      </c>
      <c r="AW31">
        <v>12.36</v>
      </c>
      <c r="AX31" s="1">
        <f t="shared" si="5"/>
        <v>97.463999999999999</v>
      </c>
      <c r="BH31">
        <v>30</v>
      </c>
      <c r="BI31">
        <v>6.64</v>
      </c>
      <c r="BJ31">
        <f t="shared" si="6"/>
        <v>143.09</v>
      </c>
      <c r="BK31">
        <v>3.09</v>
      </c>
      <c r="BL31" s="1">
        <f t="shared" si="7"/>
        <v>139.38200000000001</v>
      </c>
      <c r="BT31">
        <v>30</v>
      </c>
      <c r="BU31">
        <v>198.99</v>
      </c>
      <c r="BV31">
        <f t="shared" si="8"/>
        <v>0</v>
      </c>
      <c r="BW31">
        <v>-9.27</v>
      </c>
      <c r="BX31">
        <f t="shared" si="11"/>
        <v>153.38</v>
      </c>
      <c r="BY31" t="s">
        <v>0</v>
      </c>
    </row>
    <row r="32" spans="1:77" x14ac:dyDescent="0.25">
      <c r="A32">
        <v>32</v>
      </c>
      <c r="B32">
        <v>149.72</v>
      </c>
      <c r="C32">
        <v>32</v>
      </c>
      <c r="D32">
        <f t="shared" si="9"/>
        <v>-13.000000000000114</v>
      </c>
      <c r="E32" s="1">
        <f t="shared" si="10"/>
        <v>-0.12000000000000455</v>
      </c>
      <c r="Q32">
        <v>31</v>
      </c>
      <c r="R32" s="4">
        <v>8.3000000000000007</v>
      </c>
      <c r="S32" s="4">
        <f t="shared" si="0"/>
        <v>6.95</v>
      </c>
      <c r="T32" s="4">
        <v>6.95</v>
      </c>
      <c r="U32" s="4">
        <f t="shared" si="12"/>
        <v>0</v>
      </c>
      <c r="AF32">
        <v>31</v>
      </c>
      <c r="AG32" s="4">
        <v>6.76</v>
      </c>
      <c r="AH32" s="4">
        <f t="shared" si="2"/>
        <v>10.27</v>
      </c>
      <c r="AI32" s="4">
        <v>9.27</v>
      </c>
      <c r="AJ32" s="4">
        <f t="shared" si="4"/>
        <v>1.7719999999999998</v>
      </c>
      <c r="AT32">
        <v>31</v>
      </c>
      <c r="AU32">
        <v>12.24</v>
      </c>
      <c r="AV32">
        <f t="shared" si="3"/>
        <v>107.81</v>
      </c>
      <c r="AW32">
        <v>10.81</v>
      </c>
      <c r="AX32" s="1">
        <f t="shared" si="5"/>
        <v>96.69</v>
      </c>
      <c r="BH32">
        <v>31</v>
      </c>
      <c r="BI32">
        <v>7.03</v>
      </c>
      <c r="BJ32">
        <f t="shared" si="6"/>
        <v>147.72</v>
      </c>
      <c r="BK32">
        <v>7.72</v>
      </c>
      <c r="BL32" s="1">
        <f t="shared" si="7"/>
        <v>140.92599999999999</v>
      </c>
      <c r="BT32">
        <v>31</v>
      </c>
      <c r="BU32">
        <v>198.76</v>
      </c>
      <c r="BV32">
        <f t="shared" si="8"/>
        <v>0</v>
      </c>
      <c r="BW32">
        <v>-9.27</v>
      </c>
      <c r="BX32">
        <f t="shared" si="11"/>
        <v>154</v>
      </c>
      <c r="BY32" t="s">
        <v>0</v>
      </c>
    </row>
    <row r="33" spans="1:77" x14ac:dyDescent="0.25">
      <c r="A33">
        <v>33</v>
      </c>
      <c r="B33">
        <v>149.1</v>
      </c>
      <c r="C33">
        <v>33</v>
      </c>
      <c r="D33">
        <f t="shared" si="9"/>
        <v>-12.400000000000091</v>
      </c>
      <c r="E33" s="1">
        <f t="shared" si="10"/>
        <v>0.12000000000000455</v>
      </c>
      <c r="Q33">
        <v>32</v>
      </c>
      <c r="R33" s="4">
        <v>8.65</v>
      </c>
      <c r="S33" s="4">
        <f t="shared" si="0"/>
        <v>6.95</v>
      </c>
      <c r="T33" s="4">
        <v>6.95</v>
      </c>
      <c r="U33" s="4">
        <f t="shared" si="12"/>
        <v>0</v>
      </c>
      <c r="AF33">
        <v>32</v>
      </c>
      <c r="AG33" s="4">
        <v>7.07</v>
      </c>
      <c r="AH33" s="4">
        <f t="shared" si="2"/>
        <v>7.18</v>
      </c>
      <c r="AI33" s="4">
        <v>6.18</v>
      </c>
      <c r="AJ33" s="4">
        <f t="shared" si="4"/>
        <v>0.38200000000000001</v>
      </c>
      <c r="AT33">
        <v>32</v>
      </c>
      <c r="AU33">
        <v>12.63</v>
      </c>
      <c r="AV33">
        <f t="shared" si="3"/>
        <v>104.72</v>
      </c>
      <c r="AW33">
        <v>7.72</v>
      </c>
      <c r="AX33" s="1">
        <f t="shared" si="5"/>
        <v>96.382000000000005</v>
      </c>
      <c r="BH33">
        <v>32</v>
      </c>
      <c r="BI33">
        <v>7.26</v>
      </c>
      <c r="BJ33">
        <f t="shared" si="6"/>
        <v>144.63</v>
      </c>
      <c r="BK33">
        <v>4.63</v>
      </c>
      <c r="BL33" s="1">
        <f t="shared" si="7"/>
        <v>139.38200000000001</v>
      </c>
      <c r="BT33">
        <v>32</v>
      </c>
      <c r="BU33">
        <v>198.53</v>
      </c>
      <c r="BV33">
        <f t="shared" si="8"/>
        <v>0</v>
      </c>
      <c r="BW33">
        <v>-9.27</v>
      </c>
      <c r="BX33">
        <f t="shared" si="11"/>
        <v>154</v>
      </c>
      <c r="BY33" t="s">
        <v>0</v>
      </c>
    </row>
    <row r="34" spans="1:77" x14ac:dyDescent="0.25">
      <c r="A34">
        <v>34</v>
      </c>
      <c r="B34">
        <v>148.44</v>
      </c>
      <c r="C34">
        <v>34</v>
      </c>
      <c r="D34">
        <f t="shared" si="9"/>
        <v>-13.199999999999932</v>
      </c>
      <c r="E34" s="1">
        <f t="shared" si="10"/>
        <v>-0.15999999999996817</v>
      </c>
      <c r="Q34">
        <v>33</v>
      </c>
      <c r="R34" s="4">
        <v>9</v>
      </c>
      <c r="S34" s="4">
        <f t="shared" si="0"/>
        <v>6.95</v>
      </c>
      <c r="T34" s="4">
        <v>6.95</v>
      </c>
      <c r="U34" s="4">
        <f t="shared" si="12"/>
        <v>0</v>
      </c>
      <c r="AF34">
        <v>33</v>
      </c>
      <c r="AG34" s="4">
        <v>7.41</v>
      </c>
      <c r="AH34" s="4">
        <f t="shared" si="2"/>
        <v>7.95</v>
      </c>
      <c r="AI34" s="4">
        <v>6.95</v>
      </c>
      <c r="AJ34" s="4">
        <f t="shared" si="4"/>
        <v>1.1540000000000001</v>
      </c>
      <c r="AT34">
        <v>33</v>
      </c>
      <c r="AU34">
        <v>13.36</v>
      </c>
      <c r="AV34">
        <f t="shared" si="3"/>
        <v>111.67</v>
      </c>
      <c r="AW34">
        <v>14.67</v>
      </c>
      <c r="AX34" s="1">
        <f t="shared" si="5"/>
        <v>98.39</v>
      </c>
      <c r="BH34">
        <v>33</v>
      </c>
      <c r="BI34">
        <v>7.57</v>
      </c>
      <c r="BJ34">
        <f t="shared" si="6"/>
        <v>146.18</v>
      </c>
      <c r="BK34">
        <v>6.18</v>
      </c>
      <c r="BL34" s="1">
        <f t="shared" si="7"/>
        <v>140.31</v>
      </c>
      <c r="BT34">
        <v>33</v>
      </c>
      <c r="BU34">
        <v>198.34</v>
      </c>
      <c r="BV34">
        <f t="shared" si="8"/>
        <v>0</v>
      </c>
      <c r="BW34">
        <v>-7.72</v>
      </c>
      <c r="BX34">
        <f t="shared" si="11"/>
        <v>154.62</v>
      </c>
      <c r="BY34" t="s">
        <v>0</v>
      </c>
    </row>
    <row r="35" spans="1:77" x14ac:dyDescent="0.25">
      <c r="A35">
        <v>35</v>
      </c>
      <c r="B35">
        <v>147.83000000000001</v>
      </c>
      <c r="C35">
        <v>35</v>
      </c>
      <c r="D35">
        <f t="shared" si="9"/>
        <v>-12.199999999999704</v>
      </c>
      <c r="E35" s="1">
        <f t="shared" si="10"/>
        <v>0.20000000000004547</v>
      </c>
      <c r="Q35">
        <v>34</v>
      </c>
      <c r="R35" s="4">
        <v>9.31</v>
      </c>
      <c r="S35" s="4">
        <f t="shared" si="0"/>
        <v>6.18</v>
      </c>
      <c r="T35" s="4">
        <v>6.18</v>
      </c>
      <c r="U35" s="4">
        <f t="shared" si="12"/>
        <v>-0.15400000000000008</v>
      </c>
      <c r="AF35">
        <v>34</v>
      </c>
      <c r="AG35" s="4">
        <v>7.68</v>
      </c>
      <c r="AH35" s="4">
        <f t="shared" si="2"/>
        <v>6.41</v>
      </c>
      <c r="AI35" s="4">
        <v>5.41</v>
      </c>
      <c r="AJ35" s="4">
        <f t="shared" si="4"/>
        <v>0.69199999999999995</v>
      </c>
      <c r="AT35">
        <v>34</v>
      </c>
      <c r="AU35">
        <v>13.86</v>
      </c>
      <c r="AV35">
        <f t="shared" si="3"/>
        <v>107.03999999999999</v>
      </c>
      <c r="AW35">
        <v>10.039999999999999</v>
      </c>
      <c r="AX35" s="1">
        <f t="shared" si="5"/>
        <v>96.073999999999998</v>
      </c>
      <c r="BH35">
        <v>34</v>
      </c>
      <c r="BI35">
        <v>7.8</v>
      </c>
      <c r="BJ35">
        <f t="shared" si="6"/>
        <v>144.63</v>
      </c>
      <c r="BK35">
        <v>4.63</v>
      </c>
      <c r="BL35" s="1">
        <f t="shared" si="7"/>
        <v>139.69</v>
      </c>
      <c r="BT35">
        <v>34</v>
      </c>
      <c r="BU35">
        <v>198.49</v>
      </c>
      <c r="BV35">
        <f t="shared" si="8"/>
        <v>160.18</v>
      </c>
      <c r="BW35">
        <v>6.18</v>
      </c>
      <c r="BX35">
        <f t="shared" si="11"/>
        <v>159.56</v>
      </c>
      <c r="BY35" t="s">
        <v>0</v>
      </c>
    </row>
    <row r="36" spans="1:77" x14ac:dyDescent="0.25">
      <c r="A36">
        <v>36</v>
      </c>
      <c r="B36">
        <v>147.16999999999999</v>
      </c>
      <c r="C36">
        <v>36</v>
      </c>
      <c r="D36">
        <f t="shared" si="9"/>
        <v>-13.2000000000005</v>
      </c>
      <c r="E36" s="1">
        <f t="shared" si="10"/>
        <v>-0.20000000000015916</v>
      </c>
      <c r="Q36">
        <v>35</v>
      </c>
      <c r="R36" s="4">
        <v>9.6199999999999992</v>
      </c>
      <c r="S36" s="4">
        <f t="shared" si="0"/>
        <v>6.18</v>
      </c>
      <c r="T36" s="4">
        <v>6.18</v>
      </c>
      <c r="U36" s="4">
        <f t="shared" si="12"/>
        <v>0</v>
      </c>
      <c r="AF36">
        <v>35</v>
      </c>
      <c r="AG36" s="4">
        <v>8.26</v>
      </c>
      <c r="AH36" s="4">
        <f t="shared" si="2"/>
        <v>12.59</v>
      </c>
      <c r="AI36" s="4">
        <v>11.59</v>
      </c>
      <c r="AJ36" s="4">
        <f t="shared" si="4"/>
        <v>2.2359999999999998</v>
      </c>
      <c r="AT36">
        <v>35</v>
      </c>
      <c r="AU36">
        <v>14.56</v>
      </c>
      <c r="AV36">
        <f t="shared" si="3"/>
        <v>110.9</v>
      </c>
      <c r="AW36">
        <v>13.9</v>
      </c>
      <c r="AX36" s="1">
        <f t="shared" si="5"/>
        <v>97.772000000000006</v>
      </c>
      <c r="BH36">
        <v>35</v>
      </c>
      <c r="BI36">
        <v>7.96</v>
      </c>
      <c r="BJ36">
        <f t="shared" si="6"/>
        <v>143.09</v>
      </c>
      <c r="BK36">
        <v>3.09</v>
      </c>
      <c r="BL36" s="1">
        <f t="shared" si="7"/>
        <v>139.69200000000001</v>
      </c>
      <c r="BT36">
        <v>35</v>
      </c>
      <c r="BU36">
        <v>198.57</v>
      </c>
      <c r="BV36">
        <f t="shared" si="8"/>
        <v>157.09</v>
      </c>
      <c r="BW36">
        <v>3.09</v>
      </c>
      <c r="BX36">
        <f t="shared" si="11"/>
        <v>152.76400000000001</v>
      </c>
      <c r="BY36" t="s">
        <v>0</v>
      </c>
    </row>
    <row r="37" spans="1:77" x14ac:dyDescent="0.25">
      <c r="A37">
        <v>37</v>
      </c>
      <c r="B37">
        <v>146.55000000000001</v>
      </c>
      <c r="C37">
        <v>37</v>
      </c>
      <c r="D37">
        <f t="shared" si="9"/>
        <v>-12.399999999999523</v>
      </c>
      <c r="E37" s="1">
        <f t="shared" si="10"/>
        <v>0.16000000000019554</v>
      </c>
      <c r="Q37">
        <v>36</v>
      </c>
      <c r="R37" s="4">
        <v>9.89</v>
      </c>
      <c r="S37" s="4">
        <f t="shared" si="0"/>
        <v>5.41</v>
      </c>
      <c r="T37" s="4">
        <v>5.41</v>
      </c>
      <c r="U37" s="4">
        <f t="shared" si="12"/>
        <v>-0.15399999999999991</v>
      </c>
      <c r="AF37">
        <v>36</v>
      </c>
      <c r="AG37" s="4">
        <v>8.4600000000000009</v>
      </c>
      <c r="AH37" s="4">
        <f t="shared" si="2"/>
        <v>4.8599999999999994</v>
      </c>
      <c r="AI37" s="4">
        <v>3.86</v>
      </c>
      <c r="AJ37" s="4">
        <f t="shared" si="4"/>
        <v>-0.54600000000000004</v>
      </c>
      <c r="AT37">
        <v>36</v>
      </c>
      <c r="AU37">
        <v>15.18</v>
      </c>
      <c r="AV37">
        <f t="shared" si="3"/>
        <v>109.36</v>
      </c>
      <c r="AW37">
        <v>12.36</v>
      </c>
      <c r="AX37" s="1">
        <f t="shared" si="5"/>
        <v>96.691999999999993</v>
      </c>
      <c r="BH37">
        <v>36</v>
      </c>
      <c r="BI37">
        <v>8.3800000000000008</v>
      </c>
      <c r="BJ37">
        <f t="shared" si="6"/>
        <v>148.5</v>
      </c>
      <c r="BK37">
        <v>8.5</v>
      </c>
      <c r="BL37" s="1">
        <f t="shared" si="7"/>
        <v>141.08199999999999</v>
      </c>
      <c r="BT37">
        <v>36</v>
      </c>
      <c r="BU37">
        <v>198.53</v>
      </c>
      <c r="BV37">
        <f t="shared" si="8"/>
        <v>0</v>
      </c>
      <c r="BW37">
        <v>-1.54</v>
      </c>
      <c r="BX37">
        <f t="shared" si="11"/>
        <v>152.148</v>
      </c>
      <c r="BY37" t="s">
        <v>0</v>
      </c>
    </row>
    <row r="38" spans="1:77" x14ac:dyDescent="0.25">
      <c r="A38">
        <v>38</v>
      </c>
      <c r="B38">
        <v>145.93</v>
      </c>
      <c r="C38">
        <v>38</v>
      </c>
      <c r="D38">
        <f t="shared" si="9"/>
        <v>-12.400000000000091</v>
      </c>
      <c r="E38" s="1">
        <f t="shared" si="10"/>
        <v>-1.1368683772161603E-13</v>
      </c>
      <c r="Q38">
        <v>37</v>
      </c>
      <c r="R38" s="4">
        <v>10.27</v>
      </c>
      <c r="S38" s="4">
        <f t="shared" si="0"/>
        <v>7.72</v>
      </c>
      <c r="T38" s="4">
        <v>7.72</v>
      </c>
      <c r="U38" s="4">
        <f t="shared" si="12"/>
        <v>0.46199999999999991</v>
      </c>
      <c r="AF38">
        <v>37</v>
      </c>
      <c r="AG38" s="4">
        <v>9</v>
      </c>
      <c r="AH38" s="4">
        <f t="shared" si="2"/>
        <v>11.81</v>
      </c>
      <c r="AI38" s="4">
        <v>10.81</v>
      </c>
      <c r="AJ38" s="4">
        <f t="shared" si="4"/>
        <v>2.39</v>
      </c>
      <c r="AT38">
        <v>37</v>
      </c>
      <c r="AU38">
        <v>15.64</v>
      </c>
      <c r="AV38">
        <f t="shared" si="3"/>
        <v>106.27</v>
      </c>
      <c r="AW38">
        <v>9.27</v>
      </c>
      <c r="AX38" s="1">
        <f t="shared" si="5"/>
        <v>96.382000000000005</v>
      </c>
      <c r="BH38">
        <v>37</v>
      </c>
      <c r="BI38">
        <v>8.57</v>
      </c>
      <c r="BJ38">
        <f t="shared" si="6"/>
        <v>143.86000000000001</v>
      </c>
      <c r="BK38">
        <v>3.86</v>
      </c>
      <c r="BL38" s="1">
        <f t="shared" si="7"/>
        <v>139.072</v>
      </c>
      <c r="BT38">
        <v>37</v>
      </c>
      <c r="BU38">
        <v>198.07</v>
      </c>
      <c r="BV38">
        <f t="shared" si="8"/>
        <v>0</v>
      </c>
      <c r="BW38">
        <v>-18.54</v>
      </c>
      <c r="BX38">
        <f t="shared" si="11"/>
        <v>147.19999999999999</v>
      </c>
      <c r="BY38" t="s">
        <v>0</v>
      </c>
    </row>
    <row r="39" spans="1:77" x14ac:dyDescent="0.25">
      <c r="A39">
        <v>39</v>
      </c>
      <c r="B39">
        <v>145.35</v>
      </c>
      <c r="C39">
        <v>39</v>
      </c>
      <c r="D39">
        <f t="shared" si="9"/>
        <v>-11.60000000000025</v>
      </c>
      <c r="E39" s="1">
        <f t="shared" si="10"/>
        <v>0.15999999999996817</v>
      </c>
      <c r="Q39">
        <v>38</v>
      </c>
      <c r="R39" s="4">
        <v>10.58</v>
      </c>
      <c r="S39" s="4">
        <f t="shared" si="0"/>
        <v>6.18</v>
      </c>
      <c r="T39" s="4">
        <v>6.18</v>
      </c>
      <c r="U39" s="4">
        <f t="shared" si="12"/>
        <v>-0.308</v>
      </c>
      <c r="AF39">
        <v>38</v>
      </c>
      <c r="AG39" s="4">
        <v>9.5</v>
      </c>
      <c r="AH39" s="4">
        <f t="shared" si="2"/>
        <v>11.04</v>
      </c>
      <c r="AI39" s="4">
        <v>10.039999999999999</v>
      </c>
      <c r="AJ39" s="4">
        <f t="shared" si="4"/>
        <v>0.84599999999999975</v>
      </c>
      <c r="AT39">
        <v>38</v>
      </c>
      <c r="AU39">
        <v>16.41</v>
      </c>
      <c r="AV39">
        <f t="shared" si="3"/>
        <v>112.45</v>
      </c>
      <c r="AW39">
        <v>15.45</v>
      </c>
      <c r="AX39" s="1">
        <f t="shared" si="5"/>
        <v>98.236000000000004</v>
      </c>
      <c r="BH39">
        <v>38</v>
      </c>
      <c r="BI39">
        <v>9</v>
      </c>
      <c r="BJ39">
        <f t="shared" si="6"/>
        <v>148.5</v>
      </c>
      <c r="BK39">
        <v>8.5</v>
      </c>
      <c r="BL39" s="1">
        <f t="shared" si="7"/>
        <v>140.928</v>
      </c>
      <c r="BT39">
        <v>38</v>
      </c>
      <c r="BU39">
        <v>197.68</v>
      </c>
      <c r="BV39">
        <f t="shared" si="8"/>
        <v>0</v>
      </c>
      <c r="BW39">
        <v>-15.45</v>
      </c>
      <c r="BX39">
        <f t="shared" si="11"/>
        <v>155.23599999999999</v>
      </c>
      <c r="BY39" t="s">
        <v>0</v>
      </c>
    </row>
    <row r="40" spans="1:77" x14ac:dyDescent="0.25">
      <c r="A40">
        <v>40</v>
      </c>
      <c r="B40">
        <v>144.77000000000001</v>
      </c>
      <c r="C40">
        <v>40</v>
      </c>
      <c r="D40">
        <f t="shared" si="9"/>
        <v>-11.599999999999682</v>
      </c>
      <c r="E40" s="1">
        <f t="shared" si="10"/>
        <v>1.1368683772161603E-13</v>
      </c>
      <c r="Q40">
        <v>39</v>
      </c>
      <c r="R40" s="4">
        <v>11.08</v>
      </c>
      <c r="S40" s="4">
        <f t="shared" si="0"/>
        <v>10.039999999999999</v>
      </c>
      <c r="T40" s="4">
        <v>10.039999999999999</v>
      </c>
      <c r="U40" s="4">
        <f t="shared" si="12"/>
        <v>0.77199999999999991</v>
      </c>
      <c r="AF40">
        <v>39</v>
      </c>
      <c r="AG40" s="4">
        <v>9.77</v>
      </c>
      <c r="AH40" s="4">
        <f t="shared" si="2"/>
        <v>6.41</v>
      </c>
      <c r="AI40" s="4">
        <v>5.41</v>
      </c>
      <c r="AJ40" s="4">
        <f t="shared" si="4"/>
        <v>7.4000000000000177E-2</v>
      </c>
      <c r="AT40">
        <v>39</v>
      </c>
      <c r="AU40">
        <v>16.95</v>
      </c>
      <c r="AV40">
        <f t="shared" si="3"/>
        <v>107.81</v>
      </c>
      <c r="AW40">
        <v>10.81</v>
      </c>
      <c r="AX40" s="1">
        <f t="shared" si="5"/>
        <v>96.072000000000003</v>
      </c>
      <c r="BH40">
        <v>39</v>
      </c>
      <c r="BI40">
        <v>9.23</v>
      </c>
      <c r="BJ40">
        <f t="shared" si="6"/>
        <v>144.63</v>
      </c>
      <c r="BK40">
        <v>4.63</v>
      </c>
      <c r="BL40" s="1">
        <f t="shared" si="7"/>
        <v>139.226</v>
      </c>
      <c r="BT40">
        <v>39</v>
      </c>
      <c r="BU40">
        <v>197.37</v>
      </c>
      <c r="BV40">
        <f t="shared" si="8"/>
        <v>0</v>
      </c>
      <c r="BW40">
        <v>-12.36</v>
      </c>
      <c r="BX40">
        <f t="shared" si="11"/>
        <v>155.23599999999999</v>
      </c>
      <c r="BY40" t="s">
        <v>0</v>
      </c>
    </row>
    <row r="41" spans="1:77" x14ac:dyDescent="0.25">
      <c r="A41">
        <v>41</v>
      </c>
      <c r="B41">
        <v>144.16</v>
      </c>
      <c r="C41">
        <v>41</v>
      </c>
      <c r="D41">
        <f t="shared" si="9"/>
        <v>-12.200000000000273</v>
      </c>
      <c r="E41" s="1">
        <f t="shared" si="10"/>
        <v>-0.12000000000011823</v>
      </c>
      <c r="Q41">
        <v>40</v>
      </c>
      <c r="R41" s="4">
        <v>11.35</v>
      </c>
      <c r="S41" s="4">
        <f t="shared" si="0"/>
        <v>5.41</v>
      </c>
      <c r="T41" s="4">
        <v>5.41</v>
      </c>
      <c r="U41" s="4">
        <f t="shared" si="12"/>
        <v>-0.92599999999999982</v>
      </c>
      <c r="AF41">
        <v>40</v>
      </c>
      <c r="AG41" s="4">
        <v>10.27</v>
      </c>
      <c r="AH41" s="4">
        <f t="shared" si="2"/>
        <v>11.04</v>
      </c>
      <c r="AI41" s="4">
        <v>10.039999999999999</v>
      </c>
      <c r="AJ41" s="4">
        <f t="shared" si="4"/>
        <v>1.9259999999999997</v>
      </c>
      <c r="AT41">
        <v>40</v>
      </c>
      <c r="AU41">
        <v>17.73</v>
      </c>
      <c r="AV41">
        <f t="shared" si="3"/>
        <v>112.45</v>
      </c>
      <c r="AW41">
        <v>15.45</v>
      </c>
      <c r="AX41" s="1">
        <f t="shared" si="5"/>
        <v>97.927999999999997</v>
      </c>
      <c r="BH41">
        <v>40</v>
      </c>
      <c r="BI41">
        <v>9.5</v>
      </c>
      <c r="BJ41">
        <f t="shared" si="6"/>
        <v>145.41</v>
      </c>
      <c r="BK41">
        <v>5.41</v>
      </c>
      <c r="BL41" s="1">
        <f t="shared" si="7"/>
        <v>140.15600000000001</v>
      </c>
      <c r="BT41">
        <v>40</v>
      </c>
      <c r="BU41">
        <v>197.06</v>
      </c>
      <c r="BV41">
        <f t="shared" si="8"/>
        <v>0</v>
      </c>
      <c r="BW41">
        <v>-12.36</v>
      </c>
      <c r="BX41">
        <f t="shared" si="11"/>
        <v>154</v>
      </c>
      <c r="BY41" t="s">
        <v>0</v>
      </c>
    </row>
    <row r="42" spans="1:77" x14ac:dyDescent="0.25">
      <c r="A42">
        <v>42</v>
      </c>
      <c r="B42">
        <v>143.54</v>
      </c>
      <c r="C42">
        <v>42</v>
      </c>
      <c r="D42">
        <f t="shared" si="9"/>
        <v>-12.400000000000091</v>
      </c>
      <c r="E42" s="1">
        <f t="shared" si="10"/>
        <v>-3.999999999996362E-2</v>
      </c>
      <c r="Q42">
        <v>41</v>
      </c>
      <c r="R42" s="4">
        <v>11.74</v>
      </c>
      <c r="S42" s="4">
        <f t="shared" si="0"/>
        <v>7.72</v>
      </c>
      <c r="T42" s="4">
        <v>7.72</v>
      </c>
      <c r="U42" s="4">
        <f t="shared" si="12"/>
        <v>0.46199999999999991</v>
      </c>
      <c r="AF42">
        <v>41</v>
      </c>
      <c r="AG42" s="4">
        <v>10.58</v>
      </c>
      <c r="AH42" s="4">
        <f t="shared" si="2"/>
        <v>7.18</v>
      </c>
      <c r="AI42" s="4">
        <v>6.18</v>
      </c>
      <c r="AJ42" s="4">
        <f t="shared" si="4"/>
        <v>0.22800000000000009</v>
      </c>
      <c r="AT42">
        <v>41</v>
      </c>
      <c r="AU42">
        <v>18.420000000000002</v>
      </c>
      <c r="AV42">
        <f t="shared" si="3"/>
        <v>110.9</v>
      </c>
      <c r="AW42">
        <v>13.9</v>
      </c>
      <c r="AX42" s="1">
        <f t="shared" si="5"/>
        <v>96.69</v>
      </c>
      <c r="BH42">
        <v>41</v>
      </c>
      <c r="BI42">
        <v>9.77</v>
      </c>
      <c r="BJ42">
        <f t="shared" si="6"/>
        <v>145.41</v>
      </c>
      <c r="BK42">
        <v>5.41</v>
      </c>
      <c r="BL42" s="1">
        <f t="shared" si="7"/>
        <v>140</v>
      </c>
      <c r="BT42">
        <v>41</v>
      </c>
      <c r="BU42">
        <v>196.83</v>
      </c>
      <c r="BV42">
        <f t="shared" si="8"/>
        <v>0</v>
      </c>
      <c r="BW42">
        <v>-9.27</v>
      </c>
      <c r="BX42">
        <f t="shared" si="11"/>
        <v>155.23599999999999</v>
      </c>
      <c r="BY42" t="s">
        <v>0</v>
      </c>
    </row>
    <row r="43" spans="1:77" x14ac:dyDescent="0.25">
      <c r="A43">
        <v>43</v>
      </c>
      <c r="B43">
        <v>143</v>
      </c>
      <c r="C43">
        <v>43</v>
      </c>
      <c r="D43">
        <f t="shared" si="9"/>
        <v>-10.799999999999841</v>
      </c>
      <c r="E43" s="1">
        <f t="shared" si="10"/>
        <v>0.32000000000005002</v>
      </c>
      <c r="Q43">
        <v>42</v>
      </c>
      <c r="R43" s="4">
        <v>12.01</v>
      </c>
      <c r="S43" s="4">
        <f t="shared" si="0"/>
        <v>5.41</v>
      </c>
      <c r="T43" s="4">
        <v>5.41</v>
      </c>
      <c r="U43" s="4">
        <f t="shared" si="12"/>
        <v>-0.46199999999999991</v>
      </c>
      <c r="AF43">
        <v>42</v>
      </c>
      <c r="AG43" s="4">
        <v>11.24</v>
      </c>
      <c r="AH43" s="4">
        <f t="shared" si="2"/>
        <v>14.13</v>
      </c>
      <c r="AI43" s="4">
        <v>13.13</v>
      </c>
      <c r="AJ43" s="4">
        <f t="shared" si="4"/>
        <v>2.39</v>
      </c>
      <c r="AT43">
        <v>42</v>
      </c>
      <c r="AU43">
        <v>18.96</v>
      </c>
      <c r="AV43">
        <f t="shared" si="3"/>
        <v>107.81</v>
      </c>
      <c r="AW43">
        <v>10.81</v>
      </c>
      <c r="AX43" s="1">
        <f t="shared" si="5"/>
        <v>96.382000000000005</v>
      </c>
      <c r="BH43">
        <v>42</v>
      </c>
      <c r="BI43">
        <v>10.08</v>
      </c>
      <c r="BJ43">
        <f t="shared" si="6"/>
        <v>146.18</v>
      </c>
      <c r="BK43">
        <v>6.18</v>
      </c>
      <c r="BL43" s="1">
        <f t="shared" si="7"/>
        <v>140.154</v>
      </c>
      <c r="BT43">
        <v>42</v>
      </c>
      <c r="BU43">
        <v>196.71</v>
      </c>
      <c r="BV43">
        <f t="shared" si="8"/>
        <v>0</v>
      </c>
      <c r="BW43">
        <v>-4.63</v>
      </c>
      <c r="BX43">
        <f t="shared" si="11"/>
        <v>155.85599999999999</v>
      </c>
      <c r="BY43" t="s">
        <v>0</v>
      </c>
    </row>
    <row r="44" spans="1:77" x14ac:dyDescent="0.25">
      <c r="A44">
        <v>44</v>
      </c>
      <c r="B44">
        <v>142.41999999999999</v>
      </c>
      <c r="C44">
        <v>44</v>
      </c>
      <c r="D44">
        <f t="shared" si="9"/>
        <v>-11.60000000000025</v>
      </c>
      <c r="E44" s="1">
        <f t="shared" si="10"/>
        <v>-0.16000000000008185</v>
      </c>
      <c r="Q44">
        <v>43</v>
      </c>
      <c r="R44" s="4">
        <v>12.63</v>
      </c>
      <c r="S44" s="4">
        <f t="shared" si="0"/>
        <v>12.36</v>
      </c>
      <c r="T44" s="4">
        <v>12.36</v>
      </c>
      <c r="U44" s="4">
        <f t="shared" si="12"/>
        <v>1.39</v>
      </c>
      <c r="AF44">
        <v>43</v>
      </c>
      <c r="AG44" s="4">
        <v>11.55</v>
      </c>
      <c r="AH44" s="4">
        <f t="shared" si="2"/>
        <v>7.18</v>
      </c>
      <c r="AI44" s="4">
        <v>6.18</v>
      </c>
      <c r="AJ44" s="4">
        <f t="shared" si="4"/>
        <v>-0.39000000000000012</v>
      </c>
      <c r="AT44">
        <v>43</v>
      </c>
      <c r="AU44">
        <v>19.96</v>
      </c>
      <c r="AV44">
        <f t="shared" si="3"/>
        <v>117.08</v>
      </c>
      <c r="AW44">
        <v>20.079999999999998</v>
      </c>
      <c r="AX44" s="1">
        <f t="shared" si="5"/>
        <v>98.853999999999999</v>
      </c>
      <c r="BH44">
        <v>43</v>
      </c>
      <c r="BI44">
        <v>10.43</v>
      </c>
      <c r="BJ44">
        <f t="shared" si="6"/>
        <v>146.94999999999999</v>
      </c>
      <c r="BK44">
        <v>6.95</v>
      </c>
      <c r="BL44" s="1">
        <f t="shared" si="7"/>
        <v>140.154</v>
      </c>
      <c r="BT44">
        <v>43</v>
      </c>
      <c r="BU44">
        <v>196.56</v>
      </c>
      <c r="BV44">
        <f t="shared" si="8"/>
        <v>0</v>
      </c>
      <c r="BW44">
        <v>-6.18</v>
      </c>
      <c r="BX44">
        <f t="shared" si="11"/>
        <v>153.38</v>
      </c>
      <c r="BY44" t="s">
        <v>0</v>
      </c>
    </row>
    <row r="45" spans="1:77" x14ac:dyDescent="0.25">
      <c r="A45">
        <v>45</v>
      </c>
      <c r="B45">
        <v>141.72</v>
      </c>
      <c r="C45">
        <v>45</v>
      </c>
      <c r="D45">
        <f t="shared" si="9"/>
        <v>-13.999999999999773</v>
      </c>
      <c r="E45" s="1">
        <f t="shared" si="10"/>
        <v>-0.4799999999999045</v>
      </c>
      <c r="Q45">
        <v>44</v>
      </c>
      <c r="R45" s="4">
        <v>12.94</v>
      </c>
      <c r="S45" s="4">
        <f t="shared" si="0"/>
        <v>6.18</v>
      </c>
      <c r="T45" s="4">
        <v>6.18</v>
      </c>
      <c r="U45" s="4">
        <f t="shared" si="12"/>
        <v>-1.236</v>
      </c>
      <c r="AF45">
        <v>44</v>
      </c>
      <c r="AG45" s="4">
        <v>12.2</v>
      </c>
      <c r="AH45" s="4">
        <f t="shared" si="2"/>
        <v>14.13</v>
      </c>
      <c r="AI45" s="4">
        <v>13.13</v>
      </c>
      <c r="AJ45" s="4">
        <f t="shared" si="4"/>
        <v>2.39</v>
      </c>
      <c r="AT45">
        <v>44</v>
      </c>
      <c r="AU45">
        <v>20.47</v>
      </c>
      <c r="AV45">
        <f t="shared" si="3"/>
        <v>107.03999999999999</v>
      </c>
      <c r="AW45">
        <v>10.039999999999999</v>
      </c>
      <c r="AX45" s="1">
        <f t="shared" si="5"/>
        <v>94.992000000000004</v>
      </c>
      <c r="BH45">
        <v>44</v>
      </c>
      <c r="BI45">
        <v>10.58</v>
      </c>
      <c r="BJ45">
        <f t="shared" si="6"/>
        <v>143.09</v>
      </c>
      <c r="BK45">
        <v>3.09</v>
      </c>
      <c r="BL45" s="1">
        <f t="shared" si="7"/>
        <v>139.22800000000001</v>
      </c>
      <c r="BT45">
        <v>44</v>
      </c>
      <c r="BU45">
        <v>196.29</v>
      </c>
      <c r="BV45">
        <f t="shared" si="8"/>
        <v>0</v>
      </c>
      <c r="BW45">
        <v>-10.81</v>
      </c>
      <c r="BX45">
        <f t="shared" si="11"/>
        <v>152.148</v>
      </c>
      <c r="BY45" t="s">
        <v>0</v>
      </c>
    </row>
    <row r="46" spans="1:77" x14ac:dyDescent="0.25">
      <c r="A46">
        <v>46</v>
      </c>
      <c r="B46">
        <v>141.22</v>
      </c>
      <c r="C46">
        <v>46</v>
      </c>
      <c r="D46">
        <f t="shared" si="9"/>
        <v>-10</v>
      </c>
      <c r="E46" s="1">
        <f t="shared" si="10"/>
        <v>0.79999999999995453</v>
      </c>
      <c r="Q46">
        <v>45</v>
      </c>
      <c r="R46" s="4">
        <v>13.36</v>
      </c>
      <c r="S46" s="4">
        <f t="shared" si="0"/>
        <v>8.5</v>
      </c>
      <c r="T46" s="4">
        <v>8.5</v>
      </c>
      <c r="U46" s="4">
        <f t="shared" si="12"/>
        <v>0.46400000000000008</v>
      </c>
      <c r="AF46">
        <v>45</v>
      </c>
      <c r="AG46" s="4">
        <v>12.63</v>
      </c>
      <c r="AH46" s="4">
        <f t="shared" si="2"/>
        <v>9.5</v>
      </c>
      <c r="AI46" s="4">
        <v>8.5</v>
      </c>
      <c r="AJ46" s="4">
        <f t="shared" si="4"/>
        <v>7.3999999999999844E-2</v>
      </c>
      <c r="AT46">
        <v>45</v>
      </c>
      <c r="AU46">
        <v>21.47</v>
      </c>
      <c r="AV46">
        <f t="shared" si="3"/>
        <v>117.08</v>
      </c>
      <c r="AW46">
        <v>20.079999999999998</v>
      </c>
      <c r="AX46" s="1">
        <f t="shared" si="5"/>
        <v>99.007999999999996</v>
      </c>
      <c r="BH46">
        <v>45</v>
      </c>
      <c r="BI46">
        <v>11.04</v>
      </c>
      <c r="BJ46">
        <f t="shared" si="6"/>
        <v>149.27000000000001</v>
      </c>
      <c r="BK46">
        <v>9.27</v>
      </c>
      <c r="BL46" s="1">
        <f t="shared" si="7"/>
        <v>141.23599999999999</v>
      </c>
      <c r="BT46">
        <v>45</v>
      </c>
      <c r="BU46">
        <v>196.1</v>
      </c>
      <c r="BV46">
        <f t="shared" si="8"/>
        <v>0</v>
      </c>
      <c r="BW46">
        <v>-7.72</v>
      </c>
      <c r="BX46">
        <f t="shared" si="11"/>
        <v>155.23599999999999</v>
      </c>
      <c r="BY46" t="s">
        <v>0</v>
      </c>
    </row>
    <row r="47" spans="1:77" x14ac:dyDescent="0.25">
      <c r="A47">
        <v>47</v>
      </c>
      <c r="B47">
        <v>140.91</v>
      </c>
      <c r="C47">
        <v>47</v>
      </c>
      <c r="D47">
        <f t="shared" si="9"/>
        <v>-6.2000000000000455</v>
      </c>
      <c r="E47" s="1">
        <f t="shared" si="10"/>
        <v>0.75999999999999091</v>
      </c>
      <c r="Q47">
        <v>46</v>
      </c>
      <c r="R47" s="4">
        <v>13.79</v>
      </c>
      <c r="S47" s="4">
        <f t="shared" si="0"/>
        <v>8.5</v>
      </c>
      <c r="T47" s="4">
        <v>8.5</v>
      </c>
      <c r="U47" s="4">
        <f t="shared" si="12"/>
        <v>0</v>
      </c>
      <c r="AF47">
        <v>46</v>
      </c>
      <c r="AG47" s="4">
        <v>13.21</v>
      </c>
      <c r="AH47" s="4">
        <f t="shared" si="2"/>
        <v>12.59</v>
      </c>
      <c r="AI47" s="4">
        <v>11.59</v>
      </c>
      <c r="AJ47" s="4">
        <f t="shared" si="4"/>
        <v>1.6179999999999999</v>
      </c>
      <c r="AT47">
        <v>46</v>
      </c>
      <c r="AU47">
        <v>22.13</v>
      </c>
      <c r="AV47">
        <f t="shared" si="3"/>
        <v>110.13</v>
      </c>
      <c r="AW47">
        <v>13.13</v>
      </c>
      <c r="AX47" s="1">
        <f t="shared" si="5"/>
        <v>95.61</v>
      </c>
      <c r="BH47">
        <v>46</v>
      </c>
      <c r="BI47">
        <v>11.24</v>
      </c>
      <c r="BJ47">
        <f t="shared" si="6"/>
        <v>143.86000000000001</v>
      </c>
      <c r="BK47">
        <v>3.86</v>
      </c>
      <c r="BL47" s="1">
        <f t="shared" si="7"/>
        <v>138.91800000000001</v>
      </c>
      <c r="BT47">
        <v>46</v>
      </c>
      <c r="BU47">
        <v>195.86</v>
      </c>
      <c r="BV47">
        <f t="shared" si="8"/>
        <v>0</v>
      </c>
      <c r="BW47">
        <v>-9.27</v>
      </c>
      <c r="BX47">
        <f t="shared" si="11"/>
        <v>153.38</v>
      </c>
      <c r="BY47" t="s">
        <v>0</v>
      </c>
    </row>
    <row r="48" spans="1:77" x14ac:dyDescent="0.25">
      <c r="A48">
        <v>48</v>
      </c>
      <c r="B48">
        <v>140.49</v>
      </c>
      <c r="C48">
        <v>48</v>
      </c>
      <c r="D48">
        <f t="shared" si="9"/>
        <v>-8.3999999999997499</v>
      </c>
      <c r="E48" s="1">
        <f t="shared" si="10"/>
        <v>-0.43999999999994088</v>
      </c>
      <c r="Q48">
        <v>47</v>
      </c>
      <c r="R48" s="4">
        <v>14.25</v>
      </c>
      <c r="S48" s="4">
        <f t="shared" si="0"/>
        <v>9.27</v>
      </c>
      <c r="T48" s="4">
        <v>9.27</v>
      </c>
      <c r="U48" s="4">
        <f t="shared" si="12"/>
        <v>0.15399999999999991</v>
      </c>
      <c r="AF48">
        <v>47</v>
      </c>
      <c r="AG48" s="4">
        <v>13.63</v>
      </c>
      <c r="AH48" s="4">
        <f t="shared" si="2"/>
        <v>9.5</v>
      </c>
      <c r="AI48" s="4">
        <v>8.5</v>
      </c>
      <c r="AJ48" s="4">
        <f t="shared" si="4"/>
        <v>0.38200000000000001</v>
      </c>
      <c r="AT48">
        <v>47</v>
      </c>
      <c r="AU48">
        <v>22.82</v>
      </c>
      <c r="AV48">
        <f t="shared" si="3"/>
        <v>110.9</v>
      </c>
      <c r="AW48">
        <v>13.9</v>
      </c>
      <c r="AX48" s="1">
        <f t="shared" si="5"/>
        <v>97.153999999999996</v>
      </c>
      <c r="BH48">
        <v>47</v>
      </c>
      <c r="BI48">
        <v>11.59</v>
      </c>
      <c r="BJ48">
        <f t="shared" si="6"/>
        <v>146.94999999999999</v>
      </c>
      <c r="BK48">
        <v>6.95</v>
      </c>
      <c r="BL48" s="1">
        <f t="shared" si="7"/>
        <v>140.61799999999999</v>
      </c>
      <c r="BT48">
        <v>47</v>
      </c>
      <c r="BU48">
        <v>195.63</v>
      </c>
      <c r="BV48">
        <f t="shared" si="8"/>
        <v>0</v>
      </c>
      <c r="BW48">
        <v>-9.27</v>
      </c>
      <c r="BX48">
        <f t="shared" si="11"/>
        <v>154</v>
      </c>
      <c r="BY48" t="s">
        <v>0</v>
      </c>
    </row>
    <row r="49" spans="1:77" x14ac:dyDescent="0.25">
      <c r="A49">
        <v>49</v>
      </c>
      <c r="B49">
        <v>139.75</v>
      </c>
      <c r="C49">
        <v>49</v>
      </c>
      <c r="D49">
        <f t="shared" si="9"/>
        <v>-14.800000000000182</v>
      </c>
      <c r="E49" s="1">
        <f t="shared" si="10"/>
        <v>-1.2800000000000864</v>
      </c>
      <c r="Q49">
        <v>48</v>
      </c>
      <c r="R49" s="4">
        <v>14.64</v>
      </c>
      <c r="S49" s="4">
        <f t="shared" si="0"/>
        <v>7.72</v>
      </c>
      <c r="T49" s="4">
        <v>7.72</v>
      </c>
      <c r="U49" s="4">
        <f t="shared" si="12"/>
        <v>-0.30999999999999994</v>
      </c>
      <c r="AF49">
        <v>48</v>
      </c>
      <c r="AG49" s="4">
        <v>14.13</v>
      </c>
      <c r="AH49" s="4">
        <f t="shared" si="2"/>
        <v>11.04</v>
      </c>
      <c r="AI49" s="4">
        <v>10.039999999999999</v>
      </c>
      <c r="AJ49" s="4">
        <f t="shared" si="4"/>
        <v>1.3079999999999998</v>
      </c>
      <c r="AT49">
        <v>48</v>
      </c>
      <c r="AU49">
        <v>23.59</v>
      </c>
      <c r="AV49">
        <f t="shared" si="3"/>
        <v>112.45</v>
      </c>
      <c r="AW49">
        <v>15.45</v>
      </c>
      <c r="AX49" s="1">
        <f t="shared" si="5"/>
        <v>97.31</v>
      </c>
      <c r="BH49">
        <v>48</v>
      </c>
      <c r="BI49">
        <v>11.89</v>
      </c>
      <c r="BJ49">
        <f t="shared" si="6"/>
        <v>146.18</v>
      </c>
      <c r="BK49">
        <v>6.18</v>
      </c>
      <c r="BL49" s="1">
        <f t="shared" si="7"/>
        <v>139.846</v>
      </c>
      <c r="BT49">
        <v>48</v>
      </c>
      <c r="BU49">
        <v>195.32</v>
      </c>
      <c r="BV49">
        <f t="shared" si="8"/>
        <v>0</v>
      </c>
      <c r="BW49">
        <v>-12.36</v>
      </c>
      <c r="BX49">
        <f t="shared" si="11"/>
        <v>152.76400000000001</v>
      </c>
      <c r="BY49" t="s">
        <v>0</v>
      </c>
    </row>
    <row r="50" spans="1:77" x14ac:dyDescent="0.25">
      <c r="A50">
        <v>50</v>
      </c>
      <c r="B50">
        <v>139.1</v>
      </c>
      <c r="C50">
        <v>50</v>
      </c>
      <c r="D50">
        <f t="shared" si="9"/>
        <v>-13.000000000000114</v>
      </c>
      <c r="E50" s="1">
        <f t="shared" si="10"/>
        <v>0.36000000000001364</v>
      </c>
      <c r="Q50">
        <v>49</v>
      </c>
      <c r="R50" s="4">
        <v>14.98</v>
      </c>
      <c r="S50" s="4">
        <f t="shared" si="0"/>
        <v>6.95</v>
      </c>
      <c r="T50" s="4">
        <v>6.95</v>
      </c>
      <c r="U50" s="4">
        <f t="shared" si="12"/>
        <v>-0.15399999999999991</v>
      </c>
      <c r="AF50">
        <v>49</v>
      </c>
      <c r="AG50" s="4">
        <v>14.64</v>
      </c>
      <c r="AH50" s="4">
        <f t="shared" si="2"/>
        <v>11.04</v>
      </c>
      <c r="AI50" s="4">
        <v>10.039999999999999</v>
      </c>
      <c r="AJ50" s="4">
        <f t="shared" si="4"/>
        <v>1</v>
      </c>
      <c r="AT50">
        <v>49</v>
      </c>
      <c r="AU50">
        <v>24.33</v>
      </c>
      <c r="AV50">
        <f t="shared" si="3"/>
        <v>111.67</v>
      </c>
      <c r="AW50">
        <v>14.67</v>
      </c>
      <c r="AX50" s="1">
        <f t="shared" si="5"/>
        <v>96.843999999999994</v>
      </c>
      <c r="BH50">
        <v>49</v>
      </c>
      <c r="BI50">
        <v>12.13</v>
      </c>
      <c r="BJ50">
        <f t="shared" si="6"/>
        <v>144.63</v>
      </c>
      <c r="BK50">
        <v>4.63</v>
      </c>
      <c r="BL50" s="1">
        <f t="shared" si="7"/>
        <v>139.69</v>
      </c>
      <c r="BT50">
        <v>49</v>
      </c>
      <c r="BU50">
        <v>195.13</v>
      </c>
      <c r="BV50">
        <f t="shared" si="8"/>
        <v>0</v>
      </c>
      <c r="BW50">
        <v>-7.72</v>
      </c>
      <c r="BX50">
        <f t="shared" si="11"/>
        <v>155.85599999999999</v>
      </c>
      <c r="BY50" t="s">
        <v>0</v>
      </c>
    </row>
    <row r="51" spans="1:77" x14ac:dyDescent="0.25">
      <c r="A51">
        <v>51</v>
      </c>
      <c r="B51">
        <v>138.6</v>
      </c>
      <c r="C51">
        <v>51</v>
      </c>
      <c r="D51">
        <f t="shared" si="9"/>
        <v>-10</v>
      </c>
      <c r="E51" s="1">
        <f t="shared" si="10"/>
        <v>0.60000000000002274</v>
      </c>
      <c r="Q51">
        <v>50</v>
      </c>
      <c r="R51" s="4">
        <v>15.56</v>
      </c>
      <c r="S51" s="4">
        <f t="shared" si="0"/>
        <v>11.59</v>
      </c>
      <c r="T51" s="4">
        <v>11.59</v>
      </c>
      <c r="U51" s="4">
        <f t="shared" si="12"/>
        <v>0.92799999999999994</v>
      </c>
      <c r="AF51">
        <v>50</v>
      </c>
      <c r="AG51" s="4">
        <v>15.22</v>
      </c>
      <c r="AH51" s="4">
        <f t="shared" si="2"/>
        <v>12.59</v>
      </c>
      <c r="AI51" s="4">
        <v>11.59</v>
      </c>
      <c r="AJ51" s="4">
        <f t="shared" si="4"/>
        <v>1.31</v>
      </c>
      <c r="AT51">
        <v>50</v>
      </c>
      <c r="AU51">
        <v>25.45</v>
      </c>
      <c r="AV51">
        <f t="shared" si="3"/>
        <v>119.4</v>
      </c>
      <c r="AW51">
        <v>22.4</v>
      </c>
      <c r="AX51" s="1">
        <f t="shared" si="5"/>
        <v>98.546000000000006</v>
      </c>
      <c r="BH51">
        <v>50</v>
      </c>
      <c r="BI51">
        <v>12.67</v>
      </c>
      <c r="BJ51">
        <f t="shared" si="6"/>
        <v>150.81</v>
      </c>
      <c r="BK51">
        <v>10.81</v>
      </c>
      <c r="BL51" s="1">
        <f t="shared" si="7"/>
        <v>141.23599999999999</v>
      </c>
      <c r="BT51">
        <v>50</v>
      </c>
      <c r="BU51">
        <v>194.86</v>
      </c>
      <c r="BV51">
        <f t="shared" si="8"/>
        <v>0</v>
      </c>
      <c r="BW51">
        <v>-10.81</v>
      </c>
      <c r="BX51">
        <f t="shared" si="11"/>
        <v>152.76400000000001</v>
      </c>
      <c r="BY51" t="s">
        <v>0</v>
      </c>
    </row>
    <row r="52" spans="1:77" x14ac:dyDescent="0.25">
      <c r="A52">
        <v>52</v>
      </c>
      <c r="B52">
        <v>138.02000000000001</v>
      </c>
      <c r="C52">
        <v>52</v>
      </c>
      <c r="D52">
        <f t="shared" si="9"/>
        <v>-11.599999999999682</v>
      </c>
      <c r="E52" s="1">
        <f t="shared" si="10"/>
        <v>-0.31999999999993634</v>
      </c>
      <c r="Q52">
        <v>51</v>
      </c>
      <c r="R52" s="4">
        <v>16.03</v>
      </c>
      <c r="S52" s="4">
        <f t="shared" si="0"/>
        <v>9.27</v>
      </c>
      <c r="T52" s="4">
        <v>9.27</v>
      </c>
      <c r="U52" s="4">
        <f t="shared" si="12"/>
        <v>-0.46400000000000008</v>
      </c>
      <c r="AF52">
        <v>51</v>
      </c>
      <c r="AG52" s="4">
        <v>15.68</v>
      </c>
      <c r="AH52" s="4">
        <f t="shared" si="2"/>
        <v>10.27</v>
      </c>
      <c r="AI52" s="4">
        <v>9.27</v>
      </c>
      <c r="AJ52" s="4">
        <f t="shared" si="4"/>
        <v>0.53599999999999992</v>
      </c>
      <c r="AT52">
        <v>51</v>
      </c>
      <c r="AU52">
        <v>26.07</v>
      </c>
      <c r="AV52">
        <f t="shared" si="3"/>
        <v>109.36</v>
      </c>
      <c r="AW52">
        <v>12.36</v>
      </c>
      <c r="AX52" s="1">
        <f t="shared" si="5"/>
        <v>94.992000000000004</v>
      </c>
      <c r="BH52">
        <v>51</v>
      </c>
      <c r="BI52">
        <v>12.94</v>
      </c>
      <c r="BJ52">
        <f t="shared" si="6"/>
        <v>145.41</v>
      </c>
      <c r="BK52">
        <v>5.41</v>
      </c>
      <c r="BL52" s="1">
        <f t="shared" si="7"/>
        <v>138.91999999999999</v>
      </c>
      <c r="BT52">
        <v>51</v>
      </c>
      <c r="BU52">
        <v>194.71</v>
      </c>
      <c r="BV52">
        <f t="shared" si="8"/>
        <v>0</v>
      </c>
      <c r="BW52">
        <v>-6.18</v>
      </c>
      <c r="BX52">
        <f t="shared" si="11"/>
        <v>155.852</v>
      </c>
      <c r="BY52" t="s">
        <v>0</v>
      </c>
    </row>
    <row r="53" spans="1:77" x14ac:dyDescent="0.25">
      <c r="A53">
        <v>53</v>
      </c>
      <c r="B53">
        <v>137.44</v>
      </c>
      <c r="C53">
        <v>53</v>
      </c>
      <c r="D53">
        <f t="shared" si="9"/>
        <v>-11.60000000000025</v>
      </c>
      <c r="E53" s="1">
        <f t="shared" si="10"/>
        <v>-1.1368683772161603E-13</v>
      </c>
      <c r="Q53">
        <v>52</v>
      </c>
      <c r="R53" s="4">
        <v>16.760000000000002</v>
      </c>
      <c r="S53" s="4">
        <f t="shared" si="0"/>
        <v>14.67</v>
      </c>
      <c r="T53" s="4">
        <v>14.67</v>
      </c>
      <c r="U53" s="4">
        <f t="shared" si="12"/>
        <v>1.08</v>
      </c>
      <c r="AF53">
        <v>52</v>
      </c>
      <c r="AG53" s="4">
        <v>16.18</v>
      </c>
      <c r="AH53" s="4">
        <f t="shared" si="2"/>
        <v>11.04</v>
      </c>
      <c r="AI53" s="4">
        <v>10.039999999999999</v>
      </c>
      <c r="AJ53" s="4">
        <f t="shared" si="4"/>
        <v>1.1539999999999999</v>
      </c>
      <c r="AT53">
        <v>52</v>
      </c>
      <c r="AU53">
        <v>27.07</v>
      </c>
      <c r="AV53">
        <f t="shared" si="3"/>
        <v>117.08</v>
      </c>
      <c r="AW53">
        <v>20.079999999999998</v>
      </c>
      <c r="AX53" s="1">
        <f t="shared" si="5"/>
        <v>98.543999999999997</v>
      </c>
      <c r="BH53">
        <v>52</v>
      </c>
      <c r="BI53">
        <v>13.36</v>
      </c>
      <c r="BJ53">
        <f t="shared" si="6"/>
        <v>148.5</v>
      </c>
      <c r="BK53">
        <v>8.5</v>
      </c>
      <c r="BL53" s="1">
        <f t="shared" si="7"/>
        <v>140.61799999999999</v>
      </c>
      <c r="BT53">
        <v>52</v>
      </c>
      <c r="BU53">
        <v>194.51</v>
      </c>
      <c r="BV53">
        <f t="shared" si="8"/>
        <v>0</v>
      </c>
      <c r="BW53">
        <v>-7.72</v>
      </c>
      <c r="BX53">
        <f t="shared" si="11"/>
        <v>153.38399999999999</v>
      </c>
      <c r="BY53" t="s">
        <v>0</v>
      </c>
    </row>
    <row r="54" spans="1:77" x14ac:dyDescent="0.25">
      <c r="A54">
        <v>54</v>
      </c>
      <c r="B54">
        <v>136.86000000000001</v>
      </c>
      <c r="C54">
        <v>54</v>
      </c>
      <c r="D54">
        <f t="shared" si="9"/>
        <v>-11.599999999999682</v>
      </c>
      <c r="E54" s="1">
        <f t="shared" si="10"/>
        <v>1.1368683772161603E-13</v>
      </c>
      <c r="Q54">
        <v>53</v>
      </c>
      <c r="R54" s="4">
        <v>17.149999999999999</v>
      </c>
      <c r="S54" s="4">
        <f t="shared" si="0"/>
        <v>7.72</v>
      </c>
      <c r="T54" s="4">
        <v>7.72</v>
      </c>
      <c r="U54" s="4">
        <f t="shared" si="12"/>
        <v>-1.3900000000000001</v>
      </c>
      <c r="AF54">
        <v>53</v>
      </c>
      <c r="AG54" s="4">
        <v>16.72</v>
      </c>
      <c r="AH54" s="4">
        <f t="shared" si="2"/>
        <v>11.81</v>
      </c>
      <c r="AI54" s="4">
        <v>10.81</v>
      </c>
      <c r="AJ54" s="4">
        <f t="shared" si="4"/>
        <v>1.1540000000000004</v>
      </c>
      <c r="AT54">
        <v>53</v>
      </c>
      <c r="AU54">
        <v>27.61</v>
      </c>
      <c r="AV54">
        <f t="shared" si="3"/>
        <v>107.81</v>
      </c>
      <c r="AW54">
        <v>10.81</v>
      </c>
      <c r="AX54" s="1">
        <f t="shared" si="5"/>
        <v>95.146000000000001</v>
      </c>
      <c r="BH54">
        <v>53</v>
      </c>
      <c r="BI54">
        <v>13.67</v>
      </c>
      <c r="BJ54">
        <f t="shared" si="6"/>
        <v>146.18</v>
      </c>
      <c r="BK54">
        <v>6.18</v>
      </c>
      <c r="BL54" s="1">
        <f t="shared" si="7"/>
        <v>139.536</v>
      </c>
      <c r="BT54">
        <v>53</v>
      </c>
      <c r="BU54">
        <v>194.32</v>
      </c>
      <c r="BV54">
        <f t="shared" si="8"/>
        <v>0</v>
      </c>
      <c r="BW54">
        <v>-7.72</v>
      </c>
      <c r="BX54">
        <f t="shared" si="11"/>
        <v>154</v>
      </c>
      <c r="BY54" t="s">
        <v>0</v>
      </c>
    </row>
    <row r="55" spans="1:77" x14ac:dyDescent="0.25">
      <c r="A55">
        <v>55</v>
      </c>
      <c r="B55">
        <v>136.36000000000001</v>
      </c>
      <c r="C55">
        <v>55</v>
      </c>
      <c r="D55">
        <f t="shared" si="9"/>
        <v>-10</v>
      </c>
      <c r="E55" s="1">
        <f t="shared" si="10"/>
        <v>0.31999999999993634</v>
      </c>
      <c r="Q55">
        <v>54</v>
      </c>
      <c r="R55" s="4">
        <v>17.84</v>
      </c>
      <c r="S55" s="4">
        <f t="shared" si="0"/>
        <v>13.9</v>
      </c>
      <c r="T55" s="4">
        <v>13.9</v>
      </c>
      <c r="U55" s="4">
        <f t="shared" si="12"/>
        <v>1.2360000000000002</v>
      </c>
      <c r="AF55">
        <v>54</v>
      </c>
      <c r="AG55" s="4">
        <v>17.489999999999998</v>
      </c>
      <c r="AH55" s="4">
        <f t="shared" si="2"/>
        <v>16.45</v>
      </c>
      <c r="AI55" s="4">
        <v>15.45</v>
      </c>
      <c r="AJ55" s="4">
        <f t="shared" si="4"/>
        <v>1.9279999999999997</v>
      </c>
      <c r="AT55">
        <v>54</v>
      </c>
      <c r="AU55">
        <v>28.65</v>
      </c>
      <c r="AV55">
        <f t="shared" si="3"/>
        <v>117.85</v>
      </c>
      <c r="AW55">
        <v>20.85</v>
      </c>
      <c r="AX55" s="1">
        <f t="shared" si="5"/>
        <v>99.007999999999996</v>
      </c>
      <c r="BH55">
        <v>54</v>
      </c>
      <c r="BI55">
        <v>14.02</v>
      </c>
      <c r="BJ55">
        <f t="shared" si="6"/>
        <v>146.94999999999999</v>
      </c>
      <c r="BK55">
        <v>6.95</v>
      </c>
      <c r="BL55" s="1">
        <f t="shared" si="7"/>
        <v>140.154</v>
      </c>
      <c r="BT55">
        <v>54</v>
      </c>
      <c r="BU55">
        <v>194.4</v>
      </c>
      <c r="BV55">
        <f t="shared" si="8"/>
        <v>157.09</v>
      </c>
      <c r="BW55">
        <v>3.09</v>
      </c>
      <c r="BX55">
        <f t="shared" si="11"/>
        <v>158.32400000000001</v>
      </c>
      <c r="BY55" t="s">
        <v>0</v>
      </c>
    </row>
    <row r="56" spans="1:77" x14ac:dyDescent="0.25">
      <c r="A56">
        <v>56</v>
      </c>
      <c r="B56">
        <v>135.74</v>
      </c>
      <c r="C56">
        <v>56</v>
      </c>
      <c r="D56">
        <f t="shared" si="9"/>
        <v>-12.400000000000091</v>
      </c>
      <c r="E56" s="1">
        <f t="shared" si="10"/>
        <v>-0.48000000000001819</v>
      </c>
      <c r="Q56">
        <v>55</v>
      </c>
      <c r="R56" s="4">
        <v>18.3</v>
      </c>
      <c r="S56" s="4">
        <f t="shared" si="0"/>
        <v>9.27</v>
      </c>
      <c r="T56" s="4">
        <v>9.27</v>
      </c>
      <c r="U56" s="4">
        <f t="shared" si="12"/>
        <v>-0.92600000000000016</v>
      </c>
      <c r="AF56">
        <v>55</v>
      </c>
      <c r="AG56" s="4">
        <v>18.23</v>
      </c>
      <c r="AH56" s="4">
        <f t="shared" si="2"/>
        <v>15.67</v>
      </c>
      <c r="AI56" s="4">
        <v>14.67</v>
      </c>
      <c r="AJ56" s="4">
        <f t="shared" si="4"/>
        <v>0.84400000000000008</v>
      </c>
      <c r="AT56">
        <v>55</v>
      </c>
      <c r="AU56">
        <v>29.54</v>
      </c>
      <c r="AV56">
        <f t="shared" si="3"/>
        <v>114.76</v>
      </c>
      <c r="AW56">
        <v>17.760000000000002</v>
      </c>
      <c r="AX56" s="1">
        <f t="shared" si="5"/>
        <v>96.382000000000005</v>
      </c>
      <c r="BH56">
        <v>55</v>
      </c>
      <c r="BI56">
        <v>14.48</v>
      </c>
      <c r="BJ56">
        <f t="shared" si="6"/>
        <v>149.27000000000001</v>
      </c>
      <c r="BK56">
        <v>9.27</v>
      </c>
      <c r="BL56" s="1">
        <f t="shared" si="7"/>
        <v>140.464</v>
      </c>
      <c r="BT56">
        <v>55</v>
      </c>
      <c r="BU56">
        <v>194.59</v>
      </c>
      <c r="BV56">
        <f t="shared" si="8"/>
        <v>161.72</v>
      </c>
      <c r="BW56">
        <v>7.72</v>
      </c>
      <c r="BX56">
        <f t="shared" si="11"/>
        <v>155.852</v>
      </c>
      <c r="BY56" t="s">
        <v>0</v>
      </c>
    </row>
    <row r="57" spans="1:77" x14ac:dyDescent="0.25">
      <c r="A57">
        <v>57</v>
      </c>
      <c r="B57">
        <v>135.24</v>
      </c>
      <c r="C57">
        <v>57</v>
      </c>
      <c r="D57">
        <f t="shared" si="9"/>
        <v>-10</v>
      </c>
      <c r="E57" s="1">
        <f t="shared" si="10"/>
        <v>0.48000000000001819</v>
      </c>
      <c r="Q57">
        <v>56</v>
      </c>
      <c r="R57" s="4">
        <v>19.079999999999998</v>
      </c>
      <c r="S57" s="4">
        <f t="shared" si="0"/>
        <v>15.45</v>
      </c>
      <c r="T57" s="4">
        <v>15.45</v>
      </c>
      <c r="U57" s="4">
        <f t="shared" si="12"/>
        <v>1.236</v>
      </c>
      <c r="AF57">
        <v>56</v>
      </c>
      <c r="AG57" s="4">
        <v>18.88</v>
      </c>
      <c r="AH57" s="4">
        <f t="shared" si="2"/>
        <v>14.13</v>
      </c>
      <c r="AI57" s="4">
        <v>13.13</v>
      </c>
      <c r="AJ57" s="4">
        <f t="shared" si="4"/>
        <v>0.69200000000000017</v>
      </c>
      <c r="AT57">
        <v>56</v>
      </c>
      <c r="AU57">
        <v>30.24</v>
      </c>
      <c r="AV57">
        <f t="shared" si="3"/>
        <v>110.9</v>
      </c>
      <c r="AW57">
        <v>13.9</v>
      </c>
      <c r="AX57" s="1">
        <f t="shared" si="5"/>
        <v>96.227999999999994</v>
      </c>
      <c r="BH57">
        <v>56</v>
      </c>
      <c r="BI57">
        <v>14.79</v>
      </c>
      <c r="BJ57">
        <f t="shared" si="6"/>
        <v>146.18</v>
      </c>
      <c r="BK57">
        <v>6.18</v>
      </c>
      <c r="BL57" s="1">
        <f t="shared" si="7"/>
        <v>139.38200000000001</v>
      </c>
      <c r="BT57">
        <v>56</v>
      </c>
      <c r="BU57">
        <v>194.51</v>
      </c>
      <c r="BV57">
        <f t="shared" si="8"/>
        <v>0</v>
      </c>
      <c r="BW57">
        <v>-3.09</v>
      </c>
      <c r="BX57">
        <f t="shared" si="11"/>
        <v>149.67599999999999</v>
      </c>
      <c r="BY57" t="s">
        <v>0</v>
      </c>
    </row>
    <row r="58" spans="1:77" x14ac:dyDescent="0.25">
      <c r="A58">
        <v>58</v>
      </c>
      <c r="B58">
        <v>134.72999999999999</v>
      </c>
      <c r="C58">
        <v>58</v>
      </c>
      <c r="D58">
        <f t="shared" si="9"/>
        <v>-10.200000000000387</v>
      </c>
      <c r="E58" s="1">
        <f t="shared" si="10"/>
        <v>-4.0000000000077307E-2</v>
      </c>
      <c r="Q58">
        <v>57</v>
      </c>
      <c r="R58" s="4">
        <v>19.690000000000001</v>
      </c>
      <c r="S58" s="4">
        <f t="shared" si="0"/>
        <v>12.36</v>
      </c>
      <c r="T58" s="4">
        <v>12.36</v>
      </c>
      <c r="U58" s="4">
        <f t="shared" si="12"/>
        <v>-0.61799999999999999</v>
      </c>
      <c r="AF58">
        <v>57</v>
      </c>
      <c r="AG58" s="4">
        <v>19.73</v>
      </c>
      <c r="AH58" s="4">
        <f t="shared" si="2"/>
        <v>17.989999999999998</v>
      </c>
      <c r="AI58" s="4">
        <v>16.989999999999998</v>
      </c>
      <c r="AJ58" s="4">
        <f t="shared" si="4"/>
        <v>1.7719999999999996</v>
      </c>
      <c r="AT58">
        <v>57</v>
      </c>
      <c r="AU58">
        <v>31.28</v>
      </c>
      <c r="AV58">
        <f t="shared" si="3"/>
        <v>117.85</v>
      </c>
      <c r="AW58">
        <v>20.85</v>
      </c>
      <c r="AX58" s="1">
        <f t="shared" si="5"/>
        <v>98.39</v>
      </c>
      <c r="BH58">
        <v>57</v>
      </c>
      <c r="BI58">
        <v>15.29</v>
      </c>
      <c r="BJ58">
        <f t="shared" si="6"/>
        <v>150.04</v>
      </c>
      <c r="BK58">
        <v>10.039999999999999</v>
      </c>
      <c r="BL58" s="1">
        <f t="shared" si="7"/>
        <v>140.77199999999999</v>
      </c>
      <c r="BT58">
        <v>57</v>
      </c>
      <c r="BU58">
        <v>194.17</v>
      </c>
      <c r="BV58">
        <f t="shared" si="8"/>
        <v>0</v>
      </c>
      <c r="BW58">
        <v>-13.9</v>
      </c>
      <c r="BX58">
        <f t="shared" si="11"/>
        <v>149.67599999999999</v>
      </c>
      <c r="BY58" t="s">
        <v>0</v>
      </c>
    </row>
    <row r="59" spans="1:77" x14ac:dyDescent="0.25">
      <c r="A59">
        <v>59</v>
      </c>
      <c r="B59">
        <v>134.12</v>
      </c>
      <c r="C59">
        <v>59</v>
      </c>
      <c r="D59">
        <f t="shared" si="9"/>
        <v>-12.199999999999704</v>
      </c>
      <c r="E59" s="1">
        <f t="shared" si="10"/>
        <v>-0.39999999999986358</v>
      </c>
      <c r="Q59">
        <v>58</v>
      </c>
      <c r="R59" s="4">
        <v>20.43</v>
      </c>
      <c r="S59" s="4">
        <f t="shared" si="0"/>
        <v>14.67</v>
      </c>
      <c r="T59" s="4">
        <v>14.67</v>
      </c>
      <c r="U59" s="4">
        <f t="shared" si="12"/>
        <v>0.46200000000000008</v>
      </c>
      <c r="AF59">
        <v>58</v>
      </c>
      <c r="AG59" s="4">
        <v>20.51</v>
      </c>
      <c r="AH59" s="4">
        <f t="shared" si="2"/>
        <v>16.45</v>
      </c>
      <c r="AI59" s="4">
        <v>15.45</v>
      </c>
      <c r="AJ59" s="4">
        <f t="shared" si="4"/>
        <v>0.69200000000000017</v>
      </c>
      <c r="AT59">
        <v>58</v>
      </c>
      <c r="AU59">
        <v>32.090000000000003</v>
      </c>
      <c r="AV59">
        <f t="shared" si="3"/>
        <v>113.22</v>
      </c>
      <c r="AW59">
        <v>16.22</v>
      </c>
      <c r="AX59" s="1">
        <f t="shared" si="5"/>
        <v>96.073999999999998</v>
      </c>
      <c r="BH59">
        <v>58</v>
      </c>
      <c r="BI59">
        <v>15.64</v>
      </c>
      <c r="BJ59">
        <f t="shared" si="6"/>
        <v>146.94999999999999</v>
      </c>
      <c r="BK59">
        <v>6.95</v>
      </c>
      <c r="BL59" s="1">
        <f t="shared" si="7"/>
        <v>139.38200000000001</v>
      </c>
      <c r="BT59">
        <v>58</v>
      </c>
      <c r="BU59">
        <v>193.78</v>
      </c>
      <c r="BV59">
        <f t="shared" si="8"/>
        <v>0</v>
      </c>
      <c r="BW59">
        <v>-15.45</v>
      </c>
      <c r="BX59">
        <f t="shared" si="11"/>
        <v>153.38</v>
      </c>
      <c r="BY59" t="s">
        <v>0</v>
      </c>
    </row>
    <row r="60" spans="1:77" x14ac:dyDescent="0.25">
      <c r="A60">
        <v>60</v>
      </c>
      <c r="B60">
        <v>133.65</v>
      </c>
      <c r="C60">
        <v>60</v>
      </c>
      <c r="D60">
        <f t="shared" si="9"/>
        <v>-9.3999999999999773</v>
      </c>
      <c r="E60" s="1">
        <f t="shared" si="10"/>
        <v>0.55999999999994543</v>
      </c>
      <c r="Q60">
        <v>59</v>
      </c>
      <c r="R60" s="4">
        <v>21.01</v>
      </c>
      <c r="S60" s="4">
        <f t="shared" si="0"/>
        <v>11.59</v>
      </c>
      <c r="T60" s="4">
        <v>11.59</v>
      </c>
      <c r="U60" s="4">
        <f t="shared" si="12"/>
        <v>-0.61599999999999999</v>
      </c>
      <c r="AF60">
        <v>59</v>
      </c>
      <c r="AG60" s="4">
        <v>21.47</v>
      </c>
      <c r="AH60" s="4">
        <f t="shared" si="2"/>
        <v>20.309999999999999</v>
      </c>
      <c r="AI60" s="4">
        <v>19.309999999999999</v>
      </c>
      <c r="AJ60" s="4">
        <f t="shared" si="4"/>
        <v>1.7719999999999998</v>
      </c>
      <c r="AT60">
        <v>59</v>
      </c>
      <c r="AU60">
        <v>32.94</v>
      </c>
      <c r="AV60">
        <f t="shared" si="3"/>
        <v>113.99</v>
      </c>
      <c r="AW60">
        <v>16.989999999999998</v>
      </c>
      <c r="AX60" s="1">
        <f t="shared" si="5"/>
        <v>97.153999999999996</v>
      </c>
      <c r="BH60">
        <v>59</v>
      </c>
      <c r="BI60">
        <v>16.100000000000001</v>
      </c>
      <c r="BJ60">
        <f t="shared" si="6"/>
        <v>149.27000000000001</v>
      </c>
      <c r="BK60">
        <v>9.27</v>
      </c>
      <c r="BL60" s="1">
        <f t="shared" si="7"/>
        <v>140.464</v>
      </c>
      <c r="BT60">
        <v>59</v>
      </c>
      <c r="BU60">
        <v>193.43</v>
      </c>
      <c r="BV60">
        <f t="shared" si="8"/>
        <v>0</v>
      </c>
      <c r="BW60">
        <v>-13.9</v>
      </c>
      <c r="BX60">
        <f t="shared" si="11"/>
        <v>154.62</v>
      </c>
      <c r="BY60" t="s">
        <v>0</v>
      </c>
    </row>
    <row r="61" spans="1:77" x14ac:dyDescent="0.25">
      <c r="A61">
        <v>61</v>
      </c>
      <c r="B61">
        <v>133.07</v>
      </c>
      <c r="C61">
        <v>61</v>
      </c>
      <c r="D61">
        <f t="shared" si="9"/>
        <v>-11.60000000000025</v>
      </c>
      <c r="E61" s="1">
        <f t="shared" si="10"/>
        <v>-0.44000000000005457</v>
      </c>
      <c r="Q61">
        <v>60</v>
      </c>
      <c r="R61" s="4">
        <v>21.78</v>
      </c>
      <c r="S61" s="4">
        <f t="shared" si="0"/>
        <v>15.45</v>
      </c>
      <c r="T61" s="4">
        <v>15.45</v>
      </c>
      <c r="U61" s="4">
        <f t="shared" si="12"/>
        <v>0.77199999999999991</v>
      </c>
      <c r="AF61">
        <v>60</v>
      </c>
      <c r="AG61" s="4">
        <v>22.2</v>
      </c>
      <c r="AH61" s="4">
        <f t="shared" si="2"/>
        <v>15.67</v>
      </c>
      <c r="AI61" s="4">
        <v>14.67</v>
      </c>
      <c r="AJ61" s="4">
        <f t="shared" si="4"/>
        <v>7.2000000000000286E-2</v>
      </c>
      <c r="AT61">
        <v>60</v>
      </c>
      <c r="AU61">
        <v>33.869999999999997</v>
      </c>
      <c r="AV61">
        <f t="shared" si="3"/>
        <v>115.53999999999999</v>
      </c>
      <c r="AW61">
        <v>18.54</v>
      </c>
      <c r="AX61" s="1">
        <f t="shared" si="5"/>
        <v>97.31</v>
      </c>
      <c r="BH61">
        <v>60</v>
      </c>
      <c r="BI61">
        <v>16.53</v>
      </c>
      <c r="BJ61">
        <f t="shared" si="6"/>
        <v>148.5</v>
      </c>
      <c r="BK61">
        <v>8.5</v>
      </c>
      <c r="BL61" s="1">
        <f t="shared" si="7"/>
        <v>139.846</v>
      </c>
      <c r="BT61">
        <v>60</v>
      </c>
      <c r="BU61">
        <v>193.16</v>
      </c>
      <c r="BV61">
        <f t="shared" si="8"/>
        <v>0</v>
      </c>
      <c r="BW61">
        <v>-10.81</v>
      </c>
      <c r="BX61">
        <f t="shared" si="11"/>
        <v>155.23599999999999</v>
      </c>
      <c r="BY61" t="s">
        <v>0</v>
      </c>
    </row>
    <row r="62" spans="1:77" x14ac:dyDescent="0.25">
      <c r="A62">
        <v>62</v>
      </c>
      <c r="B62">
        <v>132.53</v>
      </c>
      <c r="C62">
        <v>62</v>
      </c>
      <c r="D62">
        <f t="shared" si="9"/>
        <v>-10.799999999999841</v>
      </c>
      <c r="E62" s="1">
        <f t="shared" si="10"/>
        <v>0.16000000000008185</v>
      </c>
      <c r="Q62">
        <v>61</v>
      </c>
      <c r="R62" s="4">
        <v>22.59</v>
      </c>
      <c r="S62" s="4">
        <f t="shared" si="0"/>
        <v>16.22</v>
      </c>
      <c r="T62" s="4">
        <v>16.22</v>
      </c>
      <c r="U62" s="4">
        <f t="shared" si="12"/>
        <v>0.15399999999999991</v>
      </c>
      <c r="AF62">
        <v>61</v>
      </c>
      <c r="AG62" s="4">
        <v>22.94</v>
      </c>
      <c r="AH62" s="4">
        <f t="shared" si="2"/>
        <v>15.67</v>
      </c>
      <c r="AI62" s="4">
        <v>14.67</v>
      </c>
      <c r="AJ62" s="4">
        <f t="shared" si="4"/>
        <v>1</v>
      </c>
      <c r="AT62">
        <v>61</v>
      </c>
      <c r="AU62">
        <v>34.520000000000003</v>
      </c>
      <c r="AV62">
        <f t="shared" si="3"/>
        <v>110.13</v>
      </c>
      <c r="AW62">
        <v>13.13</v>
      </c>
      <c r="AX62" s="1">
        <f t="shared" si="5"/>
        <v>95.918000000000006</v>
      </c>
      <c r="BH62">
        <v>61</v>
      </c>
      <c r="BI62">
        <v>16.989999999999998</v>
      </c>
      <c r="BJ62">
        <f t="shared" si="6"/>
        <v>149.27000000000001</v>
      </c>
      <c r="BK62">
        <v>9.27</v>
      </c>
      <c r="BL62" s="1">
        <f t="shared" si="7"/>
        <v>140.154</v>
      </c>
      <c r="BT62">
        <v>61</v>
      </c>
      <c r="BU62">
        <v>192.81</v>
      </c>
      <c r="BV62">
        <f t="shared" si="8"/>
        <v>0</v>
      </c>
      <c r="BW62">
        <v>-13.9</v>
      </c>
      <c r="BX62">
        <f t="shared" si="11"/>
        <v>152.76400000000001</v>
      </c>
      <c r="BY62" t="s">
        <v>0</v>
      </c>
    </row>
    <row r="63" spans="1:77" x14ac:dyDescent="0.25">
      <c r="A63">
        <v>63</v>
      </c>
      <c r="B63">
        <v>132.03</v>
      </c>
      <c r="C63">
        <v>63</v>
      </c>
      <c r="D63">
        <f t="shared" si="9"/>
        <v>-10</v>
      </c>
      <c r="E63" s="1">
        <f t="shared" si="10"/>
        <v>0.15999999999996817</v>
      </c>
      <c r="Q63">
        <v>62</v>
      </c>
      <c r="R63" s="4">
        <v>23.25</v>
      </c>
      <c r="S63" s="4">
        <f t="shared" si="0"/>
        <v>13.13</v>
      </c>
      <c r="T63" s="4">
        <v>13.13</v>
      </c>
      <c r="U63" s="4">
        <f t="shared" si="12"/>
        <v>-0.61799999999999966</v>
      </c>
      <c r="AF63">
        <v>62</v>
      </c>
      <c r="AG63" s="4">
        <v>23.67</v>
      </c>
      <c r="AH63" s="4">
        <f t="shared" si="2"/>
        <v>15.67</v>
      </c>
      <c r="AI63" s="4">
        <v>14.67</v>
      </c>
      <c r="AJ63" s="4">
        <f t="shared" si="4"/>
        <v>1</v>
      </c>
      <c r="AT63">
        <v>62</v>
      </c>
      <c r="AU63">
        <v>35.57</v>
      </c>
      <c r="AV63">
        <f t="shared" si="3"/>
        <v>117.85</v>
      </c>
      <c r="AW63">
        <v>20.85</v>
      </c>
      <c r="AX63" s="1">
        <f t="shared" si="5"/>
        <v>98.543999999999997</v>
      </c>
      <c r="BH63">
        <v>62</v>
      </c>
      <c r="BI63">
        <v>17.489999999999998</v>
      </c>
      <c r="BJ63">
        <f t="shared" si="6"/>
        <v>150.04</v>
      </c>
      <c r="BK63">
        <v>10.039999999999999</v>
      </c>
      <c r="BL63" s="1">
        <f t="shared" si="7"/>
        <v>140.154</v>
      </c>
      <c r="BT63">
        <v>62</v>
      </c>
      <c r="BU63">
        <v>192.74</v>
      </c>
      <c r="BV63">
        <f t="shared" si="8"/>
        <v>0</v>
      </c>
      <c r="BW63">
        <v>-3.09</v>
      </c>
      <c r="BX63">
        <f t="shared" si="11"/>
        <v>158.32400000000001</v>
      </c>
      <c r="BY63" t="s">
        <v>0</v>
      </c>
    </row>
    <row r="64" spans="1:77" x14ac:dyDescent="0.25">
      <c r="A64">
        <v>64</v>
      </c>
      <c r="B64">
        <v>131.49</v>
      </c>
      <c r="C64">
        <v>64</v>
      </c>
      <c r="D64">
        <f t="shared" si="9"/>
        <v>-10.799999999999841</v>
      </c>
      <c r="E64" s="1">
        <f t="shared" si="10"/>
        <v>-0.15999999999996817</v>
      </c>
      <c r="Q64">
        <v>63</v>
      </c>
      <c r="R64" s="4">
        <v>24.1</v>
      </c>
      <c r="S64" s="4">
        <f t="shared" si="0"/>
        <v>16.989999999999998</v>
      </c>
      <c r="T64" s="4">
        <v>16.989999999999998</v>
      </c>
      <c r="U64" s="4">
        <f t="shared" si="12"/>
        <v>0.77199999999999958</v>
      </c>
      <c r="AF64">
        <v>63</v>
      </c>
      <c r="AG64" s="4">
        <v>24.41</v>
      </c>
      <c r="AH64" s="4">
        <f t="shared" si="2"/>
        <v>15.67</v>
      </c>
      <c r="AI64" s="4">
        <v>14.67</v>
      </c>
      <c r="AJ64" s="4">
        <f t="shared" si="4"/>
        <v>1</v>
      </c>
      <c r="AT64">
        <v>63</v>
      </c>
      <c r="AU64">
        <v>36.57</v>
      </c>
      <c r="AV64">
        <f t="shared" si="3"/>
        <v>117.08</v>
      </c>
      <c r="AW64">
        <v>20.079999999999998</v>
      </c>
      <c r="AX64" s="1">
        <f t="shared" si="5"/>
        <v>96.846000000000004</v>
      </c>
      <c r="BH64">
        <v>63</v>
      </c>
      <c r="BI64">
        <v>18.07</v>
      </c>
      <c r="BJ64">
        <f t="shared" si="6"/>
        <v>151.59</v>
      </c>
      <c r="BK64">
        <v>11.59</v>
      </c>
      <c r="BL64" s="1">
        <f t="shared" si="7"/>
        <v>140.31</v>
      </c>
      <c r="BT64">
        <v>63</v>
      </c>
      <c r="BU64">
        <v>192.47</v>
      </c>
      <c r="BV64">
        <f t="shared" si="8"/>
        <v>0</v>
      </c>
      <c r="BW64">
        <v>-10.81</v>
      </c>
      <c r="BX64">
        <f t="shared" si="11"/>
        <v>150.91200000000001</v>
      </c>
      <c r="BY64" t="s">
        <v>0</v>
      </c>
    </row>
    <row r="65" spans="1:77" x14ac:dyDescent="0.25">
      <c r="A65">
        <v>65</v>
      </c>
      <c r="B65">
        <v>131.03</v>
      </c>
      <c r="C65">
        <v>65</v>
      </c>
      <c r="D65">
        <f t="shared" si="9"/>
        <v>-9.2000000000001592</v>
      </c>
      <c r="E65" s="1">
        <f t="shared" si="10"/>
        <v>0.31999999999993634</v>
      </c>
      <c r="Q65">
        <v>64</v>
      </c>
      <c r="R65" s="4">
        <v>24.79</v>
      </c>
      <c r="S65" s="4">
        <f t="shared" si="0"/>
        <v>13.9</v>
      </c>
      <c r="T65" s="4">
        <v>13.9</v>
      </c>
      <c r="U65" s="4">
        <f t="shared" si="12"/>
        <v>-0.61799999999999966</v>
      </c>
      <c r="AF65">
        <v>64</v>
      </c>
      <c r="AG65" s="4">
        <v>25.37</v>
      </c>
      <c r="AH65" s="4">
        <f t="shared" si="2"/>
        <v>20.309999999999999</v>
      </c>
      <c r="AI65" s="4">
        <v>19.309999999999999</v>
      </c>
      <c r="AJ65" s="4">
        <f t="shared" si="4"/>
        <v>1.9279999999999997</v>
      </c>
      <c r="AT65">
        <v>64</v>
      </c>
      <c r="AU65">
        <v>37.54</v>
      </c>
      <c r="AV65">
        <f t="shared" si="3"/>
        <v>116.31</v>
      </c>
      <c r="AW65">
        <v>19.309999999999999</v>
      </c>
      <c r="AX65" s="1">
        <f t="shared" si="5"/>
        <v>96.846000000000004</v>
      </c>
      <c r="BH65">
        <v>64</v>
      </c>
      <c r="BI65">
        <v>18.61</v>
      </c>
      <c r="BJ65">
        <f t="shared" si="6"/>
        <v>150.81</v>
      </c>
      <c r="BK65">
        <v>10.81</v>
      </c>
      <c r="BL65" s="1">
        <f t="shared" si="7"/>
        <v>139.84399999999999</v>
      </c>
      <c r="BT65">
        <v>64</v>
      </c>
      <c r="BU65">
        <v>192.23</v>
      </c>
      <c r="BV65">
        <f t="shared" si="8"/>
        <v>0</v>
      </c>
      <c r="BW65">
        <v>-9.27</v>
      </c>
      <c r="BX65">
        <f t="shared" si="11"/>
        <v>154.61600000000001</v>
      </c>
      <c r="BY65" t="s">
        <v>0</v>
      </c>
    </row>
    <row r="66" spans="1:77" x14ac:dyDescent="0.25">
      <c r="A66">
        <v>66</v>
      </c>
      <c r="B66">
        <v>130.41</v>
      </c>
      <c r="C66">
        <v>66</v>
      </c>
      <c r="D66">
        <f t="shared" si="9"/>
        <v>-12.400000000000091</v>
      </c>
      <c r="E66" s="1">
        <f t="shared" si="10"/>
        <v>-0.63999999999998636</v>
      </c>
      <c r="Q66">
        <v>65</v>
      </c>
      <c r="R66" s="4">
        <v>25.68</v>
      </c>
      <c r="S66" s="4">
        <f t="shared" ref="S66:S129" si="13">IF(T66&gt;0,T66+S$1,0)</f>
        <v>17.760000000000002</v>
      </c>
      <c r="T66" s="4">
        <v>17.760000000000002</v>
      </c>
      <c r="U66" s="4">
        <f t="shared" si="12"/>
        <v>0.77200000000000024</v>
      </c>
      <c r="AF66">
        <v>65</v>
      </c>
      <c r="AG66" s="4">
        <v>26.3</v>
      </c>
      <c r="AH66" s="4">
        <f t="shared" ref="AH66:AH129" si="14">IF(AI66&gt;0,AI66+AH$1,0)</f>
        <v>19.54</v>
      </c>
      <c r="AI66" s="4">
        <v>18.54</v>
      </c>
      <c r="AJ66" s="4">
        <f t="shared" si="4"/>
        <v>0.84600000000000009</v>
      </c>
      <c r="AT66">
        <v>65</v>
      </c>
      <c r="AU66">
        <v>38.54</v>
      </c>
      <c r="AV66">
        <f t="shared" ref="AV66:AV129" si="15">IF(AW66&gt;0,AW66+AV$1,0)</f>
        <v>117.08</v>
      </c>
      <c r="AW66">
        <v>20.079999999999998</v>
      </c>
      <c r="AX66" s="1">
        <f t="shared" si="5"/>
        <v>97.153999999999996</v>
      </c>
      <c r="BH66">
        <v>65</v>
      </c>
      <c r="BI66">
        <v>18.920000000000002</v>
      </c>
      <c r="BJ66">
        <f t="shared" si="6"/>
        <v>146.18</v>
      </c>
      <c r="BK66">
        <v>6.18</v>
      </c>
      <c r="BL66" s="1">
        <f t="shared" si="7"/>
        <v>139.07400000000001</v>
      </c>
      <c r="BT66">
        <v>65</v>
      </c>
      <c r="BU66">
        <v>192.08</v>
      </c>
      <c r="BV66">
        <f t="shared" si="8"/>
        <v>0</v>
      </c>
      <c r="BW66">
        <v>-6.18</v>
      </c>
      <c r="BX66">
        <f t="shared" si="11"/>
        <v>155.23599999999999</v>
      </c>
      <c r="BY66" t="s">
        <v>0</v>
      </c>
    </row>
    <row r="67" spans="1:77" x14ac:dyDescent="0.25">
      <c r="A67">
        <v>67</v>
      </c>
      <c r="B67">
        <v>130.02000000000001</v>
      </c>
      <c r="C67">
        <v>67</v>
      </c>
      <c r="D67">
        <f t="shared" si="9"/>
        <v>-7.7999999999997272</v>
      </c>
      <c r="E67" s="1">
        <f t="shared" si="10"/>
        <v>0.92000000000007276</v>
      </c>
      <c r="Q67">
        <v>66</v>
      </c>
      <c r="R67" s="4">
        <v>26.41</v>
      </c>
      <c r="S67" s="4">
        <f t="shared" si="13"/>
        <v>14.67</v>
      </c>
      <c r="T67" s="4">
        <v>14.67</v>
      </c>
      <c r="U67" s="4">
        <f t="shared" si="12"/>
        <v>-0.61800000000000033</v>
      </c>
      <c r="AF67">
        <v>66</v>
      </c>
      <c r="AG67" s="4">
        <v>27.19</v>
      </c>
      <c r="AH67" s="4">
        <f t="shared" si="14"/>
        <v>18.760000000000002</v>
      </c>
      <c r="AI67" s="4">
        <v>17.760000000000002</v>
      </c>
      <c r="AJ67" s="4">
        <f t="shared" ref="AJ67:AJ130" si="16">(AI67-AI66)/5+AH$1</f>
        <v>0.84400000000000053</v>
      </c>
      <c r="AT67">
        <v>66</v>
      </c>
      <c r="AU67">
        <v>39.51</v>
      </c>
      <c r="AV67">
        <f t="shared" si="15"/>
        <v>116.31</v>
      </c>
      <c r="AW67">
        <v>19.309999999999999</v>
      </c>
      <c r="AX67" s="1">
        <f t="shared" ref="AX67:AX130" si="17">(AW67-AW66)/5+AV$1</f>
        <v>96.846000000000004</v>
      </c>
      <c r="BH67">
        <v>66</v>
      </c>
      <c r="BI67">
        <v>19.46</v>
      </c>
      <c r="BJ67">
        <f t="shared" ref="BJ67:BJ130" si="18">IF(BK67&gt;0,BK67+BJ$1,0)</f>
        <v>150.81</v>
      </c>
      <c r="BK67">
        <v>10.81</v>
      </c>
      <c r="BL67" s="1">
        <f t="shared" ref="BL67:BL130" si="19">(BK67-BK66)/5+BJ$1</f>
        <v>140.92599999999999</v>
      </c>
      <c r="BT67">
        <v>66</v>
      </c>
      <c r="BU67">
        <v>191.85</v>
      </c>
      <c r="BV67">
        <f t="shared" ref="BV67:BV130" si="20">IF(BW67&gt;0,BW67+BV$1,0)</f>
        <v>0</v>
      </c>
      <c r="BW67">
        <v>-9.27</v>
      </c>
      <c r="BX67">
        <f t="shared" si="11"/>
        <v>152.76400000000001</v>
      </c>
      <c r="BY67" t="s">
        <v>0</v>
      </c>
    </row>
    <row r="68" spans="1:77" x14ac:dyDescent="0.25">
      <c r="A68">
        <v>68</v>
      </c>
      <c r="B68">
        <v>129.91</v>
      </c>
      <c r="C68">
        <v>68</v>
      </c>
      <c r="D68">
        <f t="shared" ref="D68:D131" si="21">(B68-B67)/0.05</f>
        <v>-2.2000000000002728</v>
      </c>
      <c r="E68" s="1">
        <f t="shared" ref="E68:E131" si="22">(D68-D67)/5</f>
        <v>1.1199999999998909</v>
      </c>
      <c r="Q68">
        <v>67</v>
      </c>
      <c r="R68" s="4">
        <v>27.5</v>
      </c>
      <c r="S68" s="4">
        <f t="shared" si="13"/>
        <v>21.63</v>
      </c>
      <c r="T68" s="4">
        <v>21.63</v>
      </c>
      <c r="U68" s="4">
        <f t="shared" si="12"/>
        <v>1.3919999999999999</v>
      </c>
      <c r="AF68">
        <v>67</v>
      </c>
      <c r="AG68" s="4">
        <v>28</v>
      </c>
      <c r="AH68" s="4">
        <f t="shared" si="14"/>
        <v>17.22</v>
      </c>
      <c r="AI68" s="4">
        <v>16.22</v>
      </c>
      <c r="AJ68" s="4">
        <f t="shared" si="16"/>
        <v>0.6919999999999995</v>
      </c>
      <c r="AT68">
        <v>67</v>
      </c>
      <c r="AU68">
        <v>40.51</v>
      </c>
      <c r="AV68">
        <f t="shared" si="15"/>
        <v>117.08</v>
      </c>
      <c r="AW68">
        <v>20.079999999999998</v>
      </c>
      <c r="AX68" s="1">
        <f t="shared" si="17"/>
        <v>97.153999999999996</v>
      </c>
      <c r="BH68">
        <v>67</v>
      </c>
      <c r="BI68">
        <v>19.850000000000001</v>
      </c>
      <c r="BJ68">
        <f t="shared" si="18"/>
        <v>147.72</v>
      </c>
      <c r="BK68">
        <v>7.72</v>
      </c>
      <c r="BL68" s="1">
        <f t="shared" si="19"/>
        <v>139.38200000000001</v>
      </c>
      <c r="BT68">
        <v>67</v>
      </c>
      <c r="BU68">
        <v>191.58</v>
      </c>
      <c r="BV68">
        <f t="shared" si="20"/>
        <v>0</v>
      </c>
      <c r="BW68">
        <v>-10.81</v>
      </c>
      <c r="BX68">
        <f t="shared" ref="BX68:BX131" si="23">BV$1+(BW68-BW67)/2.5</f>
        <v>153.38399999999999</v>
      </c>
      <c r="BY68" t="s">
        <v>0</v>
      </c>
    </row>
    <row r="69" spans="1:77" x14ac:dyDescent="0.25">
      <c r="A69">
        <v>69</v>
      </c>
      <c r="B69">
        <v>129.44</v>
      </c>
      <c r="C69">
        <v>69</v>
      </c>
      <c r="D69">
        <f t="shared" si="21"/>
        <v>-9.3999999999999773</v>
      </c>
      <c r="E69" s="1">
        <f t="shared" si="22"/>
        <v>-1.4399999999999409</v>
      </c>
      <c r="Q69">
        <v>68</v>
      </c>
      <c r="R69" s="4">
        <v>28.04</v>
      </c>
      <c r="S69" s="4">
        <f t="shared" si="13"/>
        <v>10.81</v>
      </c>
      <c r="T69" s="4">
        <v>10.81</v>
      </c>
      <c r="U69" s="4">
        <f t="shared" si="12"/>
        <v>-2.1639999999999997</v>
      </c>
      <c r="AF69">
        <v>68</v>
      </c>
      <c r="AG69" s="4">
        <v>29.12</v>
      </c>
      <c r="AH69" s="4">
        <f t="shared" si="14"/>
        <v>23.4</v>
      </c>
      <c r="AI69" s="4">
        <v>22.4</v>
      </c>
      <c r="AJ69" s="4">
        <f t="shared" si="16"/>
        <v>2.2359999999999998</v>
      </c>
      <c r="AT69">
        <v>68</v>
      </c>
      <c r="AU69">
        <v>41.51</v>
      </c>
      <c r="AV69">
        <f t="shared" si="15"/>
        <v>117.08</v>
      </c>
      <c r="AW69">
        <v>20.079999999999998</v>
      </c>
      <c r="AX69" s="1">
        <f t="shared" si="17"/>
        <v>97</v>
      </c>
      <c r="BH69">
        <v>68</v>
      </c>
      <c r="BI69">
        <v>20.51</v>
      </c>
      <c r="BJ69">
        <f t="shared" si="18"/>
        <v>153.13</v>
      </c>
      <c r="BK69">
        <v>13.13</v>
      </c>
      <c r="BL69" s="1">
        <f t="shared" si="19"/>
        <v>141.08199999999999</v>
      </c>
      <c r="BT69">
        <v>68</v>
      </c>
      <c r="BU69">
        <v>191.39</v>
      </c>
      <c r="BV69">
        <f t="shared" si="20"/>
        <v>0</v>
      </c>
      <c r="BW69">
        <v>-7.72</v>
      </c>
      <c r="BX69">
        <f t="shared" si="23"/>
        <v>155.23599999999999</v>
      </c>
      <c r="BY69" t="s">
        <v>0</v>
      </c>
    </row>
    <row r="70" spans="1:77" x14ac:dyDescent="0.25">
      <c r="A70">
        <v>70</v>
      </c>
      <c r="B70">
        <v>128.75</v>
      </c>
      <c r="C70">
        <v>70</v>
      </c>
      <c r="D70">
        <f t="shared" si="21"/>
        <v>-13.799999999999955</v>
      </c>
      <c r="E70" s="1">
        <f t="shared" si="22"/>
        <v>-0.87999999999999545</v>
      </c>
      <c r="Q70">
        <v>69</v>
      </c>
      <c r="R70" s="4">
        <v>28.81</v>
      </c>
      <c r="S70" s="4">
        <f t="shared" si="13"/>
        <v>15.45</v>
      </c>
      <c r="T70" s="4">
        <v>15.45</v>
      </c>
      <c r="U70" s="4">
        <f t="shared" ref="U70:U133" si="24">(T70-T69)/5</f>
        <v>0.92799999999999971</v>
      </c>
      <c r="AF70">
        <v>69</v>
      </c>
      <c r="AG70" s="4">
        <v>30.01</v>
      </c>
      <c r="AH70" s="4">
        <f t="shared" si="14"/>
        <v>18.760000000000002</v>
      </c>
      <c r="AI70" s="4">
        <v>17.760000000000002</v>
      </c>
      <c r="AJ70" s="4">
        <f t="shared" si="16"/>
        <v>7.2000000000000619E-2</v>
      </c>
      <c r="AT70">
        <v>69</v>
      </c>
      <c r="AU70">
        <v>42.52</v>
      </c>
      <c r="AV70">
        <f t="shared" si="15"/>
        <v>117.08</v>
      </c>
      <c r="AW70">
        <v>20.079999999999998</v>
      </c>
      <c r="AX70" s="1">
        <f t="shared" si="17"/>
        <v>97</v>
      </c>
      <c r="BH70">
        <v>69</v>
      </c>
      <c r="BI70">
        <v>20.85</v>
      </c>
      <c r="BJ70">
        <f t="shared" si="18"/>
        <v>146.94999999999999</v>
      </c>
      <c r="BK70">
        <v>6.95</v>
      </c>
      <c r="BL70" s="1">
        <f t="shared" si="19"/>
        <v>138.76400000000001</v>
      </c>
      <c r="BT70">
        <v>69</v>
      </c>
      <c r="BU70">
        <v>191.19</v>
      </c>
      <c r="BV70">
        <f t="shared" si="20"/>
        <v>0</v>
      </c>
      <c r="BW70">
        <v>-7.72</v>
      </c>
      <c r="BX70">
        <f t="shared" si="23"/>
        <v>154</v>
      </c>
      <c r="BY70" t="s">
        <v>0</v>
      </c>
    </row>
    <row r="71" spans="1:77" x14ac:dyDescent="0.25">
      <c r="A71">
        <v>71</v>
      </c>
      <c r="B71">
        <v>128.21</v>
      </c>
      <c r="C71">
        <v>71</v>
      </c>
      <c r="D71">
        <f t="shared" si="21"/>
        <v>-10.799999999999841</v>
      </c>
      <c r="E71" s="1">
        <f t="shared" si="22"/>
        <v>0.60000000000002274</v>
      </c>
      <c r="Q71">
        <v>70</v>
      </c>
      <c r="R71" s="4">
        <v>29.7</v>
      </c>
      <c r="S71" s="4">
        <f t="shared" si="13"/>
        <v>17.760000000000002</v>
      </c>
      <c r="T71" s="4">
        <v>17.760000000000002</v>
      </c>
      <c r="U71" s="4">
        <f t="shared" si="24"/>
        <v>0.46200000000000047</v>
      </c>
      <c r="AF71">
        <v>70</v>
      </c>
      <c r="AG71" s="4">
        <v>30.78</v>
      </c>
      <c r="AH71" s="4">
        <f t="shared" si="14"/>
        <v>16.45</v>
      </c>
      <c r="AI71" s="4">
        <v>15.45</v>
      </c>
      <c r="AJ71" s="4">
        <f t="shared" si="16"/>
        <v>0.53799999999999959</v>
      </c>
      <c r="AT71">
        <v>70</v>
      </c>
      <c r="AU71">
        <v>43.44</v>
      </c>
      <c r="AV71">
        <f t="shared" si="15"/>
        <v>115.53999999999999</v>
      </c>
      <c r="AW71">
        <v>18.54</v>
      </c>
      <c r="AX71" s="1">
        <f t="shared" si="17"/>
        <v>96.692000000000007</v>
      </c>
      <c r="BH71">
        <v>70</v>
      </c>
      <c r="BI71">
        <v>21.47</v>
      </c>
      <c r="BJ71">
        <f t="shared" si="18"/>
        <v>152.36000000000001</v>
      </c>
      <c r="BK71">
        <v>12.36</v>
      </c>
      <c r="BL71" s="1">
        <f t="shared" si="19"/>
        <v>141.08199999999999</v>
      </c>
      <c r="BT71">
        <v>70</v>
      </c>
      <c r="BU71">
        <v>191</v>
      </c>
      <c r="BV71">
        <f t="shared" si="20"/>
        <v>0</v>
      </c>
      <c r="BW71">
        <v>-7.72</v>
      </c>
      <c r="BX71">
        <f t="shared" si="23"/>
        <v>154</v>
      </c>
      <c r="BY71" t="s">
        <v>0</v>
      </c>
    </row>
    <row r="72" spans="1:77" x14ac:dyDescent="0.25">
      <c r="A72">
        <v>72</v>
      </c>
      <c r="B72">
        <v>127.71</v>
      </c>
      <c r="C72">
        <v>72</v>
      </c>
      <c r="D72">
        <f t="shared" si="21"/>
        <v>-10.000000000000284</v>
      </c>
      <c r="E72" s="1">
        <f t="shared" si="22"/>
        <v>0.15999999999991132</v>
      </c>
      <c r="Q72">
        <v>71</v>
      </c>
      <c r="R72" s="4">
        <v>30.51</v>
      </c>
      <c r="S72" s="4">
        <f t="shared" si="13"/>
        <v>16.22</v>
      </c>
      <c r="T72" s="4">
        <v>16.22</v>
      </c>
      <c r="U72" s="4">
        <f t="shared" si="24"/>
        <v>-0.30800000000000055</v>
      </c>
      <c r="AF72">
        <v>71</v>
      </c>
      <c r="AG72" s="4">
        <v>31.59</v>
      </c>
      <c r="AH72" s="4">
        <f t="shared" si="14"/>
        <v>17.22</v>
      </c>
      <c r="AI72" s="4">
        <v>16.22</v>
      </c>
      <c r="AJ72" s="4">
        <f t="shared" si="16"/>
        <v>1.1539999999999999</v>
      </c>
      <c r="AT72">
        <v>71</v>
      </c>
      <c r="AU72">
        <v>44.53</v>
      </c>
      <c r="AV72">
        <f t="shared" si="15"/>
        <v>118.63</v>
      </c>
      <c r="AW72">
        <v>21.63</v>
      </c>
      <c r="AX72" s="1">
        <f t="shared" si="17"/>
        <v>97.617999999999995</v>
      </c>
      <c r="BH72">
        <v>71</v>
      </c>
      <c r="BI72">
        <v>21.78</v>
      </c>
      <c r="BJ72">
        <f t="shared" si="18"/>
        <v>146.18</v>
      </c>
      <c r="BK72">
        <v>6.18</v>
      </c>
      <c r="BL72" s="1">
        <f t="shared" si="19"/>
        <v>138.76400000000001</v>
      </c>
      <c r="BT72">
        <v>71</v>
      </c>
      <c r="BU72">
        <v>190.73</v>
      </c>
      <c r="BV72">
        <f t="shared" si="20"/>
        <v>0</v>
      </c>
      <c r="BW72">
        <v>-10.81</v>
      </c>
      <c r="BX72">
        <f t="shared" si="23"/>
        <v>152.76400000000001</v>
      </c>
      <c r="BY72" t="s">
        <v>0</v>
      </c>
    </row>
    <row r="73" spans="1:77" x14ac:dyDescent="0.25">
      <c r="A73">
        <v>73</v>
      </c>
      <c r="B73">
        <v>127.17</v>
      </c>
      <c r="C73">
        <v>73</v>
      </c>
      <c r="D73">
        <f t="shared" si="21"/>
        <v>-10.799999999999841</v>
      </c>
      <c r="E73" s="1">
        <f t="shared" si="22"/>
        <v>-0.15999999999991132</v>
      </c>
      <c r="Q73">
        <v>72</v>
      </c>
      <c r="R73" s="4">
        <v>31.36</v>
      </c>
      <c r="S73" s="4">
        <f t="shared" si="13"/>
        <v>16.989999999999998</v>
      </c>
      <c r="T73" s="4">
        <v>16.989999999999998</v>
      </c>
      <c r="U73" s="4">
        <f t="shared" si="24"/>
        <v>0.15399999999999991</v>
      </c>
      <c r="AF73">
        <v>72</v>
      </c>
      <c r="AG73" s="4">
        <v>32.549999999999997</v>
      </c>
      <c r="AH73" s="4">
        <f t="shared" si="14"/>
        <v>20.309999999999999</v>
      </c>
      <c r="AI73" s="4">
        <v>19.309999999999999</v>
      </c>
      <c r="AJ73" s="4">
        <f t="shared" si="16"/>
        <v>1.6179999999999999</v>
      </c>
      <c r="AT73">
        <v>72</v>
      </c>
      <c r="AU73">
        <v>45.8</v>
      </c>
      <c r="AV73">
        <f t="shared" si="15"/>
        <v>122.49</v>
      </c>
      <c r="AW73">
        <v>25.49</v>
      </c>
      <c r="AX73" s="1">
        <f t="shared" si="17"/>
        <v>97.772000000000006</v>
      </c>
      <c r="BH73">
        <v>72</v>
      </c>
      <c r="BI73">
        <v>22.28</v>
      </c>
      <c r="BJ73">
        <f t="shared" si="18"/>
        <v>150.04</v>
      </c>
      <c r="BK73">
        <v>10.039999999999999</v>
      </c>
      <c r="BL73" s="1">
        <f t="shared" si="19"/>
        <v>140.77199999999999</v>
      </c>
      <c r="BT73">
        <v>72</v>
      </c>
      <c r="BU73">
        <v>190.54</v>
      </c>
      <c r="BV73">
        <f t="shared" si="20"/>
        <v>0</v>
      </c>
      <c r="BW73">
        <v>-7.72</v>
      </c>
      <c r="BX73">
        <f t="shared" si="23"/>
        <v>155.23599999999999</v>
      </c>
      <c r="BY73" t="s">
        <v>0</v>
      </c>
    </row>
    <row r="74" spans="1:77" x14ac:dyDescent="0.25">
      <c r="A74">
        <v>74</v>
      </c>
      <c r="B74">
        <v>126.74</v>
      </c>
      <c r="C74">
        <v>74</v>
      </c>
      <c r="D74">
        <f t="shared" si="21"/>
        <v>-8.6000000000001364</v>
      </c>
      <c r="E74" s="1">
        <f t="shared" si="22"/>
        <v>0.43999999999994088</v>
      </c>
      <c r="Q74">
        <v>73</v>
      </c>
      <c r="R74" s="4">
        <v>32.130000000000003</v>
      </c>
      <c r="S74" s="4">
        <f t="shared" si="13"/>
        <v>15.45</v>
      </c>
      <c r="T74" s="4">
        <v>15.45</v>
      </c>
      <c r="U74" s="4">
        <f t="shared" si="24"/>
        <v>-0.30799999999999983</v>
      </c>
      <c r="AF74">
        <v>73</v>
      </c>
      <c r="AG74" s="4">
        <v>33.520000000000003</v>
      </c>
      <c r="AH74" s="4">
        <f t="shared" si="14"/>
        <v>20.309999999999999</v>
      </c>
      <c r="AI74" s="4">
        <v>19.309999999999999</v>
      </c>
      <c r="AJ74" s="4">
        <f t="shared" si="16"/>
        <v>1</v>
      </c>
      <c r="AT74">
        <v>73</v>
      </c>
      <c r="AU74">
        <v>47.19</v>
      </c>
      <c r="AV74">
        <f t="shared" si="15"/>
        <v>124.8</v>
      </c>
      <c r="AW74">
        <v>27.8</v>
      </c>
      <c r="AX74" s="1">
        <f t="shared" si="17"/>
        <v>97.462000000000003</v>
      </c>
      <c r="BH74">
        <v>73</v>
      </c>
      <c r="BI74">
        <v>22.9</v>
      </c>
      <c r="BJ74">
        <f t="shared" si="18"/>
        <v>152.36000000000001</v>
      </c>
      <c r="BK74">
        <v>12.36</v>
      </c>
      <c r="BL74" s="1">
        <f t="shared" si="19"/>
        <v>140.464</v>
      </c>
      <c r="BT74">
        <v>73</v>
      </c>
      <c r="BU74">
        <v>190.3</v>
      </c>
      <c r="BV74">
        <f t="shared" si="20"/>
        <v>0</v>
      </c>
      <c r="BW74">
        <v>-9.27</v>
      </c>
      <c r="BX74">
        <f t="shared" si="23"/>
        <v>153.38</v>
      </c>
      <c r="BY74" t="s">
        <v>0</v>
      </c>
    </row>
    <row r="75" spans="1:77" x14ac:dyDescent="0.25">
      <c r="A75">
        <v>75</v>
      </c>
      <c r="B75">
        <v>126.2</v>
      </c>
      <c r="C75">
        <v>75</v>
      </c>
      <c r="D75">
        <f t="shared" si="21"/>
        <v>-10.799999999999841</v>
      </c>
      <c r="E75" s="1">
        <f t="shared" si="22"/>
        <v>-0.43999999999994088</v>
      </c>
      <c r="Q75">
        <v>74</v>
      </c>
      <c r="R75" s="4">
        <v>32.979999999999997</v>
      </c>
      <c r="S75" s="4">
        <f t="shared" si="13"/>
        <v>16.989999999999998</v>
      </c>
      <c r="T75" s="4">
        <v>16.989999999999998</v>
      </c>
      <c r="U75" s="4">
        <f t="shared" si="24"/>
        <v>0.30799999999999983</v>
      </c>
      <c r="AF75">
        <v>74</v>
      </c>
      <c r="AG75" s="4">
        <v>34.520000000000003</v>
      </c>
      <c r="AH75" s="4">
        <f t="shared" si="14"/>
        <v>21.08</v>
      </c>
      <c r="AI75" s="4">
        <v>20.079999999999998</v>
      </c>
      <c r="AJ75" s="4">
        <f t="shared" si="16"/>
        <v>1.1539999999999999</v>
      </c>
      <c r="AT75">
        <v>74</v>
      </c>
      <c r="AU75">
        <v>48.43</v>
      </c>
      <c r="AV75">
        <f t="shared" si="15"/>
        <v>121.71000000000001</v>
      </c>
      <c r="AW75">
        <v>24.71</v>
      </c>
      <c r="AX75" s="1">
        <f t="shared" si="17"/>
        <v>96.382000000000005</v>
      </c>
      <c r="BH75">
        <v>74</v>
      </c>
      <c r="BI75">
        <v>23.32</v>
      </c>
      <c r="BJ75">
        <f t="shared" si="18"/>
        <v>148.5</v>
      </c>
      <c r="BK75">
        <v>8.5</v>
      </c>
      <c r="BL75" s="1">
        <f t="shared" si="19"/>
        <v>139.22800000000001</v>
      </c>
      <c r="BT75">
        <v>74</v>
      </c>
      <c r="BU75">
        <v>190.42</v>
      </c>
      <c r="BV75">
        <f t="shared" si="20"/>
        <v>158.63</v>
      </c>
      <c r="BW75">
        <v>4.63</v>
      </c>
      <c r="BX75">
        <f t="shared" si="23"/>
        <v>159.56</v>
      </c>
      <c r="BY75" t="s">
        <v>0</v>
      </c>
    </row>
    <row r="76" spans="1:77" x14ac:dyDescent="0.25">
      <c r="A76">
        <v>76</v>
      </c>
      <c r="B76">
        <v>125.74</v>
      </c>
      <c r="C76">
        <v>76</v>
      </c>
      <c r="D76">
        <f t="shared" si="21"/>
        <v>-9.2000000000001592</v>
      </c>
      <c r="E76" s="1">
        <f t="shared" si="22"/>
        <v>0.31999999999993634</v>
      </c>
      <c r="Q76">
        <v>75</v>
      </c>
      <c r="R76" s="4">
        <v>33.79</v>
      </c>
      <c r="S76" s="4">
        <f t="shared" si="13"/>
        <v>16.22</v>
      </c>
      <c r="T76" s="4">
        <v>16.22</v>
      </c>
      <c r="U76" s="4">
        <f t="shared" si="24"/>
        <v>-0.15399999999999991</v>
      </c>
      <c r="AF76">
        <v>75</v>
      </c>
      <c r="AG76" s="4">
        <v>35.49</v>
      </c>
      <c r="AH76" s="4">
        <f t="shared" si="14"/>
        <v>20.309999999999999</v>
      </c>
      <c r="AI76" s="4">
        <v>19.309999999999999</v>
      </c>
      <c r="AJ76" s="4">
        <f t="shared" si="16"/>
        <v>0.84600000000000009</v>
      </c>
      <c r="AT76">
        <v>75</v>
      </c>
      <c r="AU76">
        <v>49.55</v>
      </c>
      <c r="AV76">
        <f t="shared" si="15"/>
        <v>119.4</v>
      </c>
      <c r="AW76">
        <v>22.4</v>
      </c>
      <c r="AX76" s="1">
        <f t="shared" si="17"/>
        <v>96.537999999999997</v>
      </c>
      <c r="BH76">
        <v>75</v>
      </c>
      <c r="BI76">
        <v>23.98</v>
      </c>
      <c r="BJ76">
        <f t="shared" si="18"/>
        <v>153.13</v>
      </c>
      <c r="BK76">
        <v>13.13</v>
      </c>
      <c r="BL76" s="1">
        <f t="shared" si="19"/>
        <v>140.92599999999999</v>
      </c>
      <c r="BT76">
        <v>75</v>
      </c>
      <c r="BU76">
        <v>190.77</v>
      </c>
      <c r="BV76">
        <f t="shared" si="20"/>
        <v>167.9</v>
      </c>
      <c r="BW76">
        <v>13.9</v>
      </c>
      <c r="BX76">
        <f t="shared" si="23"/>
        <v>157.708</v>
      </c>
      <c r="BY76" t="s">
        <v>0</v>
      </c>
    </row>
    <row r="77" spans="1:77" x14ac:dyDescent="0.25">
      <c r="A77">
        <v>77</v>
      </c>
      <c r="B77">
        <v>125.12</v>
      </c>
      <c r="C77">
        <v>77</v>
      </c>
      <c r="D77">
        <f t="shared" si="21"/>
        <v>-12.399999999999807</v>
      </c>
      <c r="E77" s="1">
        <f t="shared" si="22"/>
        <v>-0.63999999999992951</v>
      </c>
      <c r="Q77">
        <v>76</v>
      </c>
      <c r="R77" s="4">
        <v>34.76</v>
      </c>
      <c r="S77" s="4">
        <f t="shared" si="13"/>
        <v>19.309999999999999</v>
      </c>
      <c r="T77" s="4">
        <v>19.309999999999999</v>
      </c>
      <c r="U77" s="4">
        <f t="shared" si="24"/>
        <v>0.61799999999999999</v>
      </c>
      <c r="AF77">
        <v>76</v>
      </c>
      <c r="AG77" s="4">
        <v>36.49</v>
      </c>
      <c r="AH77" s="4">
        <f t="shared" si="14"/>
        <v>21.08</v>
      </c>
      <c r="AI77" s="4">
        <v>20.079999999999998</v>
      </c>
      <c r="AJ77" s="4">
        <f t="shared" si="16"/>
        <v>1.1539999999999999</v>
      </c>
      <c r="AT77">
        <v>76</v>
      </c>
      <c r="AU77">
        <v>50.51</v>
      </c>
      <c r="AV77">
        <f t="shared" si="15"/>
        <v>116.31</v>
      </c>
      <c r="AW77">
        <v>19.309999999999999</v>
      </c>
      <c r="AX77" s="1">
        <f t="shared" si="17"/>
        <v>96.382000000000005</v>
      </c>
      <c r="BH77">
        <v>76</v>
      </c>
      <c r="BI77">
        <v>24.41</v>
      </c>
      <c r="BJ77">
        <f t="shared" si="18"/>
        <v>148.5</v>
      </c>
      <c r="BK77">
        <v>8.5</v>
      </c>
      <c r="BL77" s="1">
        <f t="shared" si="19"/>
        <v>139.07400000000001</v>
      </c>
      <c r="BT77">
        <v>76</v>
      </c>
      <c r="BU77">
        <v>190.73</v>
      </c>
      <c r="BV77">
        <f t="shared" si="20"/>
        <v>0</v>
      </c>
      <c r="BW77">
        <v>-1.55</v>
      </c>
      <c r="BX77">
        <f t="shared" si="23"/>
        <v>147.82</v>
      </c>
      <c r="BY77" t="s">
        <v>0</v>
      </c>
    </row>
    <row r="78" spans="1:77" x14ac:dyDescent="0.25">
      <c r="A78">
        <v>78</v>
      </c>
      <c r="B78">
        <v>124.66</v>
      </c>
      <c r="C78">
        <v>78</v>
      </c>
      <c r="D78">
        <f t="shared" si="21"/>
        <v>-9.2000000000001592</v>
      </c>
      <c r="E78" s="1">
        <f t="shared" si="22"/>
        <v>0.63999999999992951</v>
      </c>
      <c r="Q78">
        <v>77</v>
      </c>
      <c r="R78" s="4">
        <v>35.72</v>
      </c>
      <c r="S78" s="4">
        <f t="shared" si="13"/>
        <v>19.309999999999999</v>
      </c>
      <c r="T78" s="4">
        <v>19.309999999999999</v>
      </c>
      <c r="U78" s="4">
        <f t="shared" si="24"/>
        <v>0</v>
      </c>
      <c r="AF78">
        <v>77</v>
      </c>
      <c r="AG78" s="4">
        <v>37.5</v>
      </c>
      <c r="AH78" s="4">
        <f t="shared" si="14"/>
        <v>21.08</v>
      </c>
      <c r="AI78" s="4">
        <v>20.079999999999998</v>
      </c>
      <c r="AJ78" s="4">
        <f t="shared" si="16"/>
        <v>1</v>
      </c>
      <c r="AT78">
        <v>77</v>
      </c>
      <c r="AU78">
        <v>51.48</v>
      </c>
      <c r="AV78">
        <f t="shared" si="15"/>
        <v>116.31</v>
      </c>
      <c r="AW78">
        <v>19.309999999999999</v>
      </c>
      <c r="AX78" s="1">
        <f t="shared" si="17"/>
        <v>97</v>
      </c>
      <c r="BH78">
        <v>77</v>
      </c>
      <c r="BI78">
        <v>25.02</v>
      </c>
      <c r="BJ78">
        <f t="shared" si="18"/>
        <v>152.36000000000001</v>
      </c>
      <c r="BK78">
        <v>12.36</v>
      </c>
      <c r="BL78" s="1">
        <f t="shared" si="19"/>
        <v>140.77199999999999</v>
      </c>
      <c r="BT78">
        <v>77</v>
      </c>
      <c r="BU78">
        <v>190.38</v>
      </c>
      <c r="BV78">
        <f t="shared" si="20"/>
        <v>0</v>
      </c>
      <c r="BW78">
        <v>-13.9</v>
      </c>
      <c r="BX78">
        <f t="shared" si="23"/>
        <v>149.06</v>
      </c>
      <c r="BY78" t="s">
        <v>0</v>
      </c>
    </row>
    <row r="79" spans="1:77" x14ac:dyDescent="0.25">
      <c r="A79">
        <v>79</v>
      </c>
      <c r="B79">
        <v>124.19</v>
      </c>
      <c r="C79">
        <v>79</v>
      </c>
      <c r="D79">
        <f t="shared" si="21"/>
        <v>-9.3999999999999773</v>
      </c>
      <c r="E79" s="1">
        <f t="shared" si="22"/>
        <v>-3.999999999996362E-2</v>
      </c>
      <c r="Q79">
        <v>78</v>
      </c>
      <c r="R79" s="4">
        <v>36.799999999999997</v>
      </c>
      <c r="S79" s="4">
        <f t="shared" si="13"/>
        <v>21.63</v>
      </c>
      <c r="T79" s="4">
        <v>21.63</v>
      </c>
      <c r="U79" s="4">
        <f t="shared" si="24"/>
        <v>0.46400000000000008</v>
      </c>
      <c r="AF79">
        <v>78</v>
      </c>
      <c r="AG79" s="4">
        <v>38.35</v>
      </c>
      <c r="AH79" s="4">
        <f t="shared" si="14"/>
        <v>17.989999999999998</v>
      </c>
      <c r="AI79" s="4">
        <v>16.989999999999998</v>
      </c>
      <c r="AJ79" s="4">
        <f t="shared" si="16"/>
        <v>0.38200000000000001</v>
      </c>
      <c r="AT79">
        <v>78</v>
      </c>
      <c r="AU79">
        <v>52.75</v>
      </c>
      <c r="AV79">
        <f t="shared" si="15"/>
        <v>122.49</v>
      </c>
      <c r="AW79">
        <v>25.49</v>
      </c>
      <c r="AX79" s="1">
        <f t="shared" si="17"/>
        <v>98.236000000000004</v>
      </c>
      <c r="BH79">
        <v>78</v>
      </c>
      <c r="BI79">
        <v>25.41</v>
      </c>
      <c r="BJ79">
        <f t="shared" si="18"/>
        <v>147.72</v>
      </c>
      <c r="BK79">
        <v>7.72</v>
      </c>
      <c r="BL79" s="1">
        <f t="shared" si="19"/>
        <v>139.072</v>
      </c>
      <c r="BT79">
        <v>78</v>
      </c>
      <c r="BU79">
        <v>190</v>
      </c>
      <c r="BV79">
        <f t="shared" si="20"/>
        <v>0</v>
      </c>
      <c r="BW79">
        <v>-15.45</v>
      </c>
      <c r="BX79">
        <f t="shared" si="23"/>
        <v>153.38</v>
      </c>
      <c r="BY79" t="s">
        <v>0</v>
      </c>
    </row>
    <row r="80" spans="1:77" x14ac:dyDescent="0.25">
      <c r="A80">
        <v>80</v>
      </c>
      <c r="B80">
        <v>123.73</v>
      </c>
      <c r="C80">
        <v>80</v>
      </c>
      <c r="D80">
        <f t="shared" si="21"/>
        <v>-9.1999999999998749</v>
      </c>
      <c r="E80" s="1">
        <f t="shared" si="22"/>
        <v>4.0000000000020464E-2</v>
      </c>
      <c r="Q80">
        <v>79</v>
      </c>
      <c r="R80" s="4">
        <v>37.81</v>
      </c>
      <c r="S80" s="4">
        <f t="shared" si="13"/>
        <v>20.079999999999998</v>
      </c>
      <c r="T80" s="4">
        <v>20.079999999999998</v>
      </c>
      <c r="U80" s="4">
        <f t="shared" si="24"/>
        <v>-0.31000000000000016</v>
      </c>
      <c r="AF80">
        <v>79</v>
      </c>
      <c r="AG80" s="4">
        <v>39.229999999999997</v>
      </c>
      <c r="AH80" s="4">
        <f t="shared" si="14"/>
        <v>18.760000000000002</v>
      </c>
      <c r="AI80" s="4">
        <v>17.760000000000002</v>
      </c>
      <c r="AJ80" s="4">
        <f t="shared" si="16"/>
        <v>1.1540000000000006</v>
      </c>
      <c r="AT80">
        <v>79</v>
      </c>
      <c r="AU80">
        <v>53.99</v>
      </c>
      <c r="AV80">
        <f t="shared" si="15"/>
        <v>121.71000000000001</v>
      </c>
      <c r="AW80">
        <v>24.71</v>
      </c>
      <c r="AX80" s="1">
        <f t="shared" si="17"/>
        <v>96.843999999999994</v>
      </c>
      <c r="BH80">
        <v>79</v>
      </c>
      <c r="BI80">
        <v>25.87</v>
      </c>
      <c r="BJ80">
        <f t="shared" si="18"/>
        <v>149.27000000000001</v>
      </c>
      <c r="BK80">
        <v>9.27</v>
      </c>
      <c r="BL80" s="1">
        <f t="shared" si="19"/>
        <v>140.31</v>
      </c>
      <c r="BT80">
        <v>79</v>
      </c>
      <c r="BU80">
        <v>189.69</v>
      </c>
      <c r="BV80">
        <f t="shared" si="20"/>
        <v>0</v>
      </c>
      <c r="BW80">
        <v>-12.36</v>
      </c>
      <c r="BX80">
        <f t="shared" si="23"/>
        <v>155.23599999999999</v>
      </c>
      <c r="BY80" t="s">
        <v>0</v>
      </c>
    </row>
    <row r="81" spans="1:77" x14ac:dyDescent="0.25">
      <c r="A81">
        <v>81</v>
      </c>
      <c r="B81">
        <v>123.19</v>
      </c>
      <c r="C81">
        <v>81</v>
      </c>
      <c r="D81">
        <f t="shared" si="21"/>
        <v>-10.800000000000125</v>
      </c>
      <c r="E81" s="1">
        <f t="shared" si="22"/>
        <v>-0.32000000000005002</v>
      </c>
      <c r="Q81">
        <v>80</v>
      </c>
      <c r="R81" s="4">
        <v>38.81</v>
      </c>
      <c r="S81" s="4">
        <f t="shared" si="13"/>
        <v>20.079999999999998</v>
      </c>
      <c r="T81" s="4">
        <v>20.079999999999998</v>
      </c>
      <c r="U81" s="4">
        <f t="shared" si="24"/>
        <v>0</v>
      </c>
      <c r="AF81">
        <v>80</v>
      </c>
      <c r="AG81" s="4">
        <v>40.200000000000003</v>
      </c>
      <c r="AH81" s="4">
        <f t="shared" si="14"/>
        <v>20.309999999999999</v>
      </c>
      <c r="AI81" s="4">
        <v>19.309999999999999</v>
      </c>
      <c r="AJ81" s="4">
        <f t="shared" si="16"/>
        <v>1.3099999999999994</v>
      </c>
      <c r="AT81">
        <v>80</v>
      </c>
      <c r="AU81">
        <v>55.07</v>
      </c>
      <c r="AV81">
        <f t="shared" si="15"/>
        <v>118.63</v>
      </c>
      <c r="AW81">
        <v>21.63</v>
      </c>
      <c r="AX81" s="1">
        <f t="shared" si="17"/>
        <v>96.384</v>
      </c>
      <c r="BH81">
        <v>80</v>
      </c>
      <c r="BI81">
        <v>26.3</v>
      </c>
      <c r="BJ81">
        <f t="shared" si="18"/>
        <v>148.5</v>
      </c>
      <c r="BK81">
        <v>8.5</v>
      </c>
      <c r="BL81" s="1">
        <f t="shared" si="19"/>
        <v>139.846</v>
      </c>
      <c r="BT81">
        <v>80</v>
      </c>
      <c r="BU81">
        <v>189.34</v>
      </c>
      <c r="BV81">
        <f t="shared" si="20"/>
        <v>0</v>
      </c>
      <c r="BW81">
        <v>-13.9</v>
      </c>
      <c r="BX81">
        <f t="shared" si="23"/>
        <v>153.38399999999999</v>
      </c>
      <c r="BY81" t="s">
        <v>0</v>
      </c>
    </row>
    <row r="82" spans="1:77" x14ac:dyDescent="0.25">
      <c r="A82">
        <v>82</v>
      </c>
      <c r="B82">
        <v>122.8</v>
      </c>
      <c r="C82">
        <v>82</v>
      </c>
      <c r="D82">
        <f t="shared" si="21"/>
        <v>-7.8000000000000114</v>
      </c>
      <c r="E82" s="1">
        <f t="shared" si="22"/>
        <v>0.60000000000002274</v>
      </c>
      <c r="Q82">
        <v>81</v>
      </c>
      <c r="R82" s="4">
        <v>39.74</v>
      </c>
      <c r="S82" s="4">
        <f t="shared" si="13"/>
        <v>18.54</v>
      </c>
      <c r="T82" s="4">
        <v>18.54</v>
      </c>
      <c r="U82" s="4">
        <f t="shared" si="24"/>
        <v>-0.30799999999999983</v>
      </c>
      <c r="AF82">
        <v>81</v>
      </c>
      <c r="AG82" s="4">
        <v>41.36</v>
      </c>
      <c r="AH82" s="4">
        <f t="shared" si="14"/>
        <v>24.17</v>
      </c>
      <c r="AI82" s="4">
        <v>23.17</v>
      </c>
      <c r="AJ82" s="4">
        <f t="shared" si="16"/>
        <v>1.7720000000000007</v>
      </c>
      <c r="AT82">
        <v>81</v>
      </c>
      <c r="AU82">
        <v>56.07</v>
      </c>
      <c r="AV82">
        <f t="shared" si="15"/>
        <v>117.08</v>
      </c>
      <c r="AW82">
        <v>20.079999999999998</v>
      </c>
      <c r="AX82" s="1">
        <f t="shared" si="17"/>
        <v>96.69</v>
      </c>
      <c r="BH82">
        <v>81</v>
      </c>
      <c r="BI82">
        <v>26.95</v>
      </c>
      <c r="BJ82">
        <f t="shared" si="18"/>
        <v>153.13</v>
      </c>
      <c r="BK82">
        <v>13.13</v>
      </c>
      <c r="BL82" s="1">
        <f t="shared" si="19"/>
        <v>140.92599999999999</v>
      </c>
      <c r="BT82">
        <v>81</v>
      </c>
      <c r="BU82">
        <v>188.95</v>
      </c>
      <c r="BV82">
        <f t="shared" si="20"/>
        <v>0</v>
      </c>
      <c r="BW82">
        <v>-15.45</v>
      </c>
      <c r="BX82">
        <f t="shared" si="23"/>
        <v>153.38</v>
      </c>
      <c r="BY82" t="s">
        <v>0</v>
      </c>
    </row>
    <row r="83" spans="1:77" x14ac:dyDescent="0.25">
      <c r="A83">
        <v>83</v>
      </c>
      <c r="B83">
        <v>122.34</v>
      </c>
      <c r="C83">
        <v>83</v>
      </c>
      <c r="D83">
        <f t="shared" si="21"/>
        <v>-9.1999999999998749</v>
      </c>
      <c r="E83" s="1">
        <f t="shared" si="22"/>
        <v>-0.27999999999997272</v>
      </c>
      <c r="Q83">
        <v>82</v>
      </c>
      <c r="R83" s="4">
        <v>40.82</v>
      </c>
      <c r="S83" s="4">
        <f t="shared" si="13"/>
        <v>21.63</v>
      </c>
      <c r="T83" s="4">
        <v>21.63</v>
      </c>
      <c r="U83" s="4">
        <f t="shared" si="24"/>
        <v>0.61799999999999999</v>
      </c>
      <c r="AF83">
        <v>82</v>
      </c>
      <c r="AG83" s="4">
        <v>42.36</v>
      </c>
      <c r="AH83" s="4">
        <f t="shared" si="14"/>
        <v>21.08</v>
      </c>
      <c r="AI83" s="4">
        <v>20.079999999999998</v>
      </c>
      <c r="AJ83" s="4">
        <f t="shared" si="16"/>
        <v>0.38199999999999934</v>
      </c>
      <c r="AT83">
        <v>82</v>
      </c>
      <c r="AU83">
        <v>57.35</v>
      </c>
      <c r="AV83">
        <f t="shared" si="15"/>
        <v>122.49</v>
      </c>
      <c r="AW83">
        <v>25.49</v>
      </c>
      <c r="AX83" s="1">
        <f t="shared" si="17"/>
        <v>98.081999999999994</v>
      </c>
      <c r="BH83">
        <v>82</v>
      </c>
      <c r="BI83">
        <v>27.38</v>
      </c>
      <c r="BJ83">
        <f t="shared" si="18"/>
        <v>148.5</v>
      </c>
      <c r="BK83">
        <v>8.5</v>
      </c>
      <c r="BL83" s="1">
        <f t="shared" si="19"/>
        <v>139.07400000000001</v>
      </c>
      <c r="BT83">
        <v>82</v>
      </c>
      <c r="BU83">
        <v>188.84</v>
      </c>
      <c r="BV83">
        <f t="shared" si="20"/>
        <v>0</v>
      </c>
      <c r="BW83">
        <v>-4.63</v>
      </c>
      <c r="BX83">
        <f t="shared" si="23"/>
        <v>158.328</v>
      </c>
      <c r="BY83" t="s">
        <v>0</v>
      </c>
    </row>
    <row r="84" spans="1:77" x14ac:dyDescent="0.25">
      <c r="A84">
        <v>84</v>
      </c>
      <c r="B84">
        <v>121.8</v>
      </c>
      <c r="C84">
        <v>84</v>
      </c>
      <c r="D84">
        <f t="shared" si="21"/>
        <v>-10.800000000000125</v>
      </c>
      <c r="E84" s="1">
        <f t="shared" si="22"/>
        <v>-0.32000000000005002</v>
      </c>
      <c r="Q84">
        <v>83</v>
      </c>
      <c r="R84" s="4">
        <v>41.71</v>
      </c>
      <c r="S84" s="4">
        <f t="shared" si="13"/>
        <v>17.760000000000002</v>
      </c>
      <c r="T84" s="4">
        <v>17.760000000000002</v>
      </c>
      <c r="U84" s="4">
        <f t="shared" si="24"/>
        <v>-0.77399999999999947</v>
      </c>
      <c r="AF84">
        <v>83</v>
      </c>
      <c r="AG84" s="4">
        <v>43.41</v>
      </c>
      <c r="AH84" s="4">
        <f t="shared" si="14"/>
        <v>21.85</v>
      </c>
      <c r="AI84" s="4">
        <v>20.85</v>
      </c>
      <c r="AJ84" s="4">
        <f t="shared" si="16"/>
        <v>1.1540000000000006</v>
      </c>
      <c r="AT84">
        <v>83</v>
      </c>
      <c r="AU84">
        <v>58.5</v>
      </c>
      <c r="AV84">
        <f t="shared" si="15"/>
        <v>120.17</v>
      </c>
      <c r="AW84">
        <v>23.17</v>
      </c>
      <c r="AX84" s="1">
        <f t="shared" si="17"/>
        <v>96.536000000000001</v>
      </c>
      <c r="BH84">
        <v>83</v>
      </c>
      <c r="BI84">
        <v>28.11</v>
      </c>
      <c r="BJ84">
        <f t="shared" si="18"/>
        <v>154.66999999999999</v>
      </c>
      <c r="BK84">
        <v>14.67</v>
      </c>
      <c r="BL84" s="1">
        <f t="shared" si="19"/>
        <v>141.23400000000001</v>
      </c>
      <c r="BT84">
        <v>83</v>
      </c>
      <c r="BU84">
        <v>188.64</v>
      </c>
      <c r="BV84">
        <f t="shared" si="20"/>
        <v>0</v>
      </c>
      <c r="BW84">
        <v>-7.72</v>
      </c>
      <c r="BX84">
        <f t="shared" si="23"/>
        <v>152.76400000000001</v>
      </c>
      <c r="BY84" t="s">
        <v>0</v>
      </c>
    </row>
    <row r="85" spans="1:77" x14ac:dyDescent="0.25">
      <c r="A85">
        <v>85</v>
      </c>
      <c r="B85">
        <v>121.37</v>
      </c>
      <c r="C85">
        <v>85</v>
      </c>
      <c r="D85">
        <f t="shared" si="21"/>
        <v>-8.5999999999998522</v>
      </c>
      <c r="E85" s="1">
        <f t="shared" si="22"/>
        <v>0.44000000000005457</v>
      </c>
      <c r="Q85">
        <v>84</v>
      </c>
      <c r="R85" s="4">
        <v>42.79</v>
      </c>
      <c r="S85" s="4">
        <f t="shared" si="13"/>
        <v>21.63</v>
      </c>
      <c r="T85" s="4">
        <v>21.63</v>
      </c>
      <c r="U85" s="4">
        <f t="shared" si="24"/>
        <v>0.77399999999999947</v>
      </c>
      <c r="AF85">
        <v>84</v>
      </c>
      <c r="AG85" s="4">
        <v>44.37</v>
      </c>
      <c r="AH85" s="4">
        <f t="shared" si="14"/>
        <v>20.309999999999999</v>
      </c>
      <c r="AI85" s="4">
        <v>19.309999999999999</v>
      </c>
      <c r="AJ85" s="4">
        <f t="shared" si="16"/>
        <v>0.6919999999999995</v>
      </c>
      <c r="AT85">
        <v>84</v>
      </c>
      <c r="AU85">
        <v>59.51</v>
      </c>
      <c r="AV85">
        <f t="shared" si="15"/>
        <v>117.08</v>
      </c>
      <c r="AW85">
        <v>20.079999999999998</v>
      </c>
      <c r="AX85" s="1">
        <f t="shared" si="17"/>
        <v>96.382000000000005</v>
      </c>
      <c r="BH85">
        <v>84</v>
      </c>
      <c r="BI85">
        <v>28.58</v>
      </c>
      <c r="BJ85">
        <f t="shared" si="18"/>
        <v>149.27000000000001</v>
      </c>
      <c r="BK85">
        <v>9.27</v>
      </c>
      <c r="BL85" s="1">
        <f t="shared" si="19"/>
        <v>138.91999999999999</v>
      </c>
      <c r="BT85">
        <v>84</v>
      </c>
      <c r="BU85">
        <v>188.49</v>
      </c>
      <c r="BV85">
        <f t="shared" si="20"/>
        <v>0</v>
      </c>
      <c r="BW85">
        <v>-6.18</v>
      </c>
      <c r="BX85">
        <f t="shared" si="23"/>
        <v>154.61600000000001</v>
      </c>
      <c r="BY85" t="s">
        <v>0</v>
      </c>
    </row>
    <row r="86" spans="1:77" x14ac:dyDescent="0.25">
      <c r="A86">
        <v>86</v>
      </c>
      <c r="B86">
        <v>120.83</v>
      </c>
      <c r="C86">
        <v>86</v>
      </c>
      <c r="D86">
        <f t="shared" si="21"/>
        <v>-10.800000000000125</v>
      </c>
      <c r="E86" s="1">
        <f t="shared" si="22"/>
        <v>-0.44000000000005457</v>
      </c>
      <c r="Q86">
        <v>85</v>
      </c>
      <c r="R86" s="4">
        <v>43.71</v>
      </c>
      <c r="S86" s="4">
        <f t="shared" si="13"/>
        <v>18.54</v>
      </c>
      <c r="T86" s="4">
        <v>18.54</v>
      </c>
      <c r="U86" s="4">
        <f t="shared" si="24"/>
        <v>-0.61799999999999999</v>
      </c>
      <c r="AF86">
        <v>85</v>
      </c>
      <c r="AG86" s="4">
        <v>45.26</v>
      </c>
      <c r="AH86" s="4">
        <f t="shared" si="14"/>
        <v>18.760000000000002</v>
      </c>
      <c r="AI86" s="4">
        <v>17.760000000000002</v>
      </c>
      <c r="AJ86" s="4">
        <f t="shared" si="16"/>
        <v>0.69000000000000061</v>
      </c>
      <c r="AT86">
        <v>85</v>
      </c>
      <c r="AU86">
        <v>60.9</v>
      </c>
      <c r="AV86">
        <f t="shared" si="15"/>
        <v>124.8</v>
      </c>
      <c r="AW86">
        <v>27.8</v>
      </c>
      <c r="AX86" s="1">
        <f t="shared" si="17"/>
        <v>98.543999999999997</v>
      </c>
      <c r="BH86">
        <v>85</v>
      </c>
      <c r="BI86">
        <v>29.08</v>
      </c>
      <c r="BJ86">
        <f t="shared" si="18"/>
        <v>150.04</v>
      </c>
      <c r="BK86">
        <v>10.039999999999999</v>
      </c>
      <c r="BL86" s="1">
        <f t="shared" si="19"/>
        <v>140.154</v>
      </c>
      <c r="BT86">
        <v>85</v>
      </c>
      <c r="BU86">
        <v>188.22</v>
      </c>
      <c r="BV86">
        <f t="shared" si="20"/>
        <v>0</v>
      </c>
      <c r="BW86">
        <v>-10.81</v>
      </c>
      <c r="BX86">
        <f t="shared" si="23"/>
        <v>152.148</v>
      </c>
      <c r="BY86" t="s">
        <v>0</v>
      </c>
    </row>
    <row r="87" spans="1:77" x14ac:dyDescent="0.25">
      <c r="A87">
        <v>87</v>
      </c>
      <c r="B87">
        <v>120.68</v>
      </c>
      <c r="C87">
        <v>87</v>
      </c>
      <c r="D87">
        <f t="shared" si="21"/>
        <v>-2.9999999999998295</v>
      </c>
      <c r="E87" s="1">
        <f t="shared" si="22"/>
        <v>1.5600000000000591</v>
      </c>
      <c r="Q87">
        <v>86</v>
      </c>
      <c r="R87" s="4">
        <v>44.64</v>
      </c>
      <c r="S87" s="4">
        <f t="shared" si="13"/>
        <v>18.54</v>
      </c>
      <c r="T87" s="4">
        <v>18.54</v>
      </c>
      <c r="U87" s="4">
        <f t="shared" si="24"/>
        <v>0</v>
      </c>
      <c r="AF87">
        <v>86</v>
      </c>
      <c r="AG87" s="4">
        <v>46.07</v>
      </c>
      <c r="AH87" s="4">
        <f t="shared" si="14"/>
        <v>17.22</v>
      </c>
      <c r="AI87" s="4">
        <v>16.22</v>
      </c>
      <c r="AJ87" s="4">
        <f t="shared" si="16"/>
        <v>0.6919999999999995</v>
      </c>
      <c r="AT87">
        <v>86</v>
      </c>
      <c r="AU87">
        <v>61.94</v>
      </c>
      <c r="AV87">
        <f t="shared" si="15"/>
        <v>117.85</v>
      </c>
      <c r="AW87">
        <v>20.85</v>
      </c>
      <c r="AX87" s="1">
        <f t="shared" si="17"/>
        <v>95.61</v>
      </c>
      <c r="BH87">
        <v>86</v>
      </c>
      <c r="BI87">
        <v>29.54</v>
      </c>
      <c r="BJ87">
        <f t="shared" si="18"/>
        <v>149.27000000000001</v>
      </c>
      <c r="BK87">
        <v>9.27</v>
      </c>
      <c r="BL87" s="1">
        <f t="shared" si="19"/>
        <v>139.846</v>
      </c>
      <c r="BT87">
        <v>86</v>
      </c>
      <c r="BU87">
        <v>187.99</v>
      </c>
      <c r="BV87">
        <f t="shared" si="20"/>
        <v>0</v>
      </c>
      <c r="BW87">
        <v>-9.27</v>
      </c>
      <c r="BX87">
        <f t="shared" si="23"/>
        <v>154.61600000000001</v>
      </c>
      <c r="BY87" t="s">
        <v>0</v>
      </c>
    </row>
    <row r="88" spans="1:77" x14ac:dyDescent="0.25">
      <c r="A88">
        <v>88</v>
      </c>
      <c r="B88">
        <v>120.56</v>
      </c>
      <c r="C88">
        <v>88</v>
      </c>
      <c r="D88">
        <f t="shared" si="21"/>
        <v>-2.4000000000000909</v>
      </c>
      <c r="E88" s="1">
        <f t="shared" si="22"/>
        <v>0.1199999999999477</v>
      </c>
      <c r="Q88">
        <v>87</v>
      </c>
      <c r="R88" s="4">
        <v>45.61</v>
      </c>
      <c r="S88" s="4">
        <f t="shared" si="13"/>
        <v>19.309999999999999</v>
      </c>
      <c r="T88" s="4">
        <v>19.309999999999999</v>
      </c>
      <c r="U88" s="4">
        <f t="shared" si="24"/>
        <v>0.15399999999999991</v>
      </c>
      <c r="AF88">
        <v>87</v>
      </c>
      <c r="AG88" s="4">
        <v>47.23</v>
      </c>
      <c r="AH88" s="4">
        <f t="shared" si="14"/>
        <v>24.17</v>
      </c>
      <c r="AI88" s="4">
        <v>23.17</v>
      </c>
      <c r="AJ88" s="4">
        <f t="shared" si="16"/>
        <v>2.3900000000000006</v>
      </c>
      <c r="AT88">
        <v>87</v>
      </c>
      <c r="AU88">
        <v>62.95</v>
      </c>
      <c r="AV88">
        <f t="shared" si="15"/>
        <v>117.08</v>
      </c>
      <c r="AW88">
        <v>20.079999999999998</v>
      </c>
      <c r="AX88" s="1">
        <f t="shared" si="17"/>
        <v>96.846000000000004</v>
      </c>
      <c r="BH88">
        <v>87</v>
      </c>
      <c r="BI88">
        <v>30.04</v>
      </c>
      <c r="BJ88">
        <f t="shared" si="18"/>
        <v>150.04</v>
      </c>
      <c r="BK88">
        <v>10.039999999999999</v>
      </c>
      <c r="BL88" s="1">
        <f t="shared" si="19"/>
        <v>140.154</v>
      </c>
      <c r="BT88">
        <v>87</v>
      </c>
      <c r="BU88">
        <v>187.72</v>
      </c>
      <c r="BV88">
        <f t="shared" si="20"/>
        <v>0</v>
      </c>
      <c r="BW88">
        <v>-10.81</v>
      </c>
      <c r="BX88">
        <f t="shared" si="23"/>
        <v>153.38399999999999</v>
      </c>
      <c r="BY88" t="s">
        <v>0</v>
      </c>
    </row>
    <row r="89" spans="1:77" x14ac:dyDescent="0.25">
      <c r="A89">
        <v>89</v>
      </c>
      <c r="B89">
        <v>119.79</v>
      </c>
      <c r="C89">
        <v>89</v>
      </c>
      <c r="D89">
        <f t="shared" si="21"/>
        <v>-15.39999999999992</v>
      </c>
      <c r="E89" s="1">
        <f t="shared" si="22"/>
        <v>-2.5999999999999659</v>
      </c>
      <c r="Q89">
        <v>88</v>
      </c>
      <c r="R89" s="4">
        <v>46.69</v>
      </c>
      <c r="S89" s="4">
        <f t="shared" si="13"/>
        <v>21.63</v>
      </c>
      <c r="T89" s="4">
        <v>21.63</v>
      </c>
      <c r="U89" s="4">
        <f t="shared" si="24"/>
        <v>0.46400000000000008</v>
      </c>
      <c r="AF89">
        <v>88</v>
      </c>
      <c r="AG89" s="4">
        <v>48.54</v>
      </c>
      <c r="AH89" s="4">
        <f t="shared" si="14"/>
        <v>27.26</v>
      </c>
      <c r="AI89" s="4">
        <v>26.26</v>
      </c>
      <c r="AJ89" s="4">
        <f t="shared" si="16"/>
        <v>1.6179999999999999</v>
      </c>
      <c r="AT89">
        <v>88</v>
      </c>
      <c r="AU89">
        <v>64.260000000000005</v>
      </c>
      <c r="AV89">
        <f t="shared" si="15"/>
        <v>123.26</v>
      </c>
      <c r="AW89">
        <v>26.26</v>
      </c>
      <c r="AX89" s="1">
        <f t="shared" si="17"/>
        <v>98.236000000000004</v>
      </c>
      <c r="BH89">
        <v>88</v>
      </c>
      <c r="BI89">
        <v>30.66</v>
      </c>
      <c r="BJ89">
        <f t="shared" si="18"/>
        <v>152.36000000000001</v>
      </c>
      <c r="BK89">
        <v>12.36</v>
      </c>
      <c r="BL89" s="1">
        <f t="shared" si="19"/>
        <v>140.464</v>
      </c>
      <c r="BT89">
        <v>88</v>
      </c>
      <c r="BU89">
        <v>187.56</v>
      </c>
      <c r="BV89">
        <f t="shared" si="20"/>
        <v>0</v>
      </c>
      <c r="BW89">
        <v>-6.18</v>
      </c>
      <c r="BX89">
        <f t="shared" si="23"/>
        <v>155.852</v>
      </c>
      <c r="BY89" t="s">
        <v>0</v>
      </c>
    </row>
    <row r="90" spans="1:77" x14ac:dyDescent="0.25">
      <c r="A90">
        <v>90</v>
      </c>
      <c r="B90">
        <v>119.25</v>
      </c>
      <c r="C90">
        <v>90</v>
      </c>
      <c r="D90">
        <f t="shared" si="21"/>
        <v>-10.800000000000125</v>
      </c>
      <c r="E90" s="1">
        <f t="shared" si="22"/>
        <v>0.91999999999995907</v>
      </c>
      <c r="Q90">
        <v>89</v>
      </c>
      <c r="R90" s="4">
        <v>47.77</v>
      </c>
      <c r="S90" s="4">
        <f t="shared" si="13"/>
        <v>21.63</v>
      </c>
      <c r="T90" s="4">
        <v>21.63</v>
      </c>
      <c r="U90" s="4">
        <f t="shared" si="24"/>
        <v>0</v>
      </c>
      <c r="AF90">
        <v>89</v>
      </c>
      <c r="AG90" s="4">
        <v>49.55</v>
      </c>
      <c r="AH90" s="4">
        <f t="shared" si="14"/>
        <v>21.08</v>
      </c>
      <c r="AI90" s="4">
        <v>20.079999999999998</v>
      </c>
      <c r="AJ90" s="4">
        <f t="shared" si="16"/>
        <v>-0.23600000000000065</v>
      </c>
      <c r="AT90">
        <v>89</v>
      </c>
      <c r="AU90">
        <v>64.95</v>
      </c>
      <c r="AV90">
        <f t="shared" si="15"/>
        <v>110.9</v>
      </c>
      <c r="AW90">
        <v>13.9</v>
      </c>
      <c r="AX90" s="1">
        <f t="shared" si="17"/>
        <v>94.528000000000006</v>
      </c>
      <c r="BH90">
        <v>89</v>
      </c>
      <c r="BI90">
        <v>31.28</v>
      </c>
      <c r="BJ90">
        <f t="shared" si="18"/>
        <v>152.36000000000001</v>
      </c>
      <c r="BK90">
        <v>12.36</v>
      </c>
      <c r="BL90" s="1">
        <f t="shared" si="19"/>
        <v>140</v>
      </c>
      <c r="BT90">
        <v>89</v>
      </c>
      <c r="BU90">
        <v>187.33</v>
      </c>
      <c r="BV90">
        <f t="shared" si="20"/>
        <v>0</v>
      </c>
      <c r="BW90">
        <v>-9.27</v>
      </c>
      <c r="BX90">
        <f t="shared" si="23"/>
        <v>152.76400000000001</v>
      </c>
      <c r="BY90" t="s">
        <v>0</v>
      </c>
    </row>
    <row r="91" spans="1:77" x14ac:dyDescent="0.25">
      <c r="A91">
        <v>91</v>
      </c>
      <c r="B91">
        <v>118.82</v>
      </c>
      <c r="C91">
        <v>91</v>
      </c>
      <c r="D91">
        <f t="shared" si="21"/>
        <v>-8.6000000000001364</v>
      </c>
      <c r="E91" s="1">
        <f t="shared" si="22"/>
        <v>0.43999999999999773</v>
      </c>
      <c r="Q91">
        <v>90</v>
      </c>
      <c r="R91" s="4">
        <v>48.85</v>
      </c>
      <c r="S91" s="4">
        <f t="shared" si="13"/>
        <v>21.63</v>
      </c>
      <c r="T91" s="4">
        <v>21.63</v>
      </c>
      <c r="U91" s="4">
        <f t="shared" si="24"/>
        <v>0</v>
      </c>
      <c r="AF91">
        <v>90</v>
      </c>
      <c r="AG91" s="4">
        <v>50.59</v>
      </c>
      <c r="AH91" s="4">
        <f t="shared" si="14"/>
        <v>21.85</v>
      </c>
      <c r="AI91" s="4">
        <v>20.85</v>
      </c>
      <c r="AJ91" s="4">
        <f t="shared" si="16"/>
        <v>1.1540000000000006</v>
      </c>
      <c r="AT91">
        <v>90</v>
      </c>
      <c r="AU91">
        <v>66.069999999999993</v>
      </c>
      <c r="AV91">
        <f t="shared" si="15"/>
        <v>119.4</v>
      </c>
      <c r="AW91">
        <v>22.4</v>
      </c>
      <c r="AX91" s="1">
        <f t="shared" si="17"/>
        <v>98.7</v>
      </c>
      <c r="BH91">
        <v>90</v>
      </c>
      <c r="BI91">
        <v>31.82</v>
      </c>
      <c r="BJ91">
        <f t="shared" si="18"/>
        <v>150.81</v>
      </c>
      <c r="BK91">
        <v>10.81</v>
      </c>
      <c r="BL91" s="1">
        <f t="shared" si="19"/>
        <v>139.69</v>
      </c>
      <c r="BT91">
        <v>90</v>
      </c>
      <c r="BU91">
        <v>187.1</v>
      </c>
      <c r="BV91">
        <f t="shared" si="20"/>
        <v>0</v>
      </c>
      <c r="BW91">
        <v>-9.27</v>
      </c>
      <c r="BX91">
        <f t="shared" si="23"/>
        <v>154</v>
      </c>
      <c r="BY91" t="s">
        <v>0</v>
      </c>
    </row>
    <row r="92" spans="1:77" x14ac:dyDescent="0.25">
      <c r="A92">
        <v>92</v>
      </c>
      <c r="B92">
        <v>118.24</v>
      </c>
      <c r="C92">
        <v>92</v>
      </c>
      <c r="D92">
        <f t="shared" si="21"/>
        <v>-11.599999999999966</v>
      </c>
      <c r="E92" s="1">
        <f t="shared" si="22"/>
        <v>-0.59999999999996589</v>
      </c>
      <c r="Q92">
        <v>91</v>
      </c>
      <c r="R92" s="4">
        <v>49.89</v>
      </c>
      <c r="S92" s="4">
        <f t="shared" si="13"/>
        <v>20.85</v>
      </c>
      <c r="T92" s="4">
        <v>20.85</v>
      </c>
      <c r="U92" s="4">
        <f t="shared" si="24"/>
        <v>-0.15599999999999953</v>
      </c>
      <c r="AF92">
        <v>91</v>
      </c>
      <c r="AG92" s="4">
        <v>51.71</v>
      </c>
      <c r="AH92" s="4">
        <f t="shared" si="14"/>
        <v>23.4</v>
      </c>
      <c r="AI92" s="4">
        <v>22.4</v>
      </c>
      <c r="AJ92" s="4">
        <f t="shared" si="16"/>
        <v>1.3099999999999994</v>
      </c>
      <c r="AT92">
        <v>91</v>
      </c>
      <c r="AU92">
        <v>67</v>
      </c>
      <c r="AV92">
        <f t="shared" si="15"/>
        <v>115.53999999999999</v>
      </c>
      <c r="AW92">
        <v>18.54</v>
      </c>
      <c r="AX92" s="1">
        <f t="shared" si="17"/>
        <v>96.227999999999994</v>
      </c>
      <c r="BH92">
        <v>91</v>
      </c>
      <c r="BI92">
        <v>32.25</v>
      </c>
      <c r="BJ92">
        <f t="shared" si="18"/>
        <v>148.5</v>
      </c>
      <c r="BK92">
        <v>8.5</v>
      </c>
      <c r="BL92" s="1">
        <f t="shared" si="19"/>
        <v>139.53800000000001</v>
      </c>
      <c r="BT92">
        <v>91</v>
      </c>
      <c r="BU92">
        <v>186.87</v>
      </c>
      <c r="BV92">
        <f t="shared" si="20"/>
        <v>0</v>
      </c>
      <c r="BW92">
        <v>-9.27</v>
      </c>
      <c r="BX92">
        <f t="shared" si="23"/>
        <v>154</v>
      </c>
      <c r="BY92" t="s">
        <v>0</v>
      </c>
    </row>
    <row r="93" spans="1:77" x14ac:dyDescent="0.25">
      <c r="A93">
        <v>93</v>
      </c>
      <c r="B93">
        <v>117.9</v>
      </c>
      <c r="C93">
        <v>93</v>
      </c>
      <c r="D93">
        <f t="shared" si="21"/>
        <v>-6.799999999999784</v>
      </c>
      <c r="E93" s="1">
        <f t="shared" si="22"/>
        <v>0.96000000000003638</v>
      </c>
      <c r="Q93">
        <v>92</v>
      </c>
      <c r="R93" s="4">
        <v>51.01</v>
      </c>
      <c r="S93" s="4">
        <f t="shared" si="13"/>
        <v>22.4</v>
      </c>
      <c r="T93" s="4">
        <v>22.4</v>
      </c>
      <c r="U93" s="4">
        <f t="shared" si="24"/>
        <v>0.30999999999999944</v>
      </c>
      <c r="AF93">
        <v>92</v>
      </c>
      <c r="AG93" s="4">
        <v>52.63</v>
      </c>
      <c r="AH93" s="4">
        <f t="shared" si="14"/>
        <v>19.54</v>
      </c>
      <c r="AI93" s="4">
        <v>18.54</v>
      </c>
      <c r="AJ93" s="4">
        <f t="shared" si="16"/>
        <v>0.22800000000000009</v>
      </c>
      <c r="AT93">
        <v>92</v>
      </c>
      <c r="AU93">
        <v>68.27</v>
      </c>
      <c r="AV93">
        <f t="shared" si="15"/>
        <v>122.49</v>
      </c>
      <c r="AW93">
        <v>25.49</v>
      </c>
      <c r="AX93" s="1">
        <f t="shared" si="17"/>
        <v>98.39</v>
      </c>
      <c r="BH93">
        <v>92</v>
      </c>
      <c r="BI93">
        <v>32.75</v>
      </c>
      <c r="BJ93">
        <f t="shared" si="18"/>
        <v>150.04</v>
      </c>
      <c r="BK93">
        <v>10.039999999999999</v>
      </c>
      <c r="BL93" s="1">
        <f t="shared" si="19"/>
        <v>140.30799999999999</v>
      </c>
      <c r="BT93">
        <v>92</v>
      </c>
      <c r="BU93">
        <v>186.71</v>
      </c>
      <c r="BV93">
        <f t="shared" si="20"/>
        <v>0</v>
      </c>
      <c r="BW93">
        <v>-6.18</v>
      </c>
      <c r="BX93">
        <f t="shared" si="23"/>
        <v>155.23599999999999</v>
      </c>
      <c r="BY93" t="s">
        <v>0</v>
      </c>
    </row>
    <row r="94" spans="1:77" x14ac:dyDescent="0.25">
      <c r="A94">
        <v>94</v>
      </c>
      <c r="B94">
        <v>117.43</v>
      </c>
      <c r="C94">
        <v>94</v>
      </c>
      <c r="D94">
        <f t="shared" si="21"/>
        <v>-9.3999999999999773</v>
      </c>
      <c r="E94" s="1">
        <f t="shared" si="22"/>
        <v>-0.52000000000003865</v>
      </c>
      <c r="Q94">
        <v>93</v>
      </c>
      <c r="R94" s="4">
        <v>52.25</v>
      </c>
      <c r="S94" s="4">
        <f t="shared" si="13"/>
        <v>24.71</v>
      </c>
      <c r="T94" s="4">
        <v>24.71</v>
      </c>
      <c r="U94" s="4">
        <f t="shared" si="24"/>
        <v>0.46200000000000047</v>
      </c>
      <c r="AF94">
        <v>93</v>
      </c>
      <c r="AG94" s="4">
        <v>53.56</v>
      </c>
      <c r="AH94" s="4">
        <f t="shared" si="14"/>
        <v>19.54</v>
      </c>
      <c r="AI94" s="4">
        <v>18.54</v>
      </c>
      <c r="AJ94" s="4">
        <f t="shared" si="16"/>
        <v>1</v>
      </c>
      <c r="AT94">
        <v>93</v>
      </c>
      <c r="AU94">
        <v>69.09</v>
      </c>
      <c r="AV94">
        <f t="shared" si="15"/>
        <v>113.22</v>
      </c>
      <c r="AW94">
        <v>16.22</v>
      </c>
      <c r="AX94" s="1">
        <f t="shared" si="17"/>
        <v>95.146000000000001</v>
      </c>
      <c r="BH94">
        <v>93</v>
      </c>
      <c r="BI94">
        <v>33.25</v>
      </c>
      <c r="BJ94">
        <f t="shared" si="18"/>
        <v>150.04</v>
      </c>
      <c r="BK94">
        <v>10.039999999999999</v>
      </c>
      <c r="BL94" s="1">
        <f t="shared" si="19"/>
        <v>140</v>
      </c>
      <c r="BT94">
        <v>93</v>
      </c>
      <c r="BU94">
        <v>186.52</v>
      </c>
      <c r="BV94">
        <f t="shared" si="20"/>
        <v>0</v>
      </c>
      <c r="BW94">
        <v>-7.72</v>
      </c>
      <c r="BX94">
        <f t="shared" si="23"/>
        <v>153.38399999999999</v>
      </c>
      <c r="BY94" t="s">
        <v>0</v>
      </c>
    </row>
    <row r="95" spans="1:77" x14ac:dyDescent="0.25">
      <c r="A95">
        <v>95</v>
      </c>
      <c r="B95">
        <v>116.89</v>
      </c>
      <c r="C95">
        <v>95</v>
      </c>
      <c r="D95">
        <f t="shared" si="21"/>
        <v>-10.800000000000125</v>
      </c>
      <c r="E95" s="1">
        <f t="shared" si="22"/>
        <v>-0.28000000000002956</v>
      </c>
      <c r="Q95">
        <v>94</v>
      </c>
      <c r="R95" s="4">
        <v>53.41</v>
      </c>
      <c r="S95" s="4">
        <f t="shared" si="13"/>
        <v>23.17</v>
      </c>
      <c r="T95" s="4">
        <v>23.17</v>
      </c>
      <c r="U95" s="4">
        <f t="shared" si="24"/>
        <v>-0.30799999999999983</v>
      </c>
      <c r="AF95">
        <v>94</v>
      </c>
      <c r="AG95" s="4">
        <v>54.84</v>
      </c>
      <c r="AH95" s="4">
        <f t="shared" si="14"/>
        <v>26.49</v>
      </c>
      <c r="AI95" s="4">
        <v>25.49</v>
      </c>
      <c r="AJ95" s="4">
        <f t="shared" si="16"/>
        <v>2.3899999999999997</v>
      </c>
      <c r="AT95">
        <v>94</v>
      </c>
      <c r="AU95">
        <v>70.239999999999995</v>
      </c>
      <c r="AV95">
        <f t="shared" si="15"/>
        <v>120.17</v>
      </c>
      <c r="AW95">
        <v>23.17</v>
      </c>
      <c r="AX95" s="1">
        <f t="shared" si="17"/>
        <v>98.39</v>
      </c>
      <c r="BH95">
        <v>94</v>
      </c>
      <c r="BI95">
        <v>33.71</v>
      </c>
      <c r="BJ95">
        <f t="shared" si="18"/>
        <v>149.27000000000001</v>
      </c>
      <c r="BK95">
        <v>9.27</v>
      </c>
      <c r="BL95" s="1">
        <f t="shared" si="19"/>
        <v>139.846</v>
      </c>
      <c r="BT95">
        <v>94</v>
      </c>
      <c r="BU95">
        <v>186.6</v>
      </c>
      <c r="BV95">
        <f t="shared" si="20"/>
        <v>157.09</v>
      </c>
      <c r="BW95">
        <v>3.09</v>
      </c>
      <c r="BX95">
        <f t="shared" si="23"/>
        <v>158.32400000000001</v>
      </c>
      <c r="BY95" t="s">
        <v>0</v>
      </c>
    </row>
    <row r="96" spans="1:77" x14ac:dyDescent="0.25">
      <c r="A96">
        <v>96</v>
      </c>
      <c r="B96">
        <v>116.39</v>
      </c>
      <c r="C96">
        <v>96</v>
      </c>
      <c r="D96">
        <f t="shared" si="21"/>
        <v>-10</v>
      </c>
      <c r="E96" s="1">
        <f t="shared" si="22"/>
        <v>0.16000000000002501</v>
      </c>
      <c r="Q96">
        <v>95</v>
      </c>
      <c r="R96" s="4">
        <v>54.37</v>
      </c>
      <c r="S96" s="4">
        <f t="shared" si="13"/>
        <v>19.309999999999999</v>
      </c>
      <c r="T96" s="4">
        <v>19.309999999999999</v>
      </c>
      <c r="U96" s="4">
        <f t="shared" si="24"/>
        <v>-0.77200000000000057</v>
      </c>
      <c r="AF96">
        <v>95</v>
      </c>
      <c r="AG96" s="4">
        <v>55.96</v>
      </c>
      <c r="AH96" s="4">
        <f t="shared" si="14"/>
        <v>23.4</v>
      </c>
      <c r="AI96" s="4">
        <v>22.4</v>
      </c>
      <c r="AJ96" s="4">
        <f t="shared" si="16"/>
        <v>0.38200000000000001</v>
      </c>
      <c r="AT96">
        <v>95</v>
      </c>
      <c r="AU96">
        <v>71.599999999999994</v>
      </c>
      <c r="AV96">
        <f t="shared" si="15"/>
        <v>124.03</v>
      </c>
      <c r="AW96">
        <v>27.03</v>
      </c>
      <c r="AX96" s="1">
        <f t="shared" si="17"/>
        <v>97.772000000000006</v>
      </c>
      <c r="BH96">
        <v>95</v>
      </c>
      <c r="BI96">
        <v>34.18</v>
      </c>
      <c r="BJ96">
        <f t="shared" si="18"/>
        <v>149.27000000000001</v>
      </c>
      <c r="BK96">
        <v>9.27</v>
      </c>
      <c r="BL96" s="1">
        <f t="shared" si="19"/>
        <v>140</v>
      </c>
      <c r="BT96">
        <v>95</v>
      </c>
      <c r="BU96">
        <v>186.91</v>
      </c>
      <c r="BV96">
        <f t="shared" si="20"/>
        <v>166.36</v>
      </c>
      <c r="BW96">
        <v>12.36</v>
      </c>
      <c r="BX96">
        <f t="shared" si="23"/>
        <v>157.708</v>
      </c>
      <c r="BY96" t="s">
        <v>0</v>
      </c>
    </row>
    <row r="97" spans="1:77" x14ac:dyDescent="0.25">
      <c r="A97">
        <v>97</v>
      </c>
      <c r="B97">
        <v>116.04</v>
      </c>
      <c r="C97">
        <v>97</v>
      </c>
      <c r="D97">
        <f t="shared" si="21"/>
        <v>-6.9999999999998863</v>
      </c>
      <c r="E97" s="1">
        <f t="shared" si="22"/>
        <v>0.60000000000002274</v>
      </c>
      <c r="Q97">
        <v>96</v>
      </c>
      <c r="R97" s="4">
        <v>55.42</v>
      </c>
      <c r="S97" s="4">
        <f t="shared" si="13"/>
        <v>20.85</v>
      </c>
      <c r="T97" s="4">
        <v>20.85</v>
      </c>
      <c r="U97" s="4">
        <f t="shared" si="24"/>
        <v>0.30800000000000055</v>
      </c>
      <c r="AF97">
        <v>96</v>
      </c>
      <c r="AG97" s="4">
        <v>56.96</v>
      </c>
      <c r="AH97" s="4">
        <f t="shared" si="14"/>
        <v>21.08</v>
      </c>
      <c r="AI97" s="4">
        <v>20.079999999999998</v>
      </c>
      <c r="AJ97" s="4">
        <f t="shared" si="16"/>
        <v>0.53599999999999992</v>
      </c>
      <c r="AT97">
        <v>96</v>
      </c>
      <c r="AU97">
        <v>73.72</v>
      </c>
      <c r="AV97">
        <f t="shared" si="15"/>
        <v>139.47999999999999</v>
      </c>
      <c r="AW97">
        <v>42.48</v>
      </c>
      <c r="AX97" s="1">
        <f t="shared" si="17"/>
        <v>100.09</v>
      </c>
      <c r="BH97">
        <v>96</v>
      </c>
      <c r="BI97">
        <v>34.64</v>
      </c>
      <c r="BJ97">
        <f t="shared" si="18"/>
        <v>149.27000000000001</v>
      </c>
      <c r="BK97">
        <v>9.27</v>
      </c>
      <c r="BL97" s="1">
        <f t="shared" si="19"/>
        <v>140</v>
      </c>
      <c r="BT97">
        <v>96</v>
      </c>
      <c r="BU97">
        <v>186.91</v>
      </c>
      <c r="BV97">
        <f t="shared" si="20"/>
        <v>0</v>
      </c>
      <c r="BW97">
        <v>0</v>
      </c>
      <c r="BX97">
        <f t="shared" si="23"/>
        <v>149.05600000000001</v>
      </c>
      <c r="BY97" t="s">
        <v>0</v>
      </c>
    </row>
    <row r="98" spans="1:77" x14ac:dyDescent="0.25">
      <c r="A98">
        <v>98</v>
      </c>
      <c r="B98">
        <v>115.58</v>
      </c>
      <c r="C98">
        <v>98</v>
      </c>
      <c r="D98">
        <f t="shared" si="21"/>
        <v>-9.2000000000001592</v>
      </c>
      <c r="E98" s="1">
        <f t="shared" si="22"/>
        <v>-0.44000000000005457</v>
      </c>
      <c r="Q98">
        <v>97</v>
      </c>
      <c r="R98" s="4">
        <v>56.57</v>
      </c>
      <c r="S98" s="4">
        <f t="shared" si="13"/>
        <v>23.17</v>
      </c>
      <c r="T98" s="4">
        <v>23.17</v>
      </c>
      <c r="U98" s="4">
        <f t="shared" si="24"/>
        <v>0.46400000000000008</v>
      </c>
      <c r="AF98">
        <v>97</v>
      </c>
      <c r="AG98" s="4">
        <v>58.23</v>
      </c>
      <c r="AH98" s="4">
        <f t="shared" si="14"/>
        <v>26.49</v>
      </c>
      <c r="AI98" s="4">
        <v>25.49</v>
      </c>
      <c r="AJ98" s="4">
        <f t="shared" si="16"/>
        <v>2.0819999999999999</v>
      </c>
      <c r="AT98">
        <v>97</v>
      </c>
      <c r="AU98">
        <v>76.349999999999994</v>
      </c>
      <c r="AV98">
        <f t="shared" si="15"/>
        <v>149.52000000000001</v>
      </c>
      <c r="AW98">
        <v>52.52</v>
      </c>
      <c r="AX98" s="1">
        <f t="shared" si="17"/>
        <v>99.007999999999996</v>
      </c>
      <c r="BH98">
        <v>97</v>
      </c>
      <c r="BI98">
        <v>35.06</v>
      </c>
      <c r="BJ98">
        <f t="shared" si="18"/>
        <v>148.5</v>
      </c>
      <c r="BK98">
        <v>8.5</v>
      </c>
      <c r="BL98" s="1">
        <f t="shared" si="19"/>
        <v>139.846</v>
      </c>
      <c r="BT98">
        <v>97</v>
      </c>
      <c r="BU98">
        <v>186.64</v>
      </c>
      <c r="BV98">
        <f t="shared" si="20"/>
        <v>0</v>
      </c>
      <c r="BW98">
        <v>-10.81</v>
      </c>
      <c r="BX98">
        <f t="shared" si="23"/>
        <v>149.67599999999999</v>
      </c>
      <c r="BY98" t="s">
        <v>0</v>
      </c>
    </row>
    <row r="99" spans="1:77" x14ac:dyDescent="0.25">
      <c r="A99">
        <v>99</v>
      </c>
      <c r="B99">
        <v>115.04</v>
      </c>
      <c r="C99">
        <v>99</v>
      </c>
      <c r="D99">
        <f t="shared" si="21"/>
        <v>-10.799999999999841</v>
      </c>
      <c r="E99" s="1">
        <f t="shared" si="22"/>
        <v>-0.31999999999993634</v>
      </c>
      <c r="Q99">
        <v>98</v>
      </c>
      <c r="R99" s="4">
        <v>57.46</v>
      </c>
      <c r="S99" s="4">
        <f t="shared" si="13"/>
        <v>17.760000000000002</v>
      </c>
      <c r="T99" s="4">
        <v>17.760000000000002</v>
      </c>
      <c r="U99" s="4">
        <f t="shared" si="24"/>
        <v>-1.0820000000000001</v>
      </c>
      <c r="AF99">
        <v>98</v>
      </c>
      <c r="AG99" s="4">
        <v>59.16</v>
      </c>
      <c r="AH99" s="4">
        <f t="shared" si="14"/>
        <v>19.54</v>
      </c>
      <c r="AI99" s="4">
        <v>18.54</v>
      </c>
      <c r="AJ99" s="4">
        <f t="shared" si="16"/>
        <v>-0.3899999999999999</v>
      </c>
      <c r="AT99">
        <v>98</v>
      </c>
      <c r="AU99">
        <v>77.58</v>
      </c>
      <c r="AV99">
        <f t="shared" si="15"/>
        <v>121.71000000000001</v>
      </c>
      <c r="AW99">
        <v>24.71</v>
      </c>
      <c r="AX99" s="1">
        <f t="shared" si="17"/>
        <v>91.438000000000002</v>
      </c>
      <c r="BH99">
        <v>98</v>
      </c>
      <c r="BI99">
        <v>35.68</v>
      </c>
      <c r="BJ99">
        <f t="shared" si="18"/>
        <v>152.36000000000001</v>
      </c>
      <c r="BK99">
        <v>12.36</v>
      </c>
      <c r="BL99" s="1">
        <f t="shared" si="19"/>
        <v>140.77199999999999</v>
      </c>
      <c r="BT99">
        <v>98</v>
      </c>
      <c r="BU99">
        <v>186.25</v>
      </c>
      <c r="BV99">
        <f t="shared" si="20"/>
        <v>0</v>
      </c>
      <c r="BW99">
        <v>-15.45</v>
      </c>
      <c r="BX99">
        <f t="shared" si="23"/>
        <v>152.14400000000001</v>
      </c>
      <c r="BY99" t="s">
        <v>0</v>
      </c>
    </row>
    <row r="100" spans="1:77" x14ac:dyDescent="0.25">
      <c r="A100">
        <v>100</v>
      </c>
      <c r="B100">
        <v>114.65</v>
      </c>
      <c r="C100">
        <v>100</v>
      </c>
      <c r="D100">
        <f t="shared" si="21"/>
        <v>-7.8000000000000114</v>
      </c>
      <c r="E100" s="1">
        <f t="shared" si="22"/>
        <v>0.59999999999996589</v>
      </c>
      <c r="Q100">
        <v>99</v>
      </c>
      <c r="R100" s="4">
        <v>58.62</v>
      </c>
      <c r="S100" s="4">
        <f t="shared" si="13"/>
        <v>23.17</v>
      </c>
      <c r="T100" s="4">
        <v>23.17</v>
      </c>
      <c r="U100" s="4">
        <f t="shared" si="24"/>
        <v>1.0820000000000001</v>
      </c>
      <c r="AF100">
        <v>99</v>
      </c>
      <c r="AG100" s="4">
        <v>60.32</v>
      </c>
      <c r="AH100" s="4">
        <f t="shared" si="14"/>
        <v>24.17</v>
      </c>
      <c r="AI100" s="4">
        <v>23.17</v>
      </c>
      <c r="AJ100" s="4">
        <f t="shared" si="16"/>
        <v>1.9260000000000006</v>
      </c>
      <c r="AT100">
        <v>99</v>
      </c>
      <c r="AU100">
        <v>78.78</v>
      </c>
      <c r="AV100">
        <f t="shared" si="15"/>
        <v>120.94</v>
      </c>
      <c r="AW100">
        <v>23.94</v>
      </c>
      <c r="AX100" s="1">
        <f t="shared" si="17"/>
        <v>96.846000000000004</v>
      </c>
      <c r="BH100">
        <v>99</v>
      </c>
      <c r="BI100">
        <v>36.11</v>
      </c>
      <c r="BJ100">
        <f t="shared" si="18"/>
        <v>148.5</v>
      </c>
      <c r="BK100">
        <v>8.5</v>
      </c>
      <c r="BL100" s="1">
        <f t="shared" si="19"/>
        <v>139.22800000000001</v>
      </c>
      <c r="BT100">
        <v>99</v>
      </c>
      <c r="BU100">
        <v>185.82</v>
      </c>
      <c r="BV100">
        <f t="shared" si="20"/>
        <v>0</v>
      </c>
      <c r="BW100">
        <v>-16.989999999999998</v>
      </c>
      <c r="BX100">
        <f t="shared" si="23"/>
        <v>153.38400000000001</v>
      </c>
      <c r="BY100" t="s">
        <v>0</v>
      </c>
    </row>
    <row r="101" spans="1:77" x14ac:dyDescent="0.25">
      <c r="A101">
        <v>101</v>
      </c>
      <c r="B101">
        <v>114.23</v>
      </c>
      <c r="C101">
        <v>101</v>
      </c>
      <c r="D101">
        <f t="shared" si="21"/>
        <v>-8.4000000000000341</v>
      </c>
      <c r="E101" s="1">
        <f t="shared" si="22"/>
        <v>-0.12000000000000455</v>
      </c>
      <c r="Q101">
        <v>100</v>
      </c>
      <c r="R101" s="4">
        <v>59.7</v>
      </c>
      <c r="S101" s="4">
        <f t="shared" si="13"/>
        <v>21.63</v>
      </c>
      <c r="T101" s="4">
        <v>21.63</v>
      </c>
      <c r="U101" s="4">
        <f t="shared" si="24"/>
        <v>-0.30800000000000055</v>
      </c>
      <c r="AF101">
        <v>100</v>
      </c>
      <c r="AG101" s="4">
        <v>61.21</v>
      </c>
      <c r="AH101" s="4">
        <f t="shared" si="14"/>
        <v>18.760000000000002</v>
      </c>
      <c r="AI101" s="4">
        <v>17.760000000000002</v>
      </c>
      <c r="AJ101" s="4">
        <f t="shared" si="16"/>
        <v>-8.2000000000000073E-2</v>
      </c>
      <c r="AT101">
        <v>100</v>
      </c>
      <c r="AU101">
        <v>79.900000000000006</v>
      </c>
      <c r="AV101">
        <f t="shared" si="15"/>
        <v>119.4</v>
      </c>
      <c r="AW101">
        <v>22.4</v>
      </c>
      <c r="AX101" s="1">
        <f t="shared" si="17"/>
        <v>96.691999999999993</v>
      </c>
      <c r="BH101">
        <v>100</v>
      </c>
      <c r="BI101">
        <v>36.72</v>
      </c>
      <c r="BJ101">
        <f t="shared" si="18"/>
        <v>152.36000000000001</v>
      </c>
      <c r="BK101">
        <v>12.36</v>
      </c>
      <c r="BL101" s="1">
        <f t="shared" si="19"/>
        <v>140.77199999999999</v>
      </c>
      <c r="BT101">
        <v>100</v>
      </c>
      <c r="BU101">
        <v>185.59</v>
      </c>
      <c r="BV101">
        <f t="shared" si="20"/>
        <v>0</v>
      </c>
      <c r="BW101">
        <v>-9.27</v>
      </c>
      <c r="BX101">
        <f t="shared" si="23"/>
        <v>157.08799999999999</v>
      </c>
      <c r="BY101" t="s">
        <v>0</v>
      </c>
    </row>
    <row r="102" spans="1:77" x14ac:dyDescent="0.25">
      <c r="A102">
        <v>102</v>
      </c>
      <c r="B102">
        <v>113.77</v>
      </c>
      <c r="C102">
        <v>102</v>
      </c>
      <c r="D102">
        <f t="shared" si="21"/>
        <v>-9.2000000000001592</v>
      </c>
      <c r="E102" s="1">
        <f t="shared" si="22"/>
        <v>-0.16000000000002501</v>
      </c>
      <c r="Q102">
        <v>101</v>
      </c>
      <c r="R102" s="4">
        <v>60.59</v>
      </c>
      <c r="S102" s="4">
        <f t="shared" si="13"/>
        <v>17.760000000000002</v>
      </c>
      <c r="T102" s="4">
        <v>17.760000000000002</v>
      </c>
      <c r="U102" s="4">
        <f t="shared" si="24"/>
        <v>-0.77399999999999947</v>
      </c>
      <c r="AF102">
        <v>101</v>
      </c>
      <c r="AG102" s="4">
        <v>62.52</v>
      </c>
      <c r="AH102" s="4">
        <f t="shared" si="14"/>
        <v>27.26</v>
      </c>
      <c r="AI102" s="4">
        <v>26.26</v>
      </c>
      <c r="AJ102" s="4">
        <f t="shared" si="16"/>
        <v>2.7</v>
      </c>
      <c r="AT102">
        <v>101</v>
      </c>
      <c r="AU102">
        <v>80.86</v>
      </c>
      <c r="AV102">
        <f t="shared" si="15"/>
        <v>116.31</v>
      </c>
      <c r="AW102">
        <v>19.309999999999999</v>
      </c>
      <c r="AX102" s="1">
        <f t="shared" si="17"/>
        <v>96.382000000000005</v>
      </c>
      <c r="BH102">
        <v>101</v>
      </c>
      <c r="BI102">
        <v>37.270000000000003</v>
      </c>
      <c r="BJ102">
        <f t="shared" si="18"/>
        <v>150.81</v>
      </c>
      <c r="BK102">
        <v>10.81</v>
      </c>
      <c r="BL102" s="1">
        <f t="shared" si="19"/>
        <v>139.69</v>
      </c>
      <c r="BT102">
        <v>101</v>
      </c>
      <c r="BU102">
        <v>185.17</v>
      </c>
      <c r="BV102">
        <f t="shared" si="20"/>
        <v>0</v>
      </c>
      <c r="BW102">
        <v>-16.989999999999998</v>
      </c>
      <c r="BX102">
        <f t="shared" si="23"/>
        <v>150.91200000000001</v>
      </c>
      <c r="BY102" t="s">
        <v>0</v>
      </c>
    </row>
    <row r="103" spans="1:77" x14ac:dyDescent="0.25">
      <c r="A103">
        <v>103</v>
      </c>
      <c r="B103">
        <v>113.26</v>
      </c>
      <c r="C103">
        <v>103</v>
      </c>
      <c r="D103">
        <f t="shared" si="21"/>
        <v>-10.199999999999818</v>
      </c>
      <c r="E103" s="1">
        <f t="shared" si="22"/>
        <v>-0.19999999999993179</v>
      </c>
      <c r="Q103">
        <v>102</v>
      </c>
      <c r="R103" s="4">
        <v>61.86</v>
      </c>
      <c r="S103" s="4">
        <f t="shared" si="13"/>
        <v>25.49</v>
      </c>
      <c r="T103" s="4">
        <v>25.49</v>
      </c>
      <c r="U103" s="4">
        <f t="shared" si="24"/>
        <v>1.5459999999999994</v>
      </c>
      <c r="AF103">
        <v>102</v>
      </c>
      <c r="AG103" s="4">
        <v>64.3</v>
      </c>
      <c r="AH103" s="4">
        <f t="shared" si="14"/>
        <v>36.53</v>
      </c>
      <c r="AI103" s="4">
        <v>35.53</v>
      </c>
      <c r="AJ103" s="4">
        <f t="shared" si="16"/>
        <v>2.8540000000000001</v>
      </c>
      <c r="AT103">
        <v>102</v>
      </c>
      <c r="AU103">
        <v>82.02</v>
      </c>
      <c r="AV103">
        <f t="shared" si="15"/>
        <v>120.17</v>
      </c>
      <c r="AW103">
        <v>23.17</v>
      </c>
      <c r="AX103" s="1">
        <f t="shared" si="17"/>
        <v>97.772000000000006</v>
      </c>
      <c r="BH103">
        <v>102</v>
      </c>
      <c r="BI103">
        <v>38.04</v>
      </c>
      <c r="BJ103">
        <f t="shared" si="18"/>
        <v>155.44999999999999</v>
      </c>
      <c r="BK103">
        <v>15.45</v>
      </c>
      <c r="BL103" s="1">
        <f t="shared" si="19"/>
        <v>140.928</v>
      </c>
      <c r="BT103">
        <v>102</v>
      </c>
      <c r="BU103">
        <v>184.97</v>
      </c>
      <c r="BV103">
        <f t="shared" si="20"/>
        <v>0</v>
      </c>
      <c r="BW103">
        <v>-7.72</v>
      </c>
      <c r="BX103">
        <f t="shared" si="23"/>
        <v>157.708</v>
      </c>
      <c r="BY103" t="s">
        <v>0</v>
      </c>
    </row>
    <row r="104" spans="1:77" x14ac:dyDescent="0.25">
      <c r="A104">
        <v>104</v>
      </c>
      <c r="B104">
        <v>112.95</v>
      </c>
      <c r="C104">
        <v>104</v>
      </c>
      <c r="D104">
        <f t="shared" si="21"/>
        <v>-6.2000000000000455</v>
      </c>
      <c r="E104" s="1">
        <f t="shared" si="22"/>
        <v>0.79999999999995453</v>
      </c>
      <c r="Q104">
        <v>103</v>
      </c>
      <c r="R104" s="4">
        <v>62.68</v>
      </c>
      <c r="S104" s="4">
        <f t="shared" si="13"/>
        <v>16.22</v>
      </c>
      <c r="T104" s="4">
        <v>16.22</v>
      </c>
      <c r="U104" s="4">
        <f t="shared" si="24"/>
        <v>-1.8539999999999999</v>
      </c>
      <c r="AF104">
        <v>103</v>
      </c>
      <c r="AG104" s="4">
        <v>65.569999999999993</v>
      </c>
      <c r="AH104" s="4">
        <f t="shared" si="14"/>
        <v>26.49</v>
      </c>
      <c r="AI104" s="4">
        <v>25.49</v>
      </c>
      <c r="AJ104" s="4">
        <f t="shared" si="16"/>
        <v>-1.0080000000000005</v>
      </c>
      <c r="AT104">
        <v>103</v>
      </c>
      <c r="AU104">
        <v>83.03</v>
      </c>
      <c r="AV104">
        <f t="shared" si="15"/>
        <v>117.08</v>
      </c>
      <c r="AW104">
        <v>20.079999999999998</v>
      </c>
      <c r="AX104" s="1">
        <f t="shared" si="17"/>
        <v>96.382000000000005</v>
      </c>
      <c r="BH104">
        <v>103</v>
      </c>
      <c r="BI104">
        <v>38.659999999999997</v>
      </c>
      <c r="BJ104">
        <f t="shared" si="18"/>
        <v>152.36000000000001</v>
      </c>
      <c r="BK104">
        <v>12.36</v>
      </c>
      <c r="BL104" s="1">
        <f t="shared" si="19"/>
        <v>139.38200000000001</v>
      </c>
      <c r="BT104">
        <v>103</v>
      </c>
      <c r="BU104">
        <v>184.9</v>
      </c>
      <c r="BV104">
        <f t="shared" si="20"/>
        <v>0</v>
      </c>
      <c r="BW104">
        <v>-3.09</v>
      </c>
      <c r="BX104">
        <f t="shared" si="23"/>
        <v>155.852</v>
      </c>
      <c r="BY104" t="s">
        <v>0</v>
      </c>
    </row>
    <row r="105" spans="1:77" x14ac:dyDescent="0.25">
      <c r="A105">
        <v>105</v>
      </c>
      <c r="B105">
        <v>112.53</v>
      </c>
      <c r="C105">
        <v>105</v>
      </c>
      <c r="D105">
        <f t="shared" si="21"/>
        <v>-8.4000000000000341</v>
      </c>
      <c r="E105" s="1">
        <f t="shared" si="22"/>
        <v>-0.43999999999999773</v>
      </c>
      <c r="Q105">
        <v>104</v>
      </c>
      <c r="R105" s="4">
        <v>63.6</v>
      </c>
      <c r="S105" s="4">
        <f t="shared" si="13"/>
        <v>18.54</v>
      </c>
      <c r="T105" s="4">
        <v>18.54</v>
      </c>
      <c r="U105" s="4">
        <f t="shared" si="24"/>
        <v>0.46400000000000008</v>
      </c>
      <c r="AF105">
        <v>104</v>
      </c>
      <c r="AG105" s="4">
        <v>66.650000000000006</v>
      </c>
      <c r="AH105" s="4">
        <f t="shared" si="14"/>
        <v>22.63</v>
      </c>
      <c r="AI105" s="4">
        <v>21.63</v>
      </c>
      <c r="AJ105" s="4">
        <f t="shared" si="16"/>
        <v>0.22800000000000009</v>
      </c>
      <c r="AT105">
        <v>104</v>
      </c>
      <c r="AU105">
        <v>84.07</v>
      </c>
      <c r="AV105">
        <f t="shared" si="15"/>
        <v>117.85</v>
      </c>
      <c r="AW105">
        <v>20.85</v>
      </c>
      <c r="AX105" s="1">
        <f t="shared" si="17"/>
        <v>97.153999999999996</v>
      </c>
      <c r="BH105">
        <v>104</v>
      </c>
      <c r="BI105">
        <v>39.35</v>
      </c>
      <c r="BJ105">
        <f t="shared" si="18"/>
        <v>153.9</v>
      </c>
      <c r="BK105">
        <v>13.9</v>
      </c>
      <c r="BL105" s="1">
        <f t="shared" si="19"/>
        <v>140.30799999999999</v>
      </c>
      <c r="BT105">
        <v>104</v>
      </c>
      <c r="BU105">
        <v>184.67</v>
      </c>
      <c r="BV105">
        <f t="shared" si="20"/>
        <v>0</v>
      </c>
      <c r="BW105">
        <v>-9.27</v>
      </c>
      <c r="BX105">
        <f t="shared" si="23"/>
        <v>151.52799999999999</v>
      </c>
      <c r="BY105" t="s">
        <v>0</v>
      </c>
    </row>
    <row r="106" spans="1:77" x14ac:dyDescent="0.25">
      <c r="A106">
        <v>106</v>
      </c>
      <c r="B106">
        <v>112.72</v>
      </c>
      <c r="C106">
        <v>106</v>
      </c>
      <c r="D106">
        <f t="shared" si="21"/>
        <v>3.7999999999999545</v>
      </c>
      <c r="E106" s="1">
        <f t="shared" si="22"/>
        <v>2.4399999999999977</v>
      </c>
      <c r="Q106">
        <v>105</v>
      </c>
      <c r="R106" s="4">
        <v>64.8</v>
      </c>
      <c r="S106" s="4">
        <f t="shared" si="13"/>
        <v>23.94</v>
      </c>
      <c r="T106" s="4">
        <v>23.94</v>
      </c>
      <c r="U106" s="4">
        <f t="shared" si="24"/>
        <v>1.0800000000000005</v>
      </c>
      <c r="AF106">
        <v>105</v>
      </c>
      <c r="AG106" s="4">
        <v>67.7</v>
      </c>
      <c r="AH106" s="4">
        <f t="shared" si="14"/>
        <v>21.85</v>
      </c>
      <c r="AI106" s="4">
        <v>20.85</v>
      </c>
      <c r="AJ106" s="4">
        <f t="shared" si="16"/>
        <v>0.84400000000000053</v>
      </c>
      <c r="AT106">
        <v>105</v>
      </c>
      <c r="AU106">
        <v>84.96</v>
      </c>
      <c r="AV106">
        <f t="shared" si="15"/>
        <v>114.76</v>
      </c>
      <c r="AW106">
        <v>17.760000000000002</v>
      </c>
      <c r="AX106" s="1">
        <f t="shared" si="17"/>
        <v>96.382000000000005</v>
      </c>
      <c r="BH106">
        <v>105</v>
      </c>
      <c r="BI106">
        <v>39.93</v>
      </c>
      <c r="BJ106">
        <f t="shared" si="18"/>
        <v>151.59</v>
      </c>
      <c r="BK106">
        <v>11.59</v>
      </c>
      <c r="BL106" s="1">
        <f t="shared" si="19"/>
        <v>139.53800000000001</v>
      </c>
      <c r="BT106">
        <v>105</v>
      </c>
      <c r="BU106">
        <v>184.43</v>
      </c>
      <c r="BV106">
        <f t="shared" si="20"/>
        <v>0</v>
      </c>
      <c r="BW106">
        <v>-9.27</v>
      </c>
      <c r="BX106">
        <f t="shared" si="23"/>
        <v>154</v>
      </c>
      <c r="BY106" t="s">
        <v>0</v>
      </c>
    </row>
    <row r="107" spans="1:77" x14ac:dyDescent="0.25">
      <c r="A107">
        <v>107</v>
      </c>
      <c r="B107">
        <v>112.72</v>
      </c>
      <c r="C107">
        <v>107</v>
      </c>
      <c r="D107">
        <f t="shared" si="21"/>
        <v>0</v>
      </c>
      <c r="E107" s="1">
        <f t="shared" si="22"/>
        <v>-0.75999999999999091</v>
      </c>
      <c r="Q107">
        <v>106</v>
      </c>
      <c r="R107" s="4">
        <v>66.19</v>
      </c>
      <c r="S107" s="4">
        <f t="shared" si="13"/>
        <v>27.8</v>
      </c>
      <c r="T107" s="4">
        <v>27.8</v>
      </c>
      <c r="U107" s="4">
        <f t="shared" si="24"/>
        <v>0.77199999999999991</v>
      </c>
      <c r="AF107">
        <v>106</v>
      </c>
      <c r="AG107" s="4">
        <v>68.510000000000005</v>
      </c>
      <c r="AH107" s="4">
        <f t="shared" si="14"/>
        <v>17.22</v>
      </c>
      <c r="AI107" s="4">
        <v>16.22</v>
      </c>
      <c r="AJ107" s="4">
        <f t="shared" si="16"/>
        <v>7.3999999999999511E-2</v>
      </c>
      <c r="AT107">
        <v>106</v>
      </c>
      <c r="AU107">
        <v>85.85</v>
      </c>
      <c r="AV107">
        <f t="shared" si="15"/>
        <v>114.76</v>
      </c>
      <c r="AW107">
        <v>17.760000000000002</v>
      </c>
      <c r="AX107" s="1">
        <f t="shared" si="17"/>
        <v>97</v>
      </c>
      <c r="BH107">
        <v>106</v>
      </c>
      <c r="BI107">
        <v>40.619999999999997</v>
      </c>
      <c r="BJ107">
        <f t="shared" si="18"/>
        <v>153.9</v>
      </c>
      <c r="BK107">
        <v>13.9</v>
      </c>
      <c r="BL107" s="1">
        <f t="shared" si="19"/>
        <v>140.46199999999999</v>
      </c>
      <c r="BT107">
        <v>106</v>
      </c>
      <c r="BU107">
        <v>184.16</v>
      </c>
      <c r="BV107">
        <f t="shared" si="20"/>
        <v>0</v>
      </c>
      <c r="BW107">
        <v>-10.81</v>
      </c>
      <c r="BX107">
        <f t="shared" si="23"/>
        <v>153.38399999999999</v>
      </c>
      <c r="BY107" t="s">
        <v>0</v>
      </c>
    </row>
    <row r="108" spans="1:77" x14ac:dyDescent="0.25">
      <c r="A108">
        <v>108</v>
      </c>
      <c r="B108">
        <v>111.8</v>
      </c>
      <c r="C108">
        <v>108</v>
      </c>
      <c r="D108">
        <f t="shared" si="21"/>
        <v>-18.400000000000034</v>
      </c>
      <c r="E108" s="1">
        <f t="shared" si="22"/>
        <v>-3.6800000000000068</v>
      </c>
      <c r="Q108">
        <v>107</v>
      </c>
      <c r="R108" s="4">
        <v>67.459999999999994</v>
      </c>
      <c r="S108" s="4">
        <f t="shared" si="13"/>
        <v>25.49</v>
      </c>
      <c r="T108" s="4">
        <v>25.49</v>
      </c>
      <c r="U108" s="4">
        <f t="shared" si="24"/>
        <v>-0.46200000000000047</v>
      </c>
      <c r="AF108">
        <v>107</v>
      </c>
      <c r="AG108" s="4">
        <v>69.78</v>
      </c>
      <c r="AH108" s="4">
        <f t="shared" si="14"/>
        <v>26.49</v>
      </c>
      <c r="AI108" s="4">
        <v>25.49</v>
      </c>
      <c r="AJ108" s="4">
        <f t="shared" si="16"/>
        <v>2.8540000000000001</v>
      </c>
      <c r="AT108">
        <v>107</v>
      </c>
      <c r="AU108">
        <v>86.81</v>
      </c>
      <c r="AV108">
        <f t="shared" si="15"/>
        <v>116.31</v>
      </c>
      <c r="AW108">
        <v>19.309999999999999</v>
      </c>
      <c r="AX108" s="1">
        <f t="shared" si="17"/>
        <v>97.31</v>
      </c>
      <c r="BH108">
        <v>107</v>
      </c>
      <c r="BI108">
        <v>41.36</v>
      </c>
      <c r="BJ108">
        <f t="shared" si="18"/>
        <v>154.66999999999999</v>
      </c>
      <c r="BK108">
        <v>14.67</v>
      </c>
      <c r="BL108" s="1">
        <f t="shared" si="19"/>
        <v>140.154</v>
      </c>
      <c r="BT108">
        <v>107</v>
      </c>
      <c r="BU108">
        <v>183.93</v>
      </c>
      <c r="BV108">
        <f t="shared" si="20"/>
        <v>0</v>
      </c>
      <c r="BW108">
        <v>-9.27</v>
      </c>
      <c r="BX108">
        <f t="shared" si="23"/>
        <v>154.61600000000001</v>
      </c>
      <c r="BY108" t="s">
        <v>0</v>
      </c>
    </row>
    <row r="109" spans="1:77" x14ac:dyDescent="0.25">
      <c r="A109">
        <v>109</v>
      </c>
      <c r="B109">
        <v>111.1</v>
      </c>
      <c r="C109">
        <v>109</v>
      </c>
      <c r="D109">
        <f t="shared" si="21"/>
        <v>-14.000000000000057</v>
      </c>
      <c r="E109" s="1">
        <f t="shared" si="22"/>
        <v>0.87999999999999545</v>
      </c>
      <c r="Q109">
        <v>108</v>
      </c>
      <c r="R109" s="4">
        <v>68.430000000000007</v>
      </c>
      <c r="S109" s="4">
        <f t="shared" si="13"/>
        <v>19.309999999999999</v>
      </c>
      <c r="T109" s="4">
        <v>19.309999999999999</v>
      </c>
      <c r="U109" s="4">
        <f t="shared" si="24"/>
        <v>-1.236</v>
      </c>
      <c r="AF109">
        <v>108</v>
      </c>
      <c r="AG109" s="4">
        <v>70.75</v>
      </c>
      <c r="AH109" s="4">
        <f t="shared" si="14"/>
        <v>20.309999999999999</v>
      </c>
      <c r="AI109" s="4">
        <v>19.309999999999999</v>
      </c>
      <c r="AJ109" s="4">
        <f t="shared" si="16"/>
        <v>-0.23599999999999999</v>
      </c>
      <c r="AT109">
        <v>108</v>
      </c>
      <c r="AU109">
        <v>88.01</v>
      </c>
      <c r="AV109">
        <f t="shared" si="15"/>
        <v>120.94</v>
      </c>
      <c r="AW109">
        <v>23.94</v>
      </c>
      <c r="AX109" s="1">
        <f t="shared" si="17"/>
        <v>97.926000000000002</v>
      </c>
      <c r="BH109">
        <v>108</v>
      </c>
      <c r="BI109">
        <v>41.94</v>
      </c>
      <c r="BJ109">
        <f t="shared" si="18"/>
        <v>151.59</v>
      </c>
      <c r="BK109">
        <v>11.59</v>
      </c>
      <c r="BL109" s="1">
        <f t="shared" si="19"/>
        <v>139.38399999999999</v>
      </c>
      <c r="BT109">
        <v>108</v>
      </c>
      <c r="BU109">
        <v>183.7</v>
      </c>
      <c r="BV109">
        <f t="shared" si="20"/>
        <v>0</v>
      </c>
      <c r="BW109">
        <v>-9.27</v>
      </c>
      <c r="BX109">
        <f t="shared" si="23"/>
        <v>154</v>
      </c>
      <c r="BY109" t="s">
        <v>0</v>
      </c>
    </row>
    <row r="110" spans="1:77" x14ac:dyDescent="0.25">
      <c r="A110">
        <v>110</v>
      </c>
      <c r="B110">
        <v>110.64</v>
      </c>
      <c r="C110">
        <v>110</v>
      </c>
      <c r="D110">
        <f t="shared" si="21"/>
        <v>-9.1999999999998749</v>
      </c>
      <c r="E110" s="1">
        <f t="shared" si="22"/>
        <v>0.96000000000003638</v>
      </c>
      <c r="Q110">
        <v>109</v>
      </c>
      <c r="R110" s="4">
        <v>69.7</v>
      </c>
      <c r="S110" s="4">
        <f t="shared" si="13"/>
        <v>25.49</v>
      </c>
      <c r="T110" s="4">
        <v>25.49</v>
      </c>
      <c r="U110" s="4">
        <f t="shared" si="24"/>
        <v>1.236</v>
      </c>
      <c r="AF110">
        <v>109</v>
      </c>
      <c r="AG110" s="4">
        <v>71.87</v>
      </c>
      <c r="AH110" s="4">
        <f t="shared" si="14"/>
        <v>23.4</v>
      </c>
      <c r="AI110" s="4">
        <v>22.4</v>
      </c>
      <c r="AJ110" s="4">
        <f t="shared" si="16"/>
        <v>1.6179999999999999</v>
      </c>
      <c r="AT110">
        <v>109</v>
      </c>
      <c r="AU110">
        <v>89.24</v>
      </c>
      <c r="AV110">
        <f t="shared" si="15"/>
        <v>121.71000000000001</v>
      </c>
      <c r="AW110">
        <v>24.71</v>
      </c>
      <c r="AX110" s="1">
        <f t="shared" si="17"/>
        <v>97.153999999999996</v>
      </c>
      <c r="BH110">
        <v>109</v>
      </c>
      <c r="BI110">
        <v>42.56</v>
      </c>
      <c r="BJ110">
        <f t="shared" si="18"/>
        <v>152.36000000000001</v>
      </c>
      <c r="BK110">
        <v>12.36</v>
      </c>
      <c r="BL110" s="1">
        <f t="shared" si="19"/>
        <v>140.154</v>
      </c>
      <c r="BT110">
        <v>109</v>
      </c>
      <c r="BU110">
        <v>183.58</v>
      </c>
      <c r="BV110">
        <f t="shared" si="20"/>
        <v>0</v>
      </c>
      <c r="BW110">
        <v>-4.63</v>
      </c>
      <c r="BX110">
        <f t="shared" si="23"/>
        <v>155.85599999999999</v>
      </c>
      <c r="BY110" t="s">
        <v>0</v>
      </c>
    </row>
    <row r="111" spans="1:77" x14ac:dyDescent="0.25">
      <c r="A111">
        <v>111</v>
      </c>
      <c r="B111">
        <v>110.17</v>
      </c>
      <c r="C111">
        <v>111</v>
      </c>
      <c r="D111">
        <f t="shared" si="21"/>
        <v>-9.3999999999999773</v>
      </c>
      <c r="E111" s="1">
        <f t="shared" si="22"/>
        <v>-4.0000000000020464E-2</v>
      </c>
      <c r="Q111">
        <v>110</v>
      </c>
      <c r="R111" s="4">
        <v>70.59</v>
      </c>
      <c r="S111" s="4">
        <f t="shared" si="13"/>
        <v>17.760000000000002</v>
      </c>
      <c r="T111" s="4">
        <v>17.760000000000002</v>
      </c>
      <c r="U111" s="4">
        <f t="shared" si="24"/>
        <v>-1.5459999999999994</v>
      </c>
      <c r="AF111">
        <v>110</v>
      </c>
      <c r="AG111" s="4">
        <v>72.87</v>
      </c>
      <c r="AH111" s="4">
        <f t="shared" si="14"/>
        <v>21.08</v>
      </c>
      <c r="AI111" s="4">
        <v>20.079999999999998</v>
      </c>
      <c r="AJ111" s="4">
        <f t="shared" si="16"/>
        <v>0.53599999999999992</v>
      </c>
      <c r="AT111">
        <v>110</v>
      </c>
      <c r="AU111">
        <v>90.36</v>
      </c>
      <c r="AV111">
        <f t="shared" si="15"/>
        <v>119.4</v>
      </c>
      <c r="AW111">
        <v>22.4</v>
      </c>
      <c r="AX111" s="1">
        <f t="shared" si="17"/>
        <v>96.537999999999997</v>
      </c>
      <c r="BH111">
        <v>110</v>
      </c>
      <c r="BI111">
        <v>43.21</v>
      </c>
      <c r="BJ111">
        <f t="shared" si="18"/>
        <v>153.13</v>
      </c>
      <c r="BK111">
        <v>13.13</v>
      </c>
      <c r="BL111" s="1">
        <f t="shared" si="19"/>
        <v>140.154</v>
      </c>
      <c r="BT111">
        <v>110</v>
      </c>
      <c r="BU111">
        <v>183.31</v>
      </c>
      <c r="BV111">
        <f t="shared" si="20"/>
        <v>0</v>
      </c>
      <c r="BW111">
        <v>-10.81</v>
      </c>
      <c r="BX111">
        <f t="shared" si="23"/>
        <v>151.52799999999999</v>
      </c>
      <c r="BY111" t="s">
        <v>0</v>
      </c>
    </row>
    <row r="112" spans="1:77" x14ac:dyDescent="0.25">
      <c r="A112">
        <v>112</v>
      </c>
      <c r="B112">
        <v>109.75</v>
      </c>
      <c r="C112">
        <v>112</v>
      </c>
      <c r="D112">
        <f t="shared" si="21"/>
        <v>-8.4000000000000341</v>
      </c>
      <c r="E112" s="1">
        <f t="shared" si="22"/>
        <v>0.19999999999998863</v>
      </c>
      <c r="Q112">
        <v>111</v>
      </c>
      <c r="R112" s="4">
        <v>71.63</v>
      </c>
      <c r="S112" s="4">
        <f t="shared" si="13"/>
        <v>20.85</v>
      </c>
      <c r="T112" s="4">
        <v>20.85</v>
      </c>
      <c r="U112" s="4">
        <f t="shared" si="24"/>
        <v>0.61799999999999999</v>
      </c>
      <c r="AF112">
        <v>111</v>
      </c>
      <c r="AG112" s="4">
        <v>73.84</v>
      </c>
      <c r="AH112" s="4">
        <f t="shared" si="14"/>
        <v>20.309999999999999</v>
      </c>
      <c r="AI112" s="4">
        <v>19.309999999999999</v>
      </c>
      <c r="AJ112" s="4">
        <f t="shared" si="16"/>
        <v>0.84600000000000009</v>
      </c>
      <c r="AT112">
        <v>111</v>
      </c>
      <c r="AU112">
        <v>91.52</v>
      </c>
      <c r="AV112">
        <f t="shared" si="15"/>
        <v>120.17</v>
      </c>
      <c r="AW112">
        <v>23.17</v>
      </c>
      <c r="AX112" s="1">
        <f t="shared" si="17"/>
        <v>97.153999999999996</v>
      </c>
      <c r="BH112">
        <v>111</v>
      </c>
      <c r="BI112">
        <v>43.75</v>
      </c>
      <c r="BJ112">
        <f t="shared" si="18"/>
        <v>150.81</v>
      </c>
      <c r="BK112">
        <v>10.81</v>
      </c>
      <c r="BL112" s="1">
        <f t="shared" si="19"/>
        <v>139.536</v>
      </c>
      <c r="BT112">
        <v>111</v>
      </c>
      <c r="BU112">
        <v>183.16</v>
      </c>
      <c r="BV112">
        <f t="shared" si="20"/>
        <v>0</v>
      </c>
      <c r="BW112">
        <v>-6.18</v>
      </c>
      <c r="BX112">
        <f t="shared" si="23"/>
        <v>155.852</v>
      </c>
      <c r="BY112" t="s">
        <v>0</v>
      </c>
    </row>
    <row r="113" spans="1:77" x14ac:dyDescent="0.25">
      <c r="A113">
        <v>113</v>
      </c>
      <c r="B113">
        <v>109.36</v>
      </c>
      <c r="C113">
        <v>113</v>
      </c>
      <c r="D113">
        <f t="shared" si="21"/>
        <v>-7.8000000000000114</v>
      </c>
      <c r="E113" s="1">
        <f t="shared" si="22"/>
        <v>0.12000000000000455</v>
      </c>
      <c r="Q113">
        <v>112</v>
      </c>
      <c r="R113" s="4">
        <v>72.75</v>
      </c>
      <c r="S113" s="4">
        <f t="shared" si="13"/>
        <v>22.4</v>
      </c>
      <c r="T113" s="4">
        <v>22.4</v>
      </c>
      <c r="U113" s="4">
        <f t="shared" si="24"/>
        <v>0.30999999999999944</v>
      </c>
      <c r="AF113">
        <v>112</v>
      </c>
      <c r="AG113" s="4">
        <v>74.8</v>
      </c>
      <c r="AH113" s="4">
        <f t="shared" si="14"/>
        <v>20.309999999999999</v>
      </c>
      <c r="AI113" s="4">
        <v>19.309999999999999</v>
      </c>
      <c r="AJ113" s="4">
        <f t="shared" si="16"/>
        <v>1</v>
      </c>
      <c r="AT113">
        <v>112</v>
      </c>
      <c r="AU113">
        <v>92.68</v>
      </c>
      <c r="AV113">
        <f t="shared" si="15"/>
        <v>120.17</v>
      </c>
      <c r="AW113">
        <v>23.17</v>
      </c>
      <c r="AX113" s="1">
        <f t="shared" si="17"/>
        <v>97</v>
      </c>
      <c r="BH113">
        <v>112</v>
      </c>
      <c r="BI113">
        <v>44.45</v>
      </c>
      <c r="BJ113">
        <f t="shared" si="18"/>
        <v>153.9</v>
      </c>
      <c r="BK113">
        <v>13.9</v>
      </c>
      <c r="BL113" s="1">
        <f t="shared" si="19"/>
        <v>140.61799999999999</v>
      </c>
      <c r="BT113">
        <v>112</v>
      </c>
      <c r="BU113">
        <v>182.97</v>
      </c>
      <c r="BV113">
        <f t="shared" si="20"/>
        <v>0</v>
      </c>
      <c r="BW113">
        <v>-7.72</v>
      </c>
      <c r="BX113">
        <f t="shared" si="23"/>
        <v>153.38399999999999</v>
      </c>
      <c r="BY113" t="s">
        <v>0</v>
      </c>
    </row>
    <row r="114" spans="1:77" x14ac:dyDescent="0.25">
      <c r="A114">
        <v>114</v>
      </c>
      <c r="B114">
        <v>108.86</v>
      </c>
      <c r="C114">
        <v>114</v>
      </c>
      <c r="D114">
        <f t="shared" si="21"/>
        <v>-10</v>
      </c>
      <c r="E114" s="1">
        <f t="shared" si="22"/>
        <v>-0.43999999999999773</v>
      </c>
      <c r="Q114">
        <v>113</v>
      </c>
      <c r="R114" s="4">
        <v>73.64</v>
      </c>
      <c r="S114" s="4">
        <f t="shared" si="13"/>
        <v>17.760000000000002</v>
      </c>
      <c r="T114" s="4">
        <v>17.760000000000002</v>
      </c>
      <c r="U114" s="4">
        <f t="shared" si="24"/>
        <v>-0.92799999999999938</v>
      </c>
      <c r="AF114">
        <v>113</v>
      </c>
      <c r="AG114" s="4">
        <v>75.8</v>
      </c>
      <c r="AH114" s="4">
        <f t="shared" si="14"/>
        <v>21.08</v>
      </c>
      <c r="AI114" s="4">
        <v>20.079999999999998</v>
      </c>
      <c r="AJ114" s="4">
        <f t="shared" si="16"/>
        <v>1.1539999999999999</v>
      </c>
      <c r="AT114">
        <v>113</v>
      </c>
      <c r="AU114">
        <v>93.68</v>
      </c>
      <c r="AV114">
        <f t="shared" si="15"/>
        <v>117.08</v>
      </c>
      <c r="AW114">
        <v>20.079999999999998</v>
      </c>
      <c r="AX114" s="1">
        <f t="shared" si="17"/>
        <v>96.382000000000005</v>
      </c>
      <c r="BH114">
        <v>113</v>
      </c>
      <c r="BI114">
        <v>45.18</v>
      </c>
      <c r="BJ114">
        <f t="shared" si="18"/>
        <v>154.66999999999999</v>
      </c>
      <c r="BK114">
        <v>14.67</v>
      </c>
      <c r="BL114" s="1">
        <f t="shared" si="19"/>
        <v>140.154</v>
      </c>
      <c r="BT114">
        <v>113</v>
      </c>
      <c r="BU114">
        <v>182.74</v>
      </c>
      <c r="BV114">
        <f t="shared" si="20"/>
        <v>0</v>
      </c>
      <c r="BW114">
        <v>-9.27</v>
      </c>
      <c r="BX114">
        <f t="shared" si="23"/>
        <v>153.38</v>
      </c>
      <c r="BY114" t="s">
        <v>0</v>
      </c>
    </row>
    <row r="115" spans="1:77" x14ac:dyDescent="0.25">
      <c r="A115">
        <v>115</v>
      </c>
      <c r="B115">
        <v>108.4</v>
      </c>
      <c r="C115">
        <v>115</v>
      </c>
      <c r="D115">
        <f t="shared" si="21"/>
        <v>-9.1999999999998749</v>
      </c>
      <c r="E115" s="1">
        <f t="shared" si="22"/>
        <v>0.16000000000002501</v>
      </c>
      <c r="Q115">
        <v>114</v>
      </c>
      <c r="R115" s="4">
        <v>74.760000000000005</v>
      </c>
      <c r="S115" s="4">
        <f t="shared" si="13"/>
        <v>22.4</v>
      </c>
      <c r="T115" s="4">
        <v>22.4</v>
      </c>
      <c r="U115" s="4">
        <f t="shared" si="24"/>
        <v>0.92799999999999938</v>
      </c>
      <c r="AF115">
        <v>114</v>
      </c>
      <c r="AG115" s="4">
        <v>76.42</v>
      </c>
      <c r="AH115" s="4">
        <f t="shared" si="14"/>
        <v>13.36</v>
      </c>
      <c r="AI115" s="4">
        <v>12.36</v>
      </c>
      <c r="AJ115" s="4">
        <f t="shared" si="16"/>
        <v>-0.54399999999999982</v>
      </c>
      <c r="AT115">
        <v>114</v>
      </c>
      <c r="AU115">
        <v>95.07</v>
      </c>
      <c r="AV115">
        <f t="shared" si="15"/>
        <v>124.8</v>
      </c>
      <c r="AW115">
        <v>27.8</v>
      </c>
      <c r="AX115" s="1">
        <f t="shared" si="17"/>
        <v>98.543999999999997</v>
      </c>
      <c r="BH115">
        <v>114</v>
      </c>
      <c r="BI115">
        <v>46.26</v>
      </c>
      <c r="BJ115">
        <f t="shared" si="18"/>
        <v>161.63</v>
      </c>
      <c r="BK115">
        <v>21.63</v>
      </c>
      <c r="BL115" s="1">
        <f t="shared" si="19"/>
        <v>141.392</v>
      </c>
      <c r="BT115">
        <v>114</v>
      </c>
      <c r="BU115">
        <v>182.77</v>
      </c>
      <c r="BV115">
        <f t="shared" si="20"/>
        <v>155.54</v>
      </c>
      <c r="BW115">
        <v>1.54</v>
      </c>
      <c r="BX115">
        <f t="shared" si="23"/>
        <v>158.32400000000001</v>
      </c>
      <c r="BY115" t="s">
        <v>0</v>
      </c>
    </row>
    <row r="116" spans="1:77" x14ac:dyDescent="0.25">
      <c r="A116">
        <v>116</v>
      </c>
      <c r="B116">
        <v>107.97</v>
      </c>
      <c r="C116">
        <v>116</v>
      </c>
      <c r="D116">
        <f t="shared" si="21"/>
        <v>-8.6000000000001364</v>
      </c>
      <c r="E116" s="1">
        <f t="shared" si="22"/>
        <v>0.1199999999999477</v>
      </c>
      <c r="Q116">
        <v>115</v>
      </c>
      <c r="R116" s="4">
        <v>75.69</v>
      </c>
      <c r="S116" s="4">
        <f t="shared" si="13"/>
        <v>18.54</v>
      </c>
      <c r="T116" s="4">
        <v>18.54</v>
      </c>
      <c r="U116" s="4">
        <f t="shared" si="24"/>
        <v>-0.77199999999999991</v>
      </c>
      <c r="AF116">
        <v>115</v>
      </c>
      <c r="AG116" s="4">
        <v>77.39</v>
      </c>
      <c r="AH116" s="4">
        <f t="shared" si="14"/>
        <v>20.309999999999999</v>
      </c>
      <c r="AI116" s="4">
        <v>19.309999999999999</v>
      </c>
      <c r="AJ116" s="4">
        <f t="shared" si="16"/>
        <v>2.3899999999999997</v>
      </c>
      <c r="AT116">
        <v>115</v>
      </c>
      <c r="AU116">
        <v>96.12</v>
      </c>
      <c r="AV116">
        <f t="shared" si="15"/>
        <v>117.85</v>
      </c>
      <c r="AW116">
        <v>20.85</v>
      </c>
      <c r="AX116" s="1">
        <f t="shared" si="17"/>
        <v>95.61</v>
      </c>
      <c r="BH116">
        <v>115</v>
      </c>
      <c r="BI116">
        <v>47.11</v>
      </c>
      <c r="BJ116">
        <f t="shared" si="18"/>
        <v>156.99</v>
      </c>
      <c r="BK116">
        <v>16.989999999999998</v>
      </c>
      <c r="BL116" s="1">
        <f t="shared" si="19"/>
        <v>139.072</v>
      </c>
      <c r="BT116">
        <v>115</v>
      </c>
      <c r="BU116">
        <v>183.2</v>
      </c>
      <c r="BV116">
        <f t="shared" si="20"/>
        <v>170.99</v>
      </c>
      <c r="BW116">
        <v>16.989999999999998</v>
      </c>
      <c r="BX116">
        <f t="shared" si="23"/>
        <v>160.18</v>
      </c>
      <c r="BY116" t="s">
        <v>0</v>
      </c>
    </row>
    <row r="117" spans="1:77" x14ac:dyDescent="0.25">
      <c r="A117">
        <v>117</v>
      </c>
      <c r="B117">
        <v>107.59</v>
      </c>
      <c r="C117">
        <v>117</v>
      </c>
      <c r="D117">
        <f t="shared" si="21"/>
        <v>-7.5999999999999091</v>
      </c>
      <c r="E117" s="1">
        <f t="shared" si="22"/>
        <v>0.20000000000004547</v>
      </c>
      <c r="Q117">
        <v>116</v>
      </c>
      <c r="R117" s="4">
        <v>76.62</v>
      </c>
      <c r="S117" s="4">
        <f t="shared" si="13"/>
        <v>18.54</v>
      </c>
      <c r="T117" s="4">
        <v>18.54</v>
      </c>
      <c r="U117" s="4">
        <f t="shared" si="24"/>
        <v>0</v>
      </c>
      <c r="AF117">
        <v>116</v>
      </c>
      <c r="AG117" s="4">
        <v>78.739999999999995</v>
      </c>
      <c r="AH117" s="4">
        <f t="shared" si="14"/>
        <v>28.03</v>
      </c>
      <c r="AI117" s="4">
        <v>27.03</v>
      </c>
      <c r="AJ117" s="4">
        <f t="shared" si="16"/>
        <v>2.5440000000000005</v>
      </c>
      <c r="AT117">
        <v>116</v>
      </c>
      <c r="AU117">
        <v>97.24</v>
      </c>
      <c r="AV117">
        <f t="shared" si="15"/>
        <v>119.4</v>
      </c>
      <c r="AW117">
        <v>22.4</v>
      </c>
      <c r="AX117" s="1">
        <f t="shared" si="17"/>
        <v>97.31</v>
      </c>
      <c r="BH117">
        <v>116</v>
      </c>
      <c r="BI117">
        <v>47.88</v>
      </c>
      <c r="BJ117">
        <f t="shared" si="18"/>
        <v>155.44999999999999</v>
      </c>
      <c r="BK117">
        <v>15.45</v>
      </c>
      <c r="BL117" s="1">
        <f t="shared" si="19"/>
        <v>139.69200000000001</v>
      </c>
      <c r="BT117">
        <v>116</v>
      </c>
      <c r="BU117">
        <v>183.43</v>
      </c>
      <c r="BV117">
        <f t="shared" si="20"/>
        <v>163.27000000000001</v>
      </c>
      <c r="BW117">
        <v>9.27</v>
      </c>
      <c r="BX117">
        <f t="shared" si="23"/>
        <v>150.91200000000001</v>
      </c>
      <c r="BY117" t="s">
        <v>0</v>
      </c>
    </row>
    <row r="118" spans="1:77" x14ac:dyDescent="0.25">
      <c r="A118">
        <v>118</v>
      </c>
      <c r="B118">
        <v>107.12</v>
      </c>
      <c r="C118">
        <v>118</v>
      </c>
      <c r="D118">
        <f t="shared" si="21"/>
        <v>-9.3999999999999773</v>
      </c>
      <c r="E118" s="1">
        <f t="shared" si="22"/>
        <v>-0.36000000000001364</v>
      </c>
      <c r="Q118">
        <v>117</v>
      </c>
      <c r="R118" s="4">
        <v>77.7</v>
      </c>
      <c r="S118" s="4">
        <f t="shared" si="13"/>
        <v>21.63</v>
      </c>
      <c r="T118" s="4">
        <v>21.63</v>
      </c>
      <c r="U118" s="4">
        <f t="shared" si="24"/>
        <v>0.61799999999999999</v>
      </c>
      <c r="AF118">
        <v>117</v>
      </c>
      <c r="AG118" s="4">
        <v>81.33</v>
      </c>
      <c r="AH118" s="4">
        <f t="shared" si="14"/>
        <v>52.75</v>
      </c>
      <c r="AI118" s="4">
        <v>51.75</v>
      </c>
      <c r="AJ118" s="4">
        <f t="shared" si="16"/>
        <v>5.944</v>
      </c>
      <c r="AT118">
        <v>117</v>
      </c>
      <c r="AU118">
        <v>98.43</v>
      </c>
      <c r="AV118">
        <f t="shared" si="15"/>
        <v>120.94</v>
      </c>
      <c r="AW118">
        <v>23.94</v>
      </c>
      <c r="AX118" s="1">
        <f t="shared" si="17"/>
        <v>97.308000000000007</v>
      </c>
      <c r="BH118">
        <v>117</v>
      </c>
      <c r="BI118">
        <v>48.54</v>
      </c>
      <c r="BJ118">
        <f t="shared" si="18"/>
        <v>153.13</v>
      </c>
      <c r="BK118">
        <v>13.13</v>
      </c>
      <c r="BL118" s="1">
        <f t="shared" si="19"/>
        <v>139.536</v>
      </c>
      <c r="BT118">
        <v>117</v>
      </c>
      <c r="BU118">
        <v>183.16</v>
      </c>
      <c r="BV118">
        <f t="shared" si="20"/>
        <v>0</v>
      </c>
      <c r="BW118">
        <v>-10.81</v>
      </c>
      <c r="BX118">
        <f t="shared" si="23"/>
        <v>145.96799999999999</v>
      </c>
      <c r="BY118" t="s">
        <v>0</v>
      </c>
    </row>
    <row r="119" spans="1:77" x14ac:dyDescent="0.25">
      <c r="A119">
        <v>119</v>
      </c>
      <c r="B119">
        <v>106.62</v>
      </c>
      <c r="C119">
        <v>119</v>
      </c>
      <c r="D119">
        <f t="shared" si="21"/>
        <v>-10</v>
      </c>
      <c r="E119" s="1">
        <f t="shared" si="22"/>
        <v>-0.12000000000000455</v>
      </c>
      <c r="Q119">
        <v>118</v>
      </c>
      <c r="R119" s="4">
        <v>78.430000000000007</v>
      </c>
      <c r="S119" s="4">
        <f t="shared" si="13"/>
        <v>14.67</v>
      </c>
      <c r="T119" s="4">
        <v>14.67</v>
      </c>
      <c r="U119" s="4">
        <f t="shared" si="24"/>
        <v>-1.3919999999999999</v>
      </c>
      <c r="AF119">
        <v>118</v>
      </c>
      <c r="AG119" s="4">
        <v>82.83</v>
      </c>
      <c r="AH119" s="4">
        <f t="shared" si="14"/>
        <v>31.12</v>
      </c>
      <c r="AI119" s="4">
        <v>30.12</v>
      </c>
      <c r="AJ119" s="4">
        <f t="shared" si="16"/>
        <v>-3.3259999999999996</v>
      </c>
      <c r="AT119">
        <v>118</v>
      </c>
      <c r="AU119">
        <v>99.67</v>
      </c>
      <c r="AV119">
        <f t="shared" si="15"/>
        <v>121.71000000000001</v>
      </c>
      <c r="AW119">
        <v>24.71</v>
      </c>
      <c r="AX119" s="1">
        <f t="shared" si="17"/>
        <v>97.153999999999996</v>
      </c>
      <c r="BH119">
        <v>118</v>
      </c>
      <c r="BI119">
        <v>49.28</v>
      </c>
      <c r="BJ119">
        <f t="shared" si="18"/>
        <v>154.66999999999999</v>
      </c>
      <c r="BK119">
        <v>14.67</v>
      </c>
      <c r="BL119" s="1">
        <f t="shared" si="19"/>
        <v>140.30799999999999</v>
      </c>
      <c r="BT119">
        <v>118</v>
      </c>
      <c r="BU119">
        <v>182.74</v>
      </c>
      <c r="BV119">
        <f t="shared" si="20"/>
        <v>0</v>
      </c>
      <c r="BW119">
        <v>-16.989999999999998</v>
      </c>
      <c r="BX119">
        <f t="shared" si="23"/>
        <v>151.52799999999999</v>
      </c>
      <c r="BY119" t="s">
        <v>0</v>
      </c>
    </row>
    <row r="120" spans="1:77" x14ac:dyDescent="0.25">
      <c r="A120">
        <v>120</v>
      </c>
      <c r="B120">
        <v>106.31</v>
      </c>
      <c r="C120">
        <v>120</v>
      </c>
      <c r="D120">
        <f t="shared" si="21"/>
        <v>-6.2000000000000455</v>
      </c>
      <c r="E120" s="1">
        <f t="shared" si="22"/>
        <v>0.75999999999999091</v>
      </c>
      <c r="Q120">
        <v>119</v>
      </c>
      <c r="R120" s="4">
        <v>79.900000000000006</v>
      </c>
      <c r="S120" s="4">
        <f t="shared" si="13"/>
        <v>29.35</v>
      </c>
      <c r="T120" s="4">
        <v>29.35</v>
      </c>
      <c r="U120" s="4">
        <f t="shared" si="24"/>
        <v>2.9360000000000004</v>
      </c>
      <c r="AF120">
        <v>119</v>
      </c>
      <c r="AG120" s="4">
        <v>84.07</v>
      </c>
      <c r="AH120" s="4">
        <f t="shared" si="14"/>
        <v>25.71</v>
      </c>
      <c r="AI120" s="4">
        <v>24.71</v>
      </c>
      <c r="AJ120" s="4">
        <f t="shared" si="16"/>
        <v>-8.2000000000000073E-2</v>
      </c>
      <c r="AT120">
        <v>119</v>
      </c>
      <c r="AU120">
        <v>101.6</v>
      </c>
      <c r="AV120">
        <f t="shared" si="15"/>
        <v>135.62</v>
      </c>
      <c r="AW120">
        <v>38.619999999999997</v>
      </c>
      <c r="AX120" s="1">
        <f t="shared" si="17"/>
        <v>99.781999999999996</v>
      </c>
      <c r="BH120">
        <v>119</v>
      </c>
      <c r="BI120">
        <v>50.01</v>
      </c>
      <c r="BJ120">
        <f t="shared" si="18"/>
        <v>154.66999999999999</v>
      </c>
      <c r="BK120">
        <v>14.67</v>
      </c>
      <c r="BL120" s="1">
        <f t="shared" si="19"/>
        <v>140</v>
      </c>
      <c r="BT120">
        <v>119</v>
      </c>
      <c r="BU120">
        <v>182.39</v>
      </c>
      <c r="BV120">
        <f t="shared" si="20"/>
        <v>0</v>
      </c>
      <c r="BW120">
        <v>-13.9</v>
      </c>
      <c r="BX120">
        <f t="shared" si="23"/>
        <v>155.23599999999999</v>
      </c>
      <c r="BY120" t="s">
        <v>0</v>
      </c>
    </row>
    <row r="121" spans="1:77" x14ac:dyDescent="0.25">
      <c r="A121">
        <v>121</v>
      </c>
      <c r="B121">
        <v>105.93</v>
      </c>
      <c r="C121">
        <v>121</v>
      </c>
      <c r="D121">
        <f t="shared" si="21"/>
        <v>-7.5999999999999091</v>
      </c>
      <c r="E121" s="1">
        <f t="shared" si="22"/>
        <v>-0.27999999999997272</v>
      </c>
      <c r="Q121">
        <v>120</v>
      </c>
      <c r="R121" s="4">
        <v>81.790000000000006</v>
      </c>
      <c r="S121" s="4">
        <f t="shared" si="13"/>
        <v>37.840000000000003</v>
      </c>
      <c r="T121" s="4">
        <v>37.840000000000003</v>
      </c>
      <c r="U121" s="4">
        <f t="shared" si="24"/>
        <v>1.6980000000000004</v>
      </c>
      <c r="AF121">
        <v>120</v>
      </c>
      <c r="AG121" s="4">
        <v>85.19</v>
      </c>
      <c r="AH121" s="4">
        <f t="shared" si="14"/>
        <v>23.4</v>
      </c>
      <c r="AI121" s="4">
        <v>22.4</v>
      </c>
      <c r="AJ121" s="4">
        <f t="shared" si="16"/>
        <v>0.53799999999999959</v>
      </c>
      <c r="AT121">
        <v>120</v>
      </c>
      <c r="AU121">
        <v>103.42</v>
      </c>
      <c r="AV121">
        <f t="shared" si="15"/>
        <v>133.30000000000001</v>
      </c>
      <c r="AW121">
        <v>36.299999999999997</v>
      </c>
      <c r="AX121" s="1">
        <f t="shared" si="17"/>
        <v>96.536000000000001</v>
      </c>
      <c r="BH121">
        <v>120</v>
      </c>
      <c r="BI121">
        <v>50.94</v>
      </c>
      <c r="BJ121">
        <f t="shared" si="18"/>
        <v>158.54</v>
      </c>
      <c r="BK121">
        <v>18.54</v>
      </c>
      <c r="BL121" s="1">
        <f t="shared" si="19"/>
        <v>140.774</v>
      </c>
      <c r="BT121">
        <v>120</v>
      </c>
      <c r="BU121">
        <v>182.04</v>
      </c>
      <c r="BV121">
        <f t="shared" si="20"/>
        <v>0</v>
      </c>
      <c r="BW121">
        <v>-13.9</v>
      </c>
      <c r="BX121">
        <f t="shared" si="23"/>
        <v>154</v>
      </c>
      <c r="BY121" t="s">
        <v>0</v>
      </c>
    </row>
    <row r="122" spans="1:77" x14ac:dyDescent="0.25">
      <c r="A122">
        <v>122</v>
      </c>
      <c r="B122">
        <v>105.54</v>
      </c>
      <c r="C122">
        <v>122</v>
      </c>
      <c r="D122">
        <f t="shared" si="21"/>
        <v>-7.8000000000000114</v>
      </c>
      <c r="E122" s="1">
        <f t="shared" si="22"/>
        <v>-4.0000000000020464E-2</v>
      </c>
      <c r="Q122">
        <v>121</v>
      </c>
      <c r="R122" s="4">
        <v>83.1</v>
      </c>
      <c r="S122" s="4">
        <f t="shared" si="13"/>
        <v>26.26</v>
      </c>
      <c r="T122" s="4">
        <v>26.26</v>
      </c>
      <c r="U122" s="4">
        <f t="shared" si="24"/>
        <v>-2.3160000000000003</v>
      </c>
      <c r="AF122">
        <v>121</v>
      </c>
      <c r="AG122" s="4">
        <v>86.04</v>
      </c>
      <c r="AH122" s="4">
        <f t="shared" si="14"/>
        <v>17.989999999999998</v>
      </c>
      <c r="AI122" s="4">
        <v>16.989999999999998</v>
      </c>
      <c r="AJ122" s="4">
        <f t="shared" si="16"/>
        <v>-8.2000000000000073E-2</v>
      </c>
      <c r="AT122">
        <v>121</v>
      </c>
      <c r="AU122">
        <v>104.46</v>
      </c>
      <c r="AV122">
        <f t="shared" si="15"/>
        <v>117.85</v>
      </c>
      <c r="AW122">
        <v>20.85</v>
      </c>
      <c r="AX122" s="1">
        <f t="shared" si="17"/>
        <v>93.91</v>
      </c>
      <c r="BH122">
        <v>121</v>
      </c>
      <c r="BI122">
        <v>51.75</v>
      </c>
      <c r="BJ122">
        <f t="shared" si="18"/>
        <v>156.22</v>
      </c>
      <c r="BK122">
        <v>16.22</v>
      </c>
      <c r="BL122" s="1">
        <f t="shared" si="19"/>
        <v>139.536</v>
      </c>
      <c r="BT122">
        <v>121</v>
      </c>
      <c r="BU122">
        <v>181.65</v>
      </c>
      <c r="BV122">
        <f t="shared" si="20"/>
        <v>0</v>
      </c>
      <c r="BW122">
        <v>-15.45</v>
      </c>
      <c r="BX122">
        <f t="shared" si="23"/>
        <v>153.38</v>
      </c>
      <c r="BY122" t="s">
        <v>0</v>
      </c>
    </row>
    <row r="123" spans="1:77" x14ac:dyDescent="0.25">
      <c r="A123">
        <v>123</v>
      </c>
      <c r="B123">
        <v>105.04</v>
      </c>
      <c r="C123">
        <v>123</v>
      </c>
      <c r="D123">
        <f t="shared" si="21"/>
        <v>-10</v>
      </c>
      <c r="E123" s="1">
        <f t="shared" si="22"/>
        <v>-0.43999999999999773</v>
      </c>
      <c r="Q123">
        <v>122</v>
      </c>
      <c r="R123" s="4">
        <v>84.18</v>
      </c>
      <c r="S123" s="4">
        <f t="shared" si="13"/>
        <v>21.63</v>
      </c>
      <c r="T123" s="4">
        <v>21.63</v>
      </c>
      <c r="U123" s="4">
        <f t="shared" si="24"/>
        <v>-0.92600000000000049</v>
      </c>
      <c r="AF123">
        <v>122</v>
      </c>
      <c r="AG123" s="4">
        <v>86.77</v>
      </c>
      <c r="AH123" s="4">
        <f t="shared" si="14"/>
        <v>15.67</v>
      </c>
      <c r="AI123" s="4">
        <v>14.67</v>
      </c>
      <c r="AJ123" s="4">
        <f t="shared" si="16"/>
        <v>0.53600000000000025</v>
      </c>
      <c r="AT123">
        <v>122</v>
      </c>
      <c r="AU123">
        <v>105.31</v>
      </c>
      <c r="AV123">
        <f t="shared" si="15"/>
        <v>113.99</v>
      </c>
      <c r="AW123">
        <v>16.989999999999998</v>
      </c>
      <c r="AX123" s="1">
        <f t="shared" si="17"/>
        <v>96.227999999999994</v>
      </c>
      <c r="BH123">
        <v>122</v>
      </c>
      <c r="BI123">
        <v>52.44</v>
      </c>
      <c r="BJ123">
        <f t="shared" si="18"/>
        <v>153.9</v>
      </c>
      <c r="BK123">
        <v>13.9</v>
      </c>
      <c r="BL123" s="1">
        <f t="shared" si="19"/>
        <v>139.536</v>
      </c>
      <c r="BT123">
        <v>122</v>
      </c>
      <c r="BU123">
        <v>181.38</v>
      </c>
      <c r="BV123">
        <f t="shared" si="20"/>
        <v>0</v>
      </c>
      <c r="BW123">
        <v>-10.81</v>
      </c>
      <c r="BX123">
        <f t="shared" si="23"/>
        <v>155.85599999999999</v>
      </c>
      <c r="BY123" t="s">
        <v>0</v>
      </c>
    </row>
    <row r="124" spans="1:77" x14ac:dyDescent="0.25">
      <c r="A124">
        <v>124</v>
      </c>
      <c r="B124">
        <v>104.69</v>
      </c>
      <c r="C124">
        <v>124</v>
      </c>
      <c r="D124">
        <f t="shared" si="21"/>
        <v>-7.0000000000001705</v>
      </c>
      <c r="E124" s="1">
        <f t="shared" si="22"/>
        <v>0.59999999999996589</v>
      </c>
      <c r="Q124">
        <v>123</v>
      </c>
      <c r="R124" s="4">
        <v>85.3</v>
      </c>
      <c r="S124" s="4">
        <f t="shared" si="13"/>
        <v>22.4</v>
      </c>
      <c r="T124" s="4">
        <v>22.4</v>
      </c>
      <c r="U124" s="4">
        <f t="shared" si="24"/>
        <v>0.15399999999999991</v>
      </c>
      <c r="AF124">
        <v>123</v>
      </c>
      <c r="AG124" s="4">
        <v>87.7</v>
      </c>
      <c r="AH124" s="4">
        <f t="shared" si="14"/>
        <v>19.54</v>
      </c>
      <c r="AI124" s="4">
        <v>18.54</v>
      </c>
      <c r="AJ124" s="4">
        <f t="shared" si="16"/>
        <v>1.7739999999999998</v>
      </c>
      <c r="AT124">
        <v>123</v>
      </c>
      <c r="AU124">
        <v>106.31</v>
      </c>
      <c r="AV124">
        <f t="shared" si="15"/>
        <v>117.08</v>
      </c>
      <c r="AW124">
        <v>20.079999999999998</v>
      </c>
      <c r="AX124" s="1">
        <f t="shared" si="17"/>
        <v>97.617999999999995</v>
      </c>
      <c r="BH124">
        <v>123</v>
      </c>
      <c r="BI124">
        <v>53.06</v>
      </c>
      <c r="BJ124">
        <f t="shared" si="18"/>
        <v>152.36000000000001</v>
      </c>
      <c r="BK124">
        <v>12.36</v>
      </c>
      <c r="BL124" s="1">
        <f t="shared" si="19"/>
        <v>139.69200000000001</v>
      </c>
      <c r="BT124">
        <v>123</v>
      </c>
      <c r="BU124">
        <v>181.27</v>
      </c>
      <c r="BV124">
        <f t="shared" si="20"/>
        <v>0</v>
      </c>
      <c r="BW124">
        <v>-4.63</v>
      </c>
      <c r="BX124">
        <f t="shared" si="23"/>
        <v>156.47200000000001</v>
      </c>
      <c r="BY124" t="s">
        <v>0</v>
      </c>
    </row>
    <row r="125" spans="1:77" x14ac:dyDescent="0.25">
      <c r="A125">
        <v>125</v>
      </c>
      <c r="B125">
        <v>104.42</v>
      </c>
      <c r="C125">
        <v>125</v>
      </c>
      <c r="D125">
        <f t="shared" si="21"/>
        <v>-5.3999999999999204</v>
      </c>
      <c r="E125" s="1">
        <f t="shared" si="22"/>
        <v>0.32000000000005002</v>
      </c>
      <c r="Q125">
        <v>124</v>
      </c>
      <c r="R125" s="4">
        <v>86.27</v>
      </c>
      <c r="S125" s="4">
        <f t="shared" si="13"/>
        <v>19.309999999999999</v>
      </c>
      <c r="T125" s="4">
        <v>19.309999999999999</v>
      </c>
      <c r="U125" s="4">
        <f t="shared" si="24"/>
        <v>-0.61799999999999999</v>
      </c>
      <c r="AF125">
        <v>124</v>
      </c>
      <c r="AG125" s="4">
        <v>88.55</v>
      </c>
      <c r="AH125" s="4">
        <f t="shared" si="14"/>
        <v>17.989999999999998</v>
      </c>
      <c r="AI125" s="4">
        <v>16.989999999999998</v>
      </c>
      <c r="AJ125" s="4">
        <f t="shared" si="16"/>
        <v>0.68999999999999984</v>
      </c>
      <c r="AT125">
        <v>124</v>
      </c>
      <c r="AU125">
        <v>107.28</v>
      </c>
      <c r="AV125">
        <f t="shared" si="15"/>
        <v>116.31</v>
      </c>
      <c r="AW125">
        <v>19.309999999999999</v>
      </c>
      <c r="AX125" s="1">
        <f t="shared" si="17"/>
        <v>96.846000000000004</v>
      </c>
      <c r="BH125">
        <v>124</v>
      </c>
      <c r="BI125">
        <v>53.75</v>
      </c>
      <c r="BJ125">
        <f t="shared" si="18"/>
        <v>153.9</v>
      </c>
      <c r="BK125">
        <v>13.9</v>
      </c>
      <c r="BL125" s="1">
        <f t="shared" si="19"/>
        <v>140.30799999999999</v>
      </c>
      <c r="BT125">
        <v>124</v>
      </c>
      <c r="BU125">
        <v>181.04</v>
      </c>
      <c r="BV125">
        <f t="shared" si="20"/>
        <v>0</v>
      </c>
      <c r="BW125">
        <v>-9.27</v>
      </c>
      <c r="BX125">
        <f t="shared" si="23"/>
        <v>152.14400000000001</v>
      </c>
      <c r="BY125" t="s">
        <v>0</v>
      </c>
    </row>
    <row r="126" spans="1:77" x14ac:dyDescent="0.25">
      <c r="A126">
        <v>126</v>
      </c>
      <c r="B126">
        <v>104.96</v>
      </c>
      <c r="C126">
        <v>126</v>
      </c>
      <c r="D126">
        <f t="shared" si="21"/>
        <v>10.799999999999841</v>
      </c>
      <c r="E126" s="1">
        <f t="shared" si="22"/>
        <v>3.2399999999999523</v>
      </c>
      <c r="Q126">
        <v>125</v>
      </c>
      <c r="R126" s="4">
        <v>87.16</v>
      </c>
      <c r="S126" s="4">
        <f t="shared" si="13"/>
        <v>17.760000000000002</v>
      </c>
      <c r="T126" s="4">
        <v>17.760000000000002</v>
      </c>
      <c r="U126" s="4">
        <f t="shared" si="24"/>
        <v>-0.30999999999999944</v>
      </c>
      <c r="AF126">
        <v>125</v>
      </c>
      <c r="AG126" s="4">
        <v>89.17</v>
      </c>
      <c r="AH126" s="4">
        <f t="shared" si="14"/>
        <v>13.36</v>
      </c>
      <c r="AI126" s="4">
        <v>12.36</v>
      </c>
      <c r="AJ126" s="4">
        <f t="shared" si="16"/>
        <v>7.4000000000000177E-2</v>
      </c>
      <c r="AT126">
        <v>125</v>
      </c>
      <c r="AU126">
        <v>108.47</v>
      </c>
      <c r="AV126">
        <f t="shared" si="15"/>
        <v>120.94</v>
      </c>
      <c r="AW126">
        <v>23.94</v>
      </c>
      <c r="AX126" s="1">
        <f t="shared" si="17"/>
        <v>97.926000000000002</v>
      </c>
      <c r="BH126">
        <v>125</v>
      </c>
      <c r="BI126">
        <v>54.57</v>
      </c>
      <c r="BJ126">
        <f t="shared" si="18"/>
        <v>156.22</v>
      </c>
      <c r="BK126">
        <v>16.22</v>
      </c>
      <c r="BL126" s="1">
        <f t="shared" si="19"/>
        <v>140.464</v>
      </c>
      <c r="BT126">
        <v>125</v>
      </c>
      <c r="BU126">
        <v>180.96</v>
      </c>
      <c r="BV126">
        <f t="shared" si="20"/>
        <v>0</v>
      </c>
      <c r="BW126">
        <v>-3.09</v>
      </c>
      <c r="BX126">
        <f t="shared" si="23"/>
        <v>156.47200000000001</v>
      </c>
      <c r="BY126" t="s">
        <v>0</v>
      </c>
    </row>
    <row r="127" spans="1:77" x14ac:dyDescent="0.25">
      <c r="A127">
        <v>127</v>
      </c>
      <c r="B127">
        <v>105.46</v>
      </c>
      <c r="C127">
        <v>127</v>
      </c>
      <c r="D127">
        <f t="shared" si="21"/>
        <v>10</v>
      </c>
      <c r="E127" s="1">
        <f t="shared" si="22"/>
        <v>-0.15999999999996817</v>
      </c>
      <c r="Q127">
        <v>126</v>
      </c>
      <c r="R127" s="4">
        <v>88.01</v>
      </c>
      <c r="S127" s="4">
        <f t="shared" si="13"/>
        <v>16.989999999999998</v>
      </c>
      <c r="T127" s="4">
        <v>16.989999999999998</v>
      </c>
      <c r="U127" s="4">
        <f t="shared" si="24"/>
        <v>-0.15400000000000064</v>
      </c>
      <c r="AF127">
        <v>126</v>
      </c>
      <c r="AG127" s="4">
        <v>90.02</v>
      </c>
      <c r="AH127" s="4">
        <f t="shared" si="14"/>
        <v>17.989999999999998</v>
      </c>
      <c r="AI127" s="4">
        <v>16.989999999999998</v>
      </c>
      <c r="AJ127" s="4">
        <f t="shared" si="16"/>
        <v>1.9259999999999997</v>
      </c>
      <c r="AT127">
        <v>126</v>
      </c>
      <c r="AU127">
        <v>109.71</v>
      </c>
      <c r="AV127">
        <f t="shared" si="15"/>
        <v>121.71000000000001</v>
      </c>
      <c r="AW127">
        <v>24.71</v>
      </c>
      <c r="AX127" s="1">
        <f t="shared" si="17"/>
        <v>97.153999999999996</v>
      </c>
      <c r="BH127">
        <v>126</v>
      </c>
      <c r="BI127">
        <v>55.49</v>
      </c>
      <c r="BJ127">
        <f t="shared" si="18"/>
        <v>158.54</v>
      </c>
      <c r="BK127">
        <v>18.54</v>
      </c>
      <c r="BL127" s="1">
        <f t="shared" si="19"/>
        <v>140.464</v>
      </c>
      <c r="BT127">
        <v>126</v>
      </c>
      <c r="BU127">
        <v>180.69</v>
      </c>
      <c r="BV127">
        <f t="shared" si="20"/>
        <v>0</v>
      </c>
      <c r="BW127">
        <v>-10.81</v>
      </c>
      <c r="BX127">
        <f t="shared" si="23"/>
        <v>150.91200000000001</v>
      </c>
      <c r="BY127" t="s">
        <v>0</v>
      </c>
    </row>
    <row r="128" spans="1:77" x14ac:dyDescent="0.25">
      <c r="A128">
        <v>128</v>
      </c>
      <c r="B128">
        <v>105.08</v>
      </c>
      <c r="C128">
        <v>128</v>
      </c>
      <c r="D128">
        <f t="shared" si="21"/>
        <v>-7.5999999999999091</v>
      </c>
      <c r="E128" s="1">
        <f t="shared" si="22"/>
        <v>-3.5199999999999818</v>
      </c>
      <c r="Q128">
        <v>127</v>
      </c>
      <c r="R128" s="4">
        <v>88.93</v>
      </c>
      <c r="S128" s="4">
        <f t="shared" si="13"/>
        <v>18.54</v>
      </c>
      <c r="T128" s="4">
        <v>18.54</v>
      </c>
      <c r="U128" s="4">
        <f t="shared" si="24"/>
        <v>0.31000000000000016</v>
      </c>
      <c r="AF128">
        <v>127</v>
      </c>
      <c r="AG128" s="4">
        <v>91.1</v>
      </c>
      <c r="AH128" s="4">
        <f t="shared" si="14"/>
        <v>22.63</v>
      </c>
      <c r="AI128" s="4">
        <v>21.63</v>
      </c>
      <c r="AJ128" s="4">
        <f t="shared" si="16"/>
        <v>1.9280000000000002</v>
      </c>
      <c r="AT128">
        <v>127</v>
      </c>
      <c r="AU128">
        <v>110.95</v>
      </c>
      <c r="AV128">
        <f t="shared" si="15"/>
        <v>121.71000000000001</v>
      </c>
      <c r="AW128">
        <v>24.71</v>
      </c>
      <c r="AX128" s="1">
        <f t="shared" si="17"/>
        <v>97</v>
      </c>
      <c r="BH128">
        <v>127</v>
      </c>
      <c r="BI128">
        <v>56.54</v>
      </c>
      <c r="BJ128">
        <f t="shared" si="18"/>
        <v>160.85</v>
      </c>
      <c r="BK128">
        <v>20.85</v>
      </c>
      <c r="BL128" s="1">
        <f t="shared" si="19"/>
        <v>140.46199999999999</v>
      </c>
      <c r="BT128">
        <v>127</v>
      </c>
      <c r="BU128">
        <v>180.46</v>
      </c>
      <c r="BV128">
        <f t="shared" si="20"/>
        <v>0</v>
      </c>
      <c r="BW128">
        <v>-9.27</v>
      </c>
      <c r="BX128">
        <f t="shared" si="23"/>
        <v>154.61600000000001</v>
      </c>
      <c r="BY128" t="s">
        <v>0</v>
      </c>
    </row>
    <row r="129" spans="1:77" x14ac:dyDescent="0.25">
      <c r="A129">
        <v>129</v>
      </c>
      <c r="B129">
        <v>104.42</v>
      </c>
      <c r="C129">
        <v>129</v>
      </c>
      <c r="D129">
        <f t="shared" si="21"/>
        <v>-13.199999999999932</v>
      </c>
      <c r="E129" s="1">
        <f t="shared" si="22"/>
        <v>-1.1200000000000045</v>
      </c>
      <c r="Q129">
        <v>128</v>
      </c>
      <c r="R129" s="4">
        <v>89.71</v>
      </c>
      <c r="S129" s="4">
        <f t="shared" si="13"/>
        <v>15.45</v>
      </c>
      <c r="T129" s="4">
        <v>15.45</v>
      </c>
      <c r="U129" s="4">
        <f t="shared" si="24"/>
        <v>-0.61799999999999999</v>
      </c>
      <c r="AF129">
        <v>128</v>
      </c>
      <c r="AG129" s="4">
        <v>92.18</v>
      </c>
      <c r="AH129" s="4">
        <f t="shared" si="14"/>
        <v>22.63</v>
      </c>
      <c r="AI129" s="4">
        <v>21.63</v>
      </c>
      <c r="AJ129" s="4">
        <f t="shared" si="16"/>
        <v>1</v>
      </c>
      <c r="AT129">
        <v>128</v>
      </c>
      <c r="AU129">
        <v>111.83</v>
      </c>
      <c r="AV129">
        <f t="shared" si="15"/>
        <v>114.76</v>
      </c>
      <c r="AW129">
        <v>17.760000000000002</v>
      </c>
      <c r="AX129" s="1">
        <f t="shared" si="17"/>
        <v>95.61</v>
      </c>
      <c r="BH129">
        <v>128</v>
      </c>
      <c r="BI129">
        <v>57.35</v>
      </c>
      <c r="BJ129">
        <f t="shared" si="18"/>
        <v>156.22</v>
      </c>
      <c r="BK129">
        <v>16.22</v>
      </c>
      <c r="BL129" s="1">
        <f t="shared" si="19"/>
        <v>139.07400000000001</v>
      </c>
      <c r="BT129">
        <v>128</v>
      </c>
      <c r="BU129">
        <v>180.19</v>
      </c>
      <c r="BV129">
        <f t="shared" si="20"/>
        <v>0</v>
      </c>
      <c r="BW129">
        <v>-10.81</v>
      </c>
      <c r="BX129">
        <f t="shared" si="23"/>
        <v>153.38399999999999</v>
      </c>
      <c r="BY129" t="s">
        <v>0</v>
      </c>
    </row>
    <row r="130" spans="1:77" x14ac:dyDescent="0.25">
      <c r="A130">
        <v>130</v>
      </c>
      <c r="B130">
        <v>103.69</v>
      </c>
      <c r="C130">
        <v>130</v>
      </c>
      <c r="D130">
        <f t="shared" si="21"/>
        <v>-14.60000000000008</v>
      </c>
      <c r="E130" s="1">
        <f t="shared" si="22"/>
        <v>-0.28000000000002956</v>
      </c>
      <c r="Q130">
        <v>129</v>
      </c>
      <c r="R130" s="4">
        <v>90.67</v>
      </c>
      <c r="S130" s="4">
        <f t="shared" ref="S130:S193" si="25">IF(T130&gt;0,T130+S$1,0)</f>
        <v>19.309999999999999</v>
      </c>
      <c r="T130" s="4">
        <v>19.309999999999999</v>
      </c>
      <c r="U130" s="4">
        <f t="shared" si="24"/>
        <v>0.77199999999999991</v>
      </c>
      <c r="AF130">
        <v>129</v>
      </c>
      <c r="AG130" s="4">
        <v>93.22</v>
      </c>
      <c r="AH130" s="4">
        <f t="shared" ref="AH130:AH193" si="26">IF(AI130&gt;0,AI130+AH$1,0)</f>
        <v>21.85</v>
      </c>
      <c r="AI130" s="4">
        <v>20.85</v>
      </c>
      <c r="AJ130" s="4">
        <f t="shared" si="16"/>
        <v>0.84400000000000053</v>
      </c>
      <c r="AT130">
        <v>129</v>
      </c>
      <c r="AU130">
        <v>113.22</v>
      </c>
      <c r="AV130">
        <f t="shared" ref="AV130:AV193" si="27">IF(AW130&gt;0,AW130+AV$1,0)</f>
        <v>124.8</v>
      </c>
      <c r="AW130">
        <v>27.8</v>
      </c>
      <c r="AX130" s="1">
        <f t="shared" si="17"/>
        <v>99.007999999999996</v>
      </c>
      <c r="BH130">
        <v>129</v>
      </c>
      <c r="BI130">
        <v>58.12</v>
      </c>
      <c r="BJ130">
        <f t="shared" si="18"/>
        <v>155.44999999999999</v>
      </c>
      <c r="BK130">
        <v>15.45</v>
      </c>
      <c r="BL130" s="1">
        <f t="shared" si="19"/>
        <v>139.846</v>
      </c>
      <c r="BT130">
        <v>129</v>
      </c>
      <c r="BU130">
        <v>179.95</v>
      </c>
      <c r="BV130">
        <f t="shared" si="20"/>
        <v>0</v>
      </c>
      <c r="BW130">
        <v>-9.27</v>
      </c>
      <c r="BX130">
        <f t="shared" si="23"/>
        <v>154.61600000000001</v>
      </c>
      <c r="BY130" t="s">
        <v>0</v>
      </c>
    </row>
    <row r="131" spans="1:77" x14ac:dyDescent="0.25">
      <c r="A131">
        <v>131</v>
      </c>
      <c r="B131">
        <v>102.68</v>
      </c>
      <c r="C131">
        <v>131</v>
      </c>
      <c r="D131">
        <f t="shared" si="21"/>
        <v>-20.199999999999818</v>
      </c>
      <c r="E131" s="1">
        <f t="shared" si="22"/>
        <v>-1.1199999999999477</v>
      </c>
      <c r="Q131">
        <v>130</v>
      </c>
      <c r="R131" s="4">
        <v>91.87</v>
      </c>
      <c r="S131" s="4">
        <f t="shared" si="25"/>
        <v>23.94</v>
      </c>
      <c r="T131" s="4">
        <v>23.94</v>
      </c>
      <c r="U131" s="4">
        <f t="shared" si="24"/>
        <v>0.92600000000000049</v>
      </c>
      <c r="AF131">
        <v>130</v>
      </c>
      <c r="AG131" s="4">
        <v>94.26</v>
      </c>
      <c r="AH131" s="4">
        <f t="shared" si="26"/>
        <v>21.85</v>
      </c>
      <c r="AI131" s="4">
        <v>20.85</v>
      </c>
      <c r="AJ131" s="4">
        <f t="shared" ref="AJ131:AJ194" si="28">(AI131-AI130)/5+AH$1</f>
        <v>1</v>
      </c>
      <c r="AT131">
        <v>130</v>
      </c>
      <c r="AU131">
        <v>114.38</v>
      </c>
      <c r="AV131">
        <f t="shared" si="27"/>
        <v>120.17</v>
      </c>
      <c r="AW131">
        <v>23.17</v>
      </c>
      <c r="AX131" s="1">
        <f t="shared" ref="AX131:AX194" si="29">(AW131-AW130)/5+AV$1</f>
        <v>96.073999999999998</v>
      </c>
      <c r="BH131">
        <v>130</v>
      </c>
      <c r="BI131">
        <v>58.77</v>
      </c>
      <c r="BJ131">
        <f t="shared" ref="BJ131:BJ194" si="30">IF(BK131&gt;0,BK131+BJ$1,0)</f>
        <v>153.13</v>
      </c>
      <c r="BK131">
        <v>13.13</v>
      </c>
      <c r="BL131" s="1">
        <f t="shared" ref="BL131:BL194" si="31">(BK131-BK130)/5+BJ$1</f>
        <v>139.536</v>
      </c>
      <c r="BT131">
        <v>130</v>
      </c>
      <c r="BU131">
        <v>179.72</v>
      </c>
      <c r="BV131">
        <f t="shared" ref="BV131:BV194" si="32">IF(BW131&gt;0,BW131+BV$1,0)</f>
        <v>0</v>
      </c>
      <c r="BW131">
        <v>-9.27</v>
      </c>
      <c r="BX131">
        <f t="shared" si="23"/>
        <v>154</v>
      </c>
      <c r="BY131" t="s">
        <v>0</v>
      </c>
    </row>
    <row r="132" spans="1:77" x14ac:dyDescent="0.25">
      <c r="A132">
        <v>132</v>
      </c>
      <c r="B132">
        <v>102.18</v>
      </c>
      <c r="C132">
        <v>132</v>
      </c>
      <c r="D132">
        <f t="shared" ref="D132:D195" si="33">(B132-B131)/0.05</f>
        <v>-10</v>
      </c>
      <c r="E132" s="1">
        <f t="shared" ref="E132:E195" si="34">(D132-D131)/5</f>
        <v>2.0399999999999636</v>
      </c>
      <c r="Q132">
        <v>131</v>
      </c>
      <c r="R132" s="4">
        <v>92.99</v>
      </c>
      <c r="S132" s="4">
        <f t="shared" si="25"/>
        <v>22.4</v>
      </c>
      <c r="T132" s="4">
        <v>22.4</v>
      </c>
      <c r="U132" s="4">
        <f t="shared" si="24"/>
        <v>-0.30800000000000055</v>
      </c>
      <c r="AF132">
        <v>131</v>
      </c>
      <c r="AG132" s="4">
        <v>95.15</v>
      </c>
      <c r="AH132" s="4">
        <f t="shared" si="26"/>
        <v>18.760000000000002</v>
      </c>
      <c r="AI132" s="4">
        <v>17.760000000000002</v>
      </c>
      <c r="AJ132" s="4">
        <f t="shared" si="28"/>
        <v>0.38200000000000001</v>
      </c>
      <c r="AT132">
        <v>131</v>
      </c>
      <c r="AU132">
        <v>115.66</v>
      </c>
      <c r="AV132">
        <f t="shared" si="27"/>
        <v>122.49</v>
      </c>
      <c r="AW132">
        <v>25.49</v>
      </c>
      <c r="AX132" s="1">
        <f t="shared" si="29"/>
        <v>97.463999999999999</v>
      </c>
      <c r="BH132">
        <v>131</v>
      </c>
      <c r="BI132">
        <v>59.62</v>
      </c>
      <c r="BJ132">
        <f t="shared" si="30"/>
        <v>156.99</v>
      </c>
      <c r="BK132">
        <v>16.989999999999998</v>
      </c>
      <c r="BL132" s="1">
        <f t="shared" si="31"/>
        <v>140.77199999999999</v>
      </c>
      <c r="BT132">
        <v>131</v>
      </c>
      <c r="BU132">
        <v>179.53</v>
      </c>
      <c r="BV132">
        <f t="shared" si="32"/>
        <v>0</v>
      </c>
      <c r="BW132">
        <v>-7.72</v>
      </c>
      <c r="BX132">
        <f t="shared" ref="BX132:BX195" si="35">BV$1+(BW132-BW131)/2.5</f>
        <v>154.62</v>
      </c>
      <c r="BY132" t="s">
        <v>0</v>
      </c>
    </row>
    <row r="133" spans="1:77" x14ac:dyDescent="0.25">
      <c r="A133">
        <v>133</v>
      </c>
      <c r="B133">
        <v>101.79</v>
      </c>
      <c r="C133">
        <v>133</v>
      </c>
      <c r="D133">
        <f t="shared" si="33"/>
        <v>-7.8000000000000114</v>
      </c>
      <c r="E133" s="1">
        <f t="shared" si="34"/>
        <v>0.43999999999999773</v>
      </c>
      <c r="Q133">
        <v>132</v>
      </c>
      <c r="R133" s="4">
        <v>94.15</v>
      </c>
      <c r="S133" s="4">
        <f t="shared" si="25"/>
        <v>23.17</v>
      </c>
      <c r="T133" s="4">
        <v>23.17</v>
      </c>
      <c r="U133" s="4">
        <f t="shared" si="24"/>
        <v>0.15400000000000064</v>
      </c>
      <c r="AF133">
        <v>132</v>
      </c>
      <c r="AG133" s="4">
        <v>97.55</v>
      </c>
      <c r="AH133" s="4">
        <f t="shared" si="26"/>
        <v>48.88</v>
      </c>
      <c r="AI133" s="4">
        <v>47.88</v>
      </c>
      <c r="AJ133" s="4">
        <f t="shared" si="28"/>
        <v>7.024</v>
      </c>
      <c r="AT133">
        <v>132</v>
      </c>
      <c r="AU133">
        <v>116.85</v>
      </c>
      <c r="AV133">
        <f t="shared" si="27"/>
        <v>120.94</v>
      </c>
      <c r="AW133">
        <v>23.94</v>
      </c>
      <c r="AX133" s="1">
        <f t="shared" si="29"/>
        <v>96.69</v>
      </c>
      <c r="BH133">
        <v>132</v>
      </c>
      <c r="BI133">
        <v>60.47</v>
      </c>
      <c r="BJ133">
        <f t="shared" si="30"/>
        <v>156.99</v>
      </c>
      <c r="BK133">
        <v>16.989999999999998</v>
      </c>
      <c r="BL133" s="1">
        <f t="shared" si="31"/>
        <v>140</v>
      </c>
      <c r="BT133">
        <v>132</v>
      </c>
      <c r="BU133">
        <v>179.34</v>
      </c>
      <c r="BV133">
        <f t="shared" si="32"/>
        <v>0</v>
      </c>
      <c r="BW133">
        <v>-7.72</v>
      </c>
      <c r="BX133">
        <f t="shared" si="35"/>
        <v>154</v>
      </c>
      <c r="BY133" t="s">
        <v>0</v>
      </c>
    </row>
    <row r="134" spans="1:77" x14ac:dyDescent="0.25">
      <c r="A134">
        <v>134</v>
      </c>
      <c r="B134">
        <v>101.29</v>
      </c>
      <c r="C134">
        <v>134</v>
      </c>
      <c r="D134">
        <f t="shared" si="33"/>
        <v>-10</v>
      </c>
      <c r="E134" s="1">
        <f t="shared" si="34"/>
        <v>-0.43999999999999773</v>
      </c>
      <c r="Q134">
        <v>133</v>
      </c>
      <c r="R134" s="4">
        <v>95.62</v>
      </c>
      <c r="S134" s="4">
        <f t="shared" si="25"/>
        <v>29.35</v>
      </c>
      <c r="T134" s="4">
        <v>29.35</v>
      </c>
      <c r="U134" s="4">
        <f t="shared" ref="U134:U197" si="36">(T134-T133)/5</f>
        <v>1.236</v>
      </c>
      <c r="AF134">
        <v>133</v>
      </c>
      <c r="AG134" s="4">
        <v>99.82</v>
      </c>
      <c r="AH134" s="4">
        <f t="shared" si="26"/>
        <v>46.57</v>
      </c>
      <c r="AI134" s="4">
        <v>45.57</v>
      </c>
      <c r="AJ134" s="4">
        <f t="shared" si="28"/>
        <v>0.53799999999999959</v>
      </c>
      <c r="AT134">
        <v>133</v>
      </c>
      <c r="AU134">
        <v>117.94</v>
      </c>
      <c r="AV134">
        <f t="shared" si="27"/>
        <v>118.63</v>
      </c>
      <c r="AW134">
        <v>21.63</v>
      </c>
      <c r="AX134" s="1">
        <f t="shared" si="29"/>
        <v>96.537999999999997</v>
      </c>
      <c r="BH134">
        <v>133</v>
      </c>
      <c r="BI134">
        <v>61.36</v>
      </c>
      <c r="BJ134">
        <f t="shared" si="30"/>
        <v>157.76</v>
      </c>
      <c r="BK134">
        <v>17.760000000000002</v>
      </c>
      <c r="BL134" s="1">
        <f t="shared" si="31"/>
        <v>140.154</v>
      </c>
      <c r="BT134">
        <v>133</v>
      </c>
      <c r="BU134">
        <v>179.14</v>
      </c>
      <c r="BV134">
        <f t="shared" si="32"/>
        <v>0</v>
      </c>
      <c r="BW134">
        <v>-7.72</v>
      </c>
      <c r="BX134">
        <f t="shared" si="35"/>
        <v>154</v>
      </c>
      <c r="BY134" t="s">
        <v>0</v>
      </c>
    </row>
    <row r="135" spans="1:77" x14ac:dyDescent="0.25">
      <c r="A135">
        <v>135</v>
      </c>
      <c r="B135">
        <v>100.79</v>
      </c>
      <c r="C135">
        <v>135</v>
      </c>
      <c r="D135">
        <f t="shared" si="33"/>
        <v>-10</v>
      </c>
      <c r="E135" s="1">
        <f t="shared" si="34"/>
        <v>0</v>
      </c>
      <c r="Q135">
        <v>134</v>
      </c>
      <c r="R135" s="4">
        <v>97.16</v>
      </c>
      <c r="S135" s="4">
        <f t="shared" si="25"/>
        <v>30.89</v>
      </c>
      <c r="T135" s="4">
        <v>30.89</v>
      </c>
      <c r="U135" s="4">
        <f t="shared" si="36"/>
        <v>0.30799999999999983</v>
      </c>
      <c r="AF135">
        <v>134</v>
      </c>
      <c r="AG135" s="4">
        <v>100.98</v>
      </c>
      <c r="AH135" s="4">
        <f t="shared" si="26"/>
        <v>24.17</v>
      </c>
      <c r="AI135" s="4">
        <v>23.17</v>
      </c>
      <c r="AJ135" s="4">
        <f t="shared" si="28"/>
        <v>-3.4799999999999995</v>
      </c>
      <c r="AT135">
        <v>134</v>
      </c>
      <c r="AU135">
        <v>119.13</v>
      </c>
      <c r="AV135">
        <f t="shared" si="27"/>
        <v>120.94</v>
      </c>
      <c r="AW135">
        <v>23.94</v>
      </c>
      <c r="AX135" s="1">
        <f t="shared" si="29"/>
        <v>97.462000000000003</v>
      </c>
      <c r="BH135">
        <v>134</v>
      </c>
      <c r="BI135">
        <v>61.98</v>
      </c>
      <c r="BJ135">
        <f t="shared" si="30"/>
        <v>152.36000000000001</v>
      </c>
      <c r="BK135">
        <v>12.36</v>
      </c>
      <c r="BL135" s="1">
        <f t="shared" si="31"/>
        <v>138.91999999999999</v>
      </c>
      <c r="BT135">
        <v>134</v>
      </c>
      <c r="BU135">
        <v>179.11</v>
      </c>
      <c r="BV135">
        <f t="shared" si="32"/>
        <v>0</v>
      </c>
      <c r="BW135">
        <v>-1.54</v>
      </c>
      <c r="BX135">
        <f t="shared" si="35"/>
        <v>156.47200000000001</v>
      </c>
      <c r="BY135" t="s">
        <v>0</v>
      </c>
    </row>
    <row r="136" spans="1:77" x14ac:dyDescent="0.25">
      <c r="A136">
        <v>136</v>
      </c>
      <c r="B136">
        <v>100.33</v>
      </c>
      <c r="C136">
        <v>136</v>
      </c>
      <c r="D136">
        <f t="shared" si="33"/>
        <v>-9.2000000000001592</v>
      </c>
      <c r="E136" s="1">
        <f t="shared" si="34"/>
        <v>0.15999999999996817</v>
      </c>
      <c r="Q136">
        <v>135</v>
      </c>
      <c r="R136" s="4">
        <v>98.32</v>
      </c>
      <c r="S136" s="4">
        <f t="shared" si="25"/>
        <v>23.17</v>
      </c>
      <c r="T136" s="4">
        <v>23.17</v>
      </c>
      <c r="U136" s="4">
        <f t="shared" si="36"/>
        <v>-1.5439999999999998</v>
      </c>
      <c r="AF136">
        <v>135</v>
      </c>
      <c r="AG136" s="4">
        <v>101.91</v>
      </c>
      <c r="AH136" s="4">
        <f t="shared" si="26"/>
        <v>19.54</v>
      </c>
      <c r="AI136" s="4">
        <v>18.54</v>
      </c>
      <c r="AJ136" s="4">
        <f t="shared" si="28"/>
        <v>7.3999999999999511E-2</v>
      </c>
      <c r="AT136">
        <v>135</v>
      </c>
      <c r="AU136">
        <v>120.37</v>
      </c>
      <c r="AV136">
        <f t="shared" si="27"/>
        <v>121.71000000000001</v>
      </c>
      <c r="AW136">
        <v>24.71</v>
      </c>
      <c r="AX136" s="1">
        <f t="shared" si="29"/>
        <v>97.153999999999996</v>
      </c>
      <c r="BH136">
        <v>135</v>
      </c>
      <c r="BI136">
        <v>62.68</v>
      </c>
      <c r="BJ136">
        <f t="shared" si="30"/>
        <v>153.9</v>
      </c>
      <c r="BK136">
        <v>13.9</v>
      </c>
      <c r="BL136" s="1">
        <f t="shared" si="31"/>
        <v>140.30799999999999</v>
      </c>
      <c r="BT136">
        <v>135</v>
      </c>
      <c r="BU136">
        <v>179.53</v>
      </c>
      <c r="BV136">
        <f t="shared" si="32"/>
        <v>170.99</v>
      </c>
      <c r="BW136">
        <v>16.989999999999998</v>
      </c>
      <c r="BX136">
        <f t="shared" si="35"/>
        <v>161.41200000000001</v>
      </c>
      <c r="BY136" t="s">
        <v>0</v>
      </c>
    </row>
    <row r="137" spans="1:77" x14ac:dyDescent="0.25">
      <c r="A137">
        <v>137</v>
      </c>
      <c r="B137">
        <v>99.94</v>
      </c>
      <c r="C137">
        <v>137</v>
      </c>
      <c r="D137">
        <f t="shared" si="33"/>
        <v>-7.8000000000000114</v>
      </c>
      <c r="E137" s="1">
        <f t="shared" si="34"/>
        <v>0.28000000000002956</v>
      </c>
      <c r="Q137">
        <v>136</v>
      </c>
      <c r="R137" s="4">
        <v>99.4</v>
      </c>
      <c r="S137" s="4">
        <f t="shared" si="25"/>
        <v>21.63</v>
      </c>
      <c r="T137" s="4">
        <v>21.63</v>
      </c>
      <c r="U137" s="4">
        <f t="shared" si="36"/>
        <v>-0.30800000000000055</v>
      </c>
      <c r="AF137">
        <v>136</v>
      </c>
      <c r="AG137" s="4">
        <v>102.49</v>
      </c>
      <c r="AH137" s="4">
        <f t="shared" si="26"/>
        <v>12.58</v>
      </c>
      <c r="AI137" s="4">
        <v>11.58</v>
      </c>
      <c r="AJ137" s="4">
        <f t="shared" si="28"/>
        <v>-0.3919999999999999</v>
      </c>
      <c r="AT137">
        <v>136</v>
      </c>
      <c r="AU137">
        <v>121.41</v>
      </c>
      <c r="AV137">
        <f t="shared" si="27"/>
        <v>117.85</v>
      </c>
      <c r="AW137">
        <v>20.85</v>
      </c>
      <c r="AX137" s="1">
        <f t="shared" si="29"/>
        <v>96.227999999999994</v>
      </c>
      <c r="BH137">
        <v>136</v>
      </c>
      <c r="BI137">
        <v>63.41</v>
      </c>
      <c r="BJ137">
        <f t="shared" si="30"/>
        <v>154.66999999999999</v>
      </c>
      <c r="BK137">
        <v>14.67</v>
      </c>
      <c r="BL137" s="1">
        <f t="shared" si="31"/>
        <v>140.154</v>
      </c>
      <c r="BT137">
        <v>136</v>
      </c>
      <c r="BU137">
        <v>179.84</v>
      </c>
      <c r="BV137">
        <f t="shared" si="32"/>
        <v>166.36</v>
      </c>
      <c r="BW137">
        <v>12.36</v>
      </c>
      <c r="BX137">
        <f t="shared" si="35"/>
        <v>152.148</v>
      </c>
      <c r="BY137" t="s">
        <v>0</v>
      </c>
    </row>
    <row r="138" spans="1:77" x14ac:dyDescent="0.25">
      <c r="A138">
        <v>138</v>
      </c>
      <c r="B138">
        <v>99.59</v>
      </c>
      <c r="C138">
        <v>138</v>
      </c>
      <c r="D138">
        <f t="shared" si="33"/>
        <v>-6.9999999999998863</v>
      </c>
      <c r="E138" s="1">
        <f t="shared" si="34"/>
        <v>0.16000000000002501</v>
      </c>
      <c r="Q138">
        <v>137</v>
      </c>
      <c r="R138" s="4">
        <v>100.29</v>
      </c>
      <c r="S138" s="4">
        <f t="shared" si="25"/>
        <v>17.760000000000002</v>
      </c>
      <c r="T138" s="4">
        <v>17.760000000000002</v>
      </c>
      <c r="U138" s="4">
        <f t="shared" si="36"/>
        <v>-0.77399999999999947</v>
      </c>
      <c r="AF138">
        <v>137</v>
      </c>
      <c r="AG138" s="4">
        <v>102.88</v>
      </c>
      <c r="AH138" s="4">
        <f t="shared" si="26"/>
        <v>8.7199999999999989</v>
      </c>
      <c r="AI138" s="4">
        <v>7.72</v>
      </c>
      <c r="AJ138" s="4">
        <f t="shared" si="28"/>
        <v>0.22799999999999998</v>
      </c>
      <c r="AT138">
        <v>137</v>
      </c>
      <c r="AU138">
        <v>122.8</v>
      </c>
      <c r="AV138">
        <f t="shared" si="27"/>
        <v>124.8</v>
      </c>
      <c r="AW138">
        <v>27.8</v>
      </c>
      <c r="AX138" s="1">
        <f t="shared" si="29"/>
        <v>98.39</v>
      </c>
      <c r="BH138">
        <v>137</v>
      </c>
      <c r="BI138">
        <v>64.260000000000005</v>
      </c>
      <c r="BJ138">
        <f t="shared" si="30"/>
        <v>156.99</v>
      </c>
      <c r="BK138">
        <v>16.989999999999998</v>
      </c>
      <c r="BL138" s="1">
        <f t="shared" si="31"/>
        <v>140.464</v>
      </c>
      <c r="BT138">
        <v>137</v>
      </c>
      <c r="BU138">
        <v>179.72</v>
      </c>
      <c r="BV138">
        <f t="shared" si="32"/>
        <v>0</v>
      </c>
      <c r="BW138">
        <v>-4.63</v>
      </c>
      <c r="BX138">
        <f t="shared" si="35"/>
        <v>147.20400000000001</v>
      </c>
      <c r="BY138" t="s">
        <v>0</v>
      </c>
    </row>
    <row r="139" spans="1:77" x14ac:dyDescent="0.25">
      <c r="A139">
        <v>139</v>
      </c>
      <c r="B139">
        <v>99.17</v>
      </c>
      <c r="C139">
        <v>139</v>
      </c>
      <c r="D139">
        <f t="shared" si="33"/>
        <v>-8.4000000000000341</v>
      </c>
      <c r="E139" s="1">
        <f t="shared" si="34"/>
        <v>-0.28000000000002956</v>
      </c>
      <c r="Q139">
        <v>138</v>
      </c>
      <c r="R139" s="4">
        <v>101.1</v>
      </c>
      <c r="S139" s="4">
        <f t="shared" si="25"/>
        <v>16.22</v>
      </c>
      <c r="T139" s="4">
        <v>16.22</v>
      </c>
      <c r="U139" s="4">
        <f t="shared" si="36"/>
        <v>-0.30800000000000055</v>
      </c>
      <c r="AF139">
        <v>138</v>
      </c>
      <c r="AG139" s="4">
        <v>103.42</v>
      </c>
      <c r="AH139" s="4">
        <f t="shared" si="26"/>
        <v>11.81</v>
      </c>
      <c r="AI139" s="4">
        <v>10.81</v>
      </c>
      <c r="AJ139" s="4">
        <f t="shared" si="28"/>
        <v>1.6180000000000001</v>
      </c>
      <c r="AT139">
        <v>138</v>
      </c>
      <c r="AU139">
        <v>123.81</v>
      </c>
      <c r="AV139">
        <f t="shared" si="27"/>
        <v>117.08</v>
      </c>
      <c r="AW139">
        <v>20.079999999999998</v>
      </c>
      <c r="AX139" s="1">
        <f t="shared" si="29"/>
        <v>95.456000000000003</v>
      </c>
      <c r="BH139">
        <v>138</v>
      </c>
      <c r="BI139">
        <v>65.03</v>
      </c>
      <c r="BJ139">
        <f t="shared" si="30"/>
        <v>155.44999999999999</v>
      </c>
      <c r="BK139">
        <v>15.45</v>
      </c>
      <c r="BL139" s="1">
        <f t="shared" si="31"/>
        <v>139.69200000000001</v>
      </c>
      <c r="BT139">
        <v>138</v>
      </c>
      <c r="BU139">
        <v>179.38</v>
      </c>
      <c r="BV139">
        <f t="shared" si="32"/>
        <v>0</v>
      </c>
      <c r="BW139">
        <v>-13.9</v>
      </c>
      <c r="BX139">
        <f t="shared" si="35"/>
        <v>150.292</v>
      </c>
      <c r="BY139" t="s">
        <v>0</v>
      </c>
    </row>
    <row r="140" spans="1:77" x14ac:dyDescent="0.25">
      <c r="A140">
        <v>140</v>
      </c>
      <c r="B140">
        <v>98.86</v>
      </c>
      <c r="C140">
        <v>140</v>
      </c>
      <c r="D140">
        <f t="shared" si="33"/>
        <v>-6.2000000000000455</v>
      </c>
      <c r="E140" s="1">
        <f t="shared" si="34"/>
        <v>0.43999999999999773</v>
      </c>
      <c r="Q140">
        <v>139</v>
      </c>
      <c r="R140" s="4">
        <v>101.91</v>
      </c>
      <c r="S140" s="4">
        <f t="shared" si="25"/>
        <v>16.22</v>
      </c>
      <c r="T140" s="4">
        <v>16.22</v>
      </c>
      <c r="U140" s="4">
        <f t="shared" si="36"/>
        <v>0</v>
      </c>
      <c r="AF140">
        <v>139</v>
      </c>
      <c r="AG140" s="4">
        <v>104.46</v>
      </c>
      <c r="AH140" s="4">
        <f t="shared" si="26"/>
        <v>21.85</v>
      </c>
      <c r="AI140" s="4">
        <v>20.85</v>
      </c>
      <c r="AJ140" s="4">
        <f t="shared" si="28"/>
        <v>3.008</v>
      </c>
      <c r="AT140">
        <v>139</v>
      </c>
      <c r="AU140">
        <v>125.08</v>
      </c>
      <c r="AV140">
        <f t="shared" si="27"/>
        <v>122.49</v>
      </c>
      <c r="AW140">
        <v>25.49</v>
      </c>
      <c r="AX140" s="1">
        <f t="shared" si="29"/>
        <v>98.081999999999994</v>
      </c>
      <c r="BH140">
        <v>139</v>
      </c>
      <c r="BI140">
        <v>66.11</v>
      </c>
      <c r="BJ140">
        <f t="shared" si="30"/>
        <v>161.63</v>
      </c>
      <c r="BK140">
        <v>21.63</v>
      </c>
      <c r="BL140" s="1">
        <f t="shared" si="31"/>
        <v>141.23599999999999</v>
      </c>
      <c r="BT140">
        <v>139</v>
      </c>
      <c r="BU140">
        <v>178.95</v>
      </c>
      <c r="BV140">
        <f t="shared" si="32"/>
        <v>0</v>
      </c>
      <c r="BW140">
        <v>-16.989999999999998</v>
      </c>
      <c r="BX140">
        <f t="shared" si="35"/>
        <v>152.76400000000001</v>
      </c>
      <c r="BY140" t="s">
        <v>0</v>
      </c>
    </row>
    <row r="141" spans="1:77" x14ac:dyDescent="0.25">
      <c r="A141">
        <v>141</v>
      </c>
      <c r="B141">
        <v>98.36</v>
      </c>
      <c r="C141">
        <v>141</v>
      </c>
      <c r="D141">
        <f t="shared" si="33"/>
        <v>-10</v>
      </c>
      <c r="E141" s="1">
        <f t="shared" si="34"/>
        <v>-0.75999999999999091</v>
      </c>
      <c r="Q141">
        <v>140</v>
      </c>
      <c r="R141" s="4">
        <v>102.76</v>
      </c>
      <c r="S141" s="4">
        <f t="shared" si="25"/>
        <v>16.989999999999998</v>
      </c>
      <c r="T141" s="4">
        <v>16.989999999999998</v>
      </c>
      <c r="U141" s="4">
        <f t="shared" si="36"/>
        <v>0.15399999999999991</v>
      </c>
      <c r="AF141">
        <v>140</v>
      </c>
      <c r="AG141" s="4">
        <v>105.54</v>
      </c>
      <c r="AH141" s="4">
        <f t="shared" si="26"/>
        <v>22.63</v>
      </c>
      <c r="AI141" s="4">
        <v>21.63</v>
      </c>
      <c r="AJ141" s="4">
        <f t="shared" si="28"/>
        <v>1.1559999999999995</v>
      </c>
      <c r="AT141">
        <v>140</v>
      </c>
      <c r="AU141">
        <v>126.24</v>
      </c>
      <c r="AV141">
        <f t="shared" si="27"/>
        <v>120.17</v>
      </c>
      <c r="AW141">
        <v>23.17</v>
      </c>
      <c r="AX141" s="1">
        <f t="shared" si="29"/>
        <v>96.536000000000001</v>
      </c>
      <c r="BH141">
        <v>140</v>
      </c>
      <c r="BI141">
        <v>67.23</v>
      </c>
      <c r="BJ141">
        <f t="shared" si="30"/>
        <v>162.4</v>
      </c>
      <c r="BK141">
        <v>22.4</v>
      </c>
      <c r="BL141" s="1">
        <f t="shared" si="31"/>
        <v>140.154</v>
      </c>
      <c r="BT141">
        <v>140</v>
      </c>
      <c r="BU141">
        <v>178.6</v>
      </c>
      <c r="BV141">
        <f t="shared" si="32"/>
        <v>0</v>
      </c>
      <c r="BW141">
        <v>-13.9</v>
      </c>
      <c r="BX141">
        <f t="shared" si="35"/>
        <v>155.23599999999999</v>
      </c>
      <c r="BY141" t="s">
        <v>0</v>
      </c>
    </row>
    <row r="142" spans="1:77" x14ac:dyDescent="0.25">
      <c r="A142">
        <v>142</v>
      </c>
      <c r="B142">
        <v>98.01</v>
      </c>
      <c r="C142">
        <v>142</v>
      </c>
      <c r="D142">
        <f t="shared" si="33"/>
        <v>-6.9999999999998863</v>
      </c>
      <c r="E142" s="1">
        <f t="shared" si="34"/>
        <v>0.60000000000002274</v>
      </c>
      <c r="Q142">
        <v>141</v>
      </c>
      <c r="R142" s="4">
        <v>103.61</v>
      </c>
      <c r="S142" s="4">
        <f t="shared" si="25"/>
        <v>16.989999999999998</v>
      </c>
      <c r="T142" s="4">
        <v>16.989999999999998</v>
      </c>
      <c r="U142" s="4">
        <f t="shared" si="36"/>
        <v>0</v>
      </c>
      <c r="AF142">
        <v>141</v>
      </c>
      <c r="AG142" s="4">
        <v>106.62</v>
      </c>
      <c r="AH142" s="4">
        <f t="shared" si="26"/>
        <v>22.63</v>
      </c>
      <c r="AI142" s="4">
        <v>21.63</v>
      </c>
      <c r="AJ142" s="4">
        <f t="shared" si="28"/>
        <v>1</v>
      </c>
      <c r="AT142">
        <v>141</v>
      </c>
      <c r="AU142">
        <v>127.24</v>
      </c>
      <c r="AV142">
        <f t="shared" si="27"/>
        <v>117.08</v>
      </c>
      <c r="AW142">
        <v>20.079999999999998</v>
      </c>
      <c r="AX142" s="1">
        <f t="shared" si="29"/>
        <v>96.382000000000005</v>
      </c>
      <c r="BH142">
        <v>141</v>
      </c>
      <c r="BI142">
        <v>68</v>
      </c>
      <c r="BJ142">
        <f t="shared" si="30"/>
        <v>155.44999999999999</v>
      </c>
      <c r="BK142">
        <v>15.45</v>
      </c>
      <c r="BL142" s="1">
        <f t="shared" si="31"/>
        <v>138.61000000000001</v>
      </c>
      <c r="BT142">
        <v>141</v>
      </c>
      <c r="BU142">
        <v>178.18</v>
      </c>
      <c r="BV142">
        <f t="shared" si="32"/>
        <v>0</v>
      </c>
      <c r="BW142">
        <v>-16.989999999999998</v>
      </c>
      <c r="BX142">
        <f t="shared" si="35"/>
        <v>152.76400000000001</v>
      </c>
      <c r="BY142" t="s">
        <v>0</v>
      </c>
    </row>
    <row r="143" spans="1:77" x14ac:dyDescent="0.25">
      <c r="A143">
        <v>143</v>
      </c>
      <c r="B143">
        <v>97.58</v>
      </c>
      <c r="C143">
        <v>143</v>
      </c>
      <c r="D143">
        <f t="shared" si="33"/>
        <v>-8.6000000000001364</v>
      </c>
      <c r="E143" s="1">
        <f t="shared" si="34"/>
        <v>-0.32000000000005002</v>
      </c>
      <c r="Q143">
        <v>142</v>
      </c>
      <c r="R143" s="4">
        <v>104.73</v>
      </c>
      <c r="S143" s="4">
        <f t="shared" si="25"/>
        <v>22.4</v>
      </c>
      <c r="T143" s="4">
        <v>22.4</v>
      </c>
      <c r="U143" s="4">
        <f t="shared" si="36"/>
        <v>1.0820000000000001</v>
      </c>
      <c r="AF143">
        <v>142</v>
      </c>
      <c r="AG143" s="4">
        <v>107.51</v>
      </c>
      <c r="AH143" s="4">
        <f t="shared" si="26"/>
        <v>18.760000000000002</v>
      </c>
      <c r="AI143" s="4">
        <v>17.760000000000002</v>
      </c>
      <c r="AJ143" s="4">
        <f t="shared" si="28"/>
        <v>0.22600000000000053</v>
      </c>
      <c r="AT143">
        <v>142</v>
      </c>
      <c r="AU143">
        <v>128.59</v>
      </c>
      <c r="AV143">
        <f t="shared" si="27"/>
        <v>124.03</v>
      </c>
      <c r="AW143">
        <v>27.03</v>
      </c>
      <c r="AX143" s="1">
        <f t="shared" si="29"/>
        <v>98.39</v>
      </c>
      <c r="BH143">
        <v>142</v>
      </c>
      <c r="BI143">
        <v>68.78</v>
      </c>
      <c r="BJ143">
        <f t="shared" si="30"/>
        <v>155.44999999999999</v>
      </c>
      <c r="BK143">
        <v>15.45</v>
      </c>
      <c r="BL143" s="1">
        <f t="shared" si="31"/>
        <v>140</v>
      </c>
      <c r="BT143">
        <v>142</v>
      </c>
      <c r="BU143">
        <v>177.87</v>
      </c>
      <c r="BV143">
        <f t="shared" si="32"/>
        <v>0</v>
      </c>
      <c r="BW143">
        <v>-12.36</v>
      </c>
      <c r="BX143">
        <f t="shared" si="35"/>
        <v>155.852</v>
      </c>
      <c r="BY143" t="s">
        <v>0</v>
      </c>
    </row>
    <row r="144" spans="1:77" x14ac:dyDescent="0.25">
      <c r="A144">
        <v>144</v>
      </c>
      <c r="B144">
        <v>97.16</v>
      </c>
      <c r="C144">
        <v>144</v>
      </c>
      <c r="D144">
        <f t="shared" si="33"/>
        <v>-8.4000000000000341</v>
      </c>
      <c r="E144" s="1">
        <f t="shared" si="34"/>
        <v>4.0000000000020464E-2</v>
      </c>
      <c r="Q144">
        <v>143</v>
      </c>
      <c r="R144" s="4">
        <v>105.77</v>
      </c>
      <c r="S144" s="4">
        <f t="shared" si="25"/>
        <v>20.85</v>
      </c>
      <c r="T144" s="4">
        <v>20.85</v>
      </c>
      <c r="U144" s="4">
        <f t="shared" si="36"/>
        <v>-0.30999999999999944</v>
      </c>
      <c r="AF144">
        <v>143</v>
      </c>
      <c r="AG144" s="4">
        <v>108.47</v>
      </c>
      <c r="AH144" s="4">
        <f t="shared" si="26"/>
        <v>20.309999999999999</v>
      </c>
      <c r="AI144" s="4">
        <v>19.309999999999999</v>
      </c>
      <c r="AJ144" s="4">
        <f t="shared" si="28"/>
        <v>1.3099999999999994</v>
      </c>
      <c r="AT144">
        <v>143</v>
      </c>
      <c r="AU144">
        <v>130.1</v>
      </c>
      <c r="AV144">
        <f t="shared" si="27"/>
        <v>127.12</v>
      </c>
      <c r="AW144">
        <v>30.12</v>
      </c>
      <c r="AX144" s="1">
        <f t="shared" si="29"/>
        <v>97.617999999999995</v>
      </c>
      <c r="BH144">
        <v>143</v>
      </c>
      <c r="BI144">
        <v>69.510000000000005</v>
      </c>
      <c r="BJ144">
        <f t="shared" si="30"/>
        <v>154.66999999999999</v>
      </c>
      <c r="BK144">
        <v>14.67</v>
      </c>
      <c r="BL144" s="1">
        <f t="shared" si="31"/>
        <v>139.84399999999999</v>
      </c>
      <c r="BT144">
        <v>143</v>
      </c>
      <c r="BU144">
        <v>177.75</v>
      </c>
      <c r="BV144">
        <f t="shared" si="32"/>
        <v>0</v>
      </c>
      <c r="BW144">
        <v>-4.63</v>
      </c>
      <c r="BX144">
        <f t="shared" si="35"/>
        <v>157.09200000000001</v>
      </c>
      <c r="BY144" t="s">
        <v>0</v>
      </c>
    </row>
    <row r="145" spans="1:77" x14ac:dyDescent="0.25">
      <c r="A145">
        <v>145</v>
      </c>
      <c r="B145">
        <v>96.85</v>
      </c>
      <c r="C145">
        <v>145</v>
      </c>
      <c r="D145">
        <f t="shared" si="33"/>
        <v>-6.2000000000000455</v>
      </c>
      <c r="E145" s="1">
        <f t="shared" si="34"/>
        <v>0.43999999999999773</v>
      </c>
      <c r="Q145">
        <v>144</v>
      </c>
      <c r="R145" s="4">
        <v>106.74</v>
      </c>
      <c r="S145" s="4">
        <f t="shared" si="25"/>
        <v>19.309999999999999</v>
      </c>
      <c r="T145" s="4">
        <v>19.309999999999999</v>
      </c>
      <c r="U145" s="4">
        <f t="shared" si="36"/>
        <v>-0.30800000000000055</v>
      </c>
      <c r="AF145">
        <v>144</v>
      </c>
      <c r="AG145" s="4">
        <v>109.59</v>
      </c>
      <c r="AH145" s="4">
        <f t="shared" si="26"/>
        <v>23.4</v>
      </c>
      <c r="AI145" s="4">
        <v>22.4</v>
      </c>
      <c r="AJ145" s="4">
        <f t="shared" si="28"/>
        <v>1.6179999999999999</v>
      </c>
      <c r="AT145">
        <v>144</v>
      </c>
      <c r="AU145">
        <v>131.07</v>
      </c>
      <c r="AV145">
        <f t="shared" si="27"/>
        <v>116.31</v>
      </c>
      <c r="AW145">
        <v>19.309999999999999</v>
      </c>
      <c r="AX145" s="1">
        <f t="shared" si="29"/>
        <v>94.837999999999994</v>
      </c>
      <c r="BH145">
        <v>144</v>
      </c>
      <c r="BI145">
        <v>70.13</v>
      </c>
      <c r="BJ145">
        <f t="shared" si="30"/>
        <v>152.36000000000001</v>
      </c>
      <c r="BK145">
        <v>12.36</v>
      </c>
      <c r="BL145" s="1">
        <f t="shared" si="31"/>
        <v>139.53800000000001</v>
      </c>
      <c r="BT145">
        <v>144</v>
      </c>
      <c r="BU145">
        <v>177.6</v>
      </c>
      <c r="BV145">
        <f t="shared" si="32"/>
        <v>0</v>
      </c>
      <c r="BW145">
        <v>-6.18</v>
      </c>
      <c r="BX145">
        <f t="shared" si="35"/>
        <v>153.38</v>
      </c>
      <c r="BY145" t="s">
        <v>0</v>
      </c>
    </row>
    <row r="146" spans="1:77" x14ac:dyDescent="0.25">
      <c r="A146">
        <v>146</v>
      </c>
      <c r="B146">
        <v>96.47</v>
      </c>
      <c r="C146">
        <v>146</v>
      </c>
      <c r="D146">
        <f t="shared" si="33"/>
        <v>-7.5999999999999091</v>
      </c>
      <c r="E146" s="1">
        <f t="shared" si="34"/>
        <v>-0.27999999999997272</v>
      </c>
      <c r="Q146">
        <v>145</v>
      </c>
      <c r="R146" s="4">
        <v>107.78</v>
      </c>
      <c r="S146" s="4">
        <f t="shared" si="25"/>
        <v>20.85</v>
      </c>
      <c r="T146" s="4">
        <v>20.85</v>
      </c>
      <c r="U146" s="4">
        <f t="shared" si="36"/>
        <v>0.30800000000000055</v>
      </c>
      <c r="AF146">
        <v>145</v>
      </c>
      <c r="AG146" s="4">
        <v>110.71</v>
      </c>
      <c r="AH146" s="4">
        <f t="shared" si="26"/>
        <v>23.4</v>
      </c>
      <c r="AI146" s="4">
        <v>22.4</v>
      </c>
      <c r="AJ146" s="4">
        <f t="shared" si="28"/>
        <v>1</v>
      </c>
      <c r="AT146">
        <v>145</v>
      </c>
      <c r="AU146">
        <v>131.91999999999999</v>
      </c>
      <c r="AV146">
        <f t="shared" si="27"/>
        <v>113.99</v>
      </c>
      <c r="AW146">
        <v>16.989999999999998</v>
      </c>
      <c r="AX146" s="1">
        <f t="shared" si="29"/>
        <v>96.536000000000001</v>
      </c>
      <c r="BH146">
        <v>145</v>
      </c>
      <c r="BI146">
        <v>71.06</v>
      </c>
      <c r="BJ146">
        <f t="shared" si="30"/>
        <v>158.54</v>
      </c>
      <c r="BK146">
        <v>18.54</v>
      </c>
      <c r="BL146" s="1">
        <f t="shared" si="31"/>
        <v>141.23599999999999</v>
      </c>
      <c r="BT146">
        <v>145</v>
      </c>
      <c r="BU146">
        <v>177.37</v>
      </c>
      <c r="BV146">
        <f t="shared" si="32"/>
        <v>0</v>
      </c>
      <c r="BW146">
        <v>-9.27</v>
      </c>
      <c r="BX146">
        <f t="shared" si="35"/>
        <v>152.76400000000001</v>
      </c>
      <c r="BY146" t="s">
        <v>0</v>
      </c>
    </row>
    <row r="147" spans="1:77" x14ac:dyDescent="0.25">
      <c r="A147">
        <v>147</v>
      </c>
      <c r="B147">
        <v>96.62</v>
      </c>
      <c r="C147">
        <v>147</v>
      </c>
      <c r="D147">
        <f t="shared" si="33"/>
        <v>3.0000000000001137</v>
      </c>
      <c r="E147" s="1">
        <f t="shared" si="34"/>
        <v>2.1200000000000045</v>
      </c>
      <c r="Q147">
        <v>146</v>
      </c>
      <c r="R147" s="4">
        <v>108.94</v>
      </c>
      <c r="S147" s="4">
        <f t="shared" si="25"/>
        <v>23.17</v>
      </c>
      <c r="T147" s="4">
        <v>23.17</v>
      </c>
      <c r="U147" s="4">
        <f t="shared" si="36"/>
        <v>0.46400000000000008</v>
      </c>
      <c r="AF147">
        <v>146</v>
      </c>
      <c r="AG147" s="4">
        <v>112.53</v>
      </c>
      <c r="AH147" s="4">
        <f t="shared" si="26"/>
        <v>37.299999999999997</v>
      </c>
      <c r="AI147" s="4">
        <v>36.299999999999997</v>
      </c>
      <c r="AJ147" s="4">
        <f t="shared" si="28"/>
        <v>3.78</v>
      </c>
      <c r="AT147">
        <v>146</v>
      </c>
      <c r="AU147">
        <v>133.22999999999999</v>
      </c>
      <c r="AV147">
        <f t="shared" si="27"/>
        <v>123.26</v>
      </c>
      <c r="AW147">
        <v>26.26</v>
      </c>
      <c r="AX147" s="1">
        <f t="shared" si="29"/>
        <v>98.853999999999999</v>
      </c>
      <c r="BH147">
        <v>146</v>
      </c>
      <c r="BI147">
        <v>71.87</v>
      </c>
      <c r="BJ147">
        <f t="shared" si="30"/>
        <v>156.22</v>
      </c>
      <c r="BK147">
        <v>16.22</v>
      </c>
      <c r="BL147" s="1">
        <f t="shared" si="31"/>
        <v>139.536</v>
      </c>
      <c r="BT147">
        <v>146</v>
      </c>
      <c r="BU147">
        <v>177.14</v>
      </c>
      <c r="BV147">
        <f t="shared" si="32"/>
        <v>0</v>
      </c>
      <c r="BW147">
        <v>-9.27</v>
      </c>
      <c r="BX147">
        <f t="shared" si="35"/>
        <v>154</v>
      </c>
      <c r="BY147" t="s">
        <v>0</v>
      </c>
    </row>
    <row r="148" spans="1:77" x14ac:dyDescent="0.25">
      <c r="A148">
        <v>148</v>
      </c>
      <c r="B148">
        <v>97.58</v>
      </c>
      <c r="C148">
        <v>148</v>
      </c>
      <c r="D148">
        <f t="shared" si="33"/>
        <v>19.199999999999875</v>
      </c>
      <c r="E148" s="1">
        <f t="shared" si="34"/>
        <v>3.2399999999999523</v>
      </c>
      <c r="Q148">
        <v>147</v>
      </c>
      <c r="R148" s="4">
        <v>110.21</v>
      </c>
      <c r="S148" s="4">
        <f t="shared" si="25"/>
        <v>25.49</v>
      </c>
      <c r="T148" s="4">
        <v>25.49</v>
      </c>
      <c r="U148" s="4">
        <f t="shared" si="36"/>
        <v>0.46399999999999936</v>
      </c>
      <c r="AF148">
        <v>147</v>
      </c>
      <c r="AG148" s="4">
        <v>114.54</v>
      </c>
      <c r="AH148" s="4">
        <f t="shared" si="26"/>
        <v>41.16</v>
      </c>
      <c r="AI148" s="4">
        <v>40.159999999999997</v>
      </c>
      <c r="AJ148" s="4">
        <f t="shared" si="28"/>
        <v>1.7719999999999998</v>
      </c>
      <c r="AT148">
        <v>147</v>
      </c>
      <c r="AU148">
        <v>134.35</v>
      </c>
      <c r="AV148">
        <f t="shared" si="27"/>
        <v>119.4</v>
      </c>
      <c r="AW148">
        <v>22.4</v>
      </c>
      <c r="AX148" s="1">
        <f t="shared" si="29"/>
        <v>96.227999999999994</v>
      </c>
      <c r="BH148">
        <v>147</v>
      </c>
      <c r="BI148">
        <v>72.599999999999994</v>
      </c>
      <c r="BJ148">
        <f t="shared" si="30"/>
        <v>154.66999999999999</v>
      </c>
      <c r="BK148">
        <v>14.67</v>
      </c>
      <c r="BL148" s="1">
        <f t="shared" si="31"/>
        <v>139.69</v>
      </c>
      <c r="BT148">
        <v>147</v>
      </c>
      <c r="BU148">
        <v>176.98</v>
      </c>
      <c r="BV148">
        <f t="shared" si="32"/>
        <v>0</v>
      </c>
      <c r="BW148">
        <v>-6.18</v>
      </c>
      <c r="BX148">
        <f t="shared" si="35"/>
        <v>155.23599999999999</v>
      </c>
      <c r="BY148" t="s">
        <v>0</v>
      </c>
    </row>
    <row r="149" spans="1:77" x14ac:dyDescent="0.25">
      <c r="A149">
        <v>149</v>
      </c>
      <c r="B149">
        <v>98.16</v>
      </c>
      <c r="C149">
        <v>149</v>
      </c>
      <c r="D149">
        <f t="shared" si="33"/>
        <v>11.599999999999966</v>
      </c>
      <c r="E149" s="1">
        <f t="shared" si="34"/>
        <v>-1.5199999999999818</v>
      </c>
      <c r="Q149">
        <v>148</v>
      </c>
      <c r="R149" s="4">
        <v>111.41</v>
      </c>
      <c r="S149" s="4">
        <f t="shared" si="25"/>
        <v>23.94</v>
      </c>
      <c r="T149" s="4">
        <v>23.94</v>
      </c>
      <c r="U149" s="4">
        <f t="shared" si="36"/>
        <v>-0.30999999999999944</v>
      </c>
      <c r="AF149">
        <v>148</v>
      </c>
      <c r="AG149" s="4">
        <v>116.16</v>
      </c>
      <c r="AH149" s="4">
        <f t="shared" si="26"/>
        <v>33.44</v>
      </c>
      <c r="AI149" s="4">
        <v>32.44</v>
      </c>
      <c r="AJ149" s="4">
        <f t="shared" si="28"/>
        <v>-0.54399999999999982</v>
      </c>
      <c r="AT149">
        <v>148</v>
      </c>
      <c r="AU149">
        <v>135.35</v>
      </c>
      <c r="AV149">
        <f t="shared" si="27"/>
        <v>117.08</v>
      </c>
      <c r="AW149">
        <v>20.079999999999998</v>
      </c>
      <c r="AX149" s="1">
        <f t="shared" si="29"/>
        <v>96.536000000000001</v>
      </c>
      <c r="BH149">
        <v>148</v>
      </c>
      <c r="BI149">
        <v>73.33</v>
      </c>
      <c r="BJ149">
        <f t="shared" si="30"/>
        <v>154.66999999999999</v>
      </c>
      <c r="BK149">
        <v>14.67</v>
      </c>
      <c r="BL149" s="1">
        <f t="shared" si="31"/>
        <v>140</v>
      </c>
      <c r="BT149">
        <v>148</v>
      </c>
      <c r="BU149">
        <v>176.67</v>
      </c>
      <c r="BV149">
        <f t="shared" si="32"/>
        <v>0</v>
      </c>
      <c r="BW149">
        <v>-12.36</v>
      </c>
      <c r="BX149">
        <f t="shared" si="35"/>
        <v>151.52799999999999</v>
      </c>
      <c r="BY149" t="s">
        <v>0</v>
      </c>
    </row>
    <row r="150" spans="1:77" x14ac:dyDescent="0.25">
      <c r="A150">
        <v>150</v>
      </c>
      <c r="B150">
        <v>97.58</v>
      </c>
      <c r="C150">
        <v>150</v>
      </c>
      <c r="D150">
        <f t="shared" si="33"/>
        <v>-11.599999999999966</v>
      </c>
      <c r="E150" s="1">
        <f t="shared" si="34"/>
        <v>-4.6399999999999864</v>
      </c>
      <c r="Q150">
        <v>149</v>
      </c>
      <c r="R150" s="4">
        <v>112.38</v>
      </c>
      <c r="S150" s="4">
        <f t="shared" si="25"/>
        <v>19.309999999999999</v>
      </c>
      <c r="T150" s="4">
        <v>19.309999999999999</v>
      </c>
      <c r="U150" s="4">
        <f t="shared" si="36"/>
        <v>-0.92600000000000049</v>
      </c>
      <c r="AF150">
        <v>149</v>
      </c>
      <c r="AG150" s="4">
        <v>117.4</v>
      </c>
      <c r="AH150" s="4">
        <f t="shared" si="26"/>
        <v>25.71</v>
      </c>
      <c r="AI150" s="4">
        <v>24.71</v>
      </c>
      <c r="AJ150" s="4">
        <f t="shared" si="28"/>
        <v>-0.54599999999999937</v>
      </c>
      <c r="AT150">
        <v>149</v>
      </c>
      <c r="AU150">
        <v>136.36000000000001</v>
      </c>
      <c r="AV150">
        <f t="shared" si="27"/>
        <v>117.08</v>
      </c>
      <c r="AW150">
        <v>20.079999999999998</v>
      </c>
      <c r="AX150" s="1">
        <f t="shared" si="29"/>
        <v>97</v>
      </c>
      <c r="BH150">
        <v>149</v>
      </c>
      <c r="BI150">
        <v>73.95</v>
      </c>
      <c r="BJ150">
        <f t="shared" si="30"/>
        <v>152.36000000000001</v>
      </c>
      <c r="BK150">
        <v>12.36</v>
      </c>
      <c r="BL150" s="1">
        <f t="shared" si="31"/>
        <v>139.53800000000001</v>
      </c>
      <c r="BT150">
        <v>149</v>
      </c>
      <c r="BU150">
        <v>176.4</v>
      </c>
      <c r="BV150">
        <f t="shared" si="32"/>
        <v>0</v>
      </c>
      <c r="BW150">
        <v>-10.81</v>
      </c>
      <c r="BX150">
        <f t="shared" si="35"/>
        <v>154.62</v>
      </c>
      <c r="BY150" t="s">
        <v>0</v>
      </c>
    </row>
    <row r="151" spans="1:77" x14ac:dyDescent="0.25">
      <c r="A151">
        <v>151</v>
      </c>
      <c r="B151">
        <v>97.04</v>
      </c>
      <c r="C151">
        <v>151</v>
      </c>
      <c r="D151">
        <f t="shared" si="33"/>
        <v>-10.799999999999841</v>
      </c>
      <c r="E151" s="1">
        <f t="shared" si="34"/>
        <v>0.16000000000002501</v>
      </c>
      <c r="Q151">
        <v>150</v>
      </c>
      <c r="R151" s="4">
        <v>113.22</v>
      </c>
      <c r="S151" s="4">
        <f t="shared" si="25"/>
        <v>16.989999999999998</v>
      </c>
      <c r="T151" s="4">
        <v>16.989999999999998</v>
      </c>
      <c r="U151" s="4">
        <f t="shared" si="36"/>
        <v>-0.46400000000000008</v>
      </c>
      <c r="AF151">
        <v>150</v>
      </c>
      <c r="AG151" s="4">
        <v>117.9</v>
      </c>
      <c r="AH151" s="4">
        <f t="shared" si="26"/>
        <v>11.04</v>
      </c>
      <c r="AI151" s="4">
        <v>10.039999999999999</v>
      </c>
      <c r="AJ151" s="4">
        <f t="shared" si="28"/>
        <v>-1.9340000000000002</v>
      </c>
      <c r="AT151">
        <v>150</v>
      </c>
      <c r="AU151">
        <v>137.4</v>
      </c>
      <c r="AV151">
        <f t="shared" si="27"/>
        <v>117.85</v>
      </c>
      <c r="AW151">
        <v>20.85</v>
      </c>
      <c r="AX151" s="1">
        <f t="shared" si="29"/>
        <v>97.153999999999996</v>
      </c>
      <c r="BH151">
        <v>150</v>
      </c>
      <c r="BI151">
        <v>74.8</v>
      </c>
      <c r="BJ151">
        <f t="shared" si="30"/>
        <v>156.99</v>
      </c>
      <c r="BK151">
        <v>16.989999999999998</v>
      </c>
      <c r="BL151" s="1">
        <f t="shared" si="31"/>
        <v>140.92599999999999</v>
      </c>
      <c r="BT151">
        <v>150</v>
      </c>
      <c r="BU151">
        <v>176.25</v>
      </c>
      <c r="BV151">
        <f t="shared" si="32"/>
        <v>0</v>
      </c>
      <c r="BW151">
        <v>-6.18</v>
      </c>
      <c r="BX151">
        <f t="shared" si="35"/>
        <v>155.852</v>
      </c>
      <c r="BY151" t="s">
        <v>0</v>
      </c>
    </row>
    <row r="152" spans="1:77" x14ac:dyDescent="0.25">
      <c r="A152">
        <v>152</v>
      </c>
      <c r="B152">
        <v>96.5</v>
      </c>
      <c r="C152">
        <v>152</v>
      </c>
      <c r="D152">
        <f t="shared" si="33"/>
        <v>-10.800000000000125</v>
      </c>
      <c r="E152" s="1">
        <f t="shared" si="34"/>
        <v>-5.6843418860808015E-14</v>
      </c>
      <c r="Q152">
        <v>151</v>
      </c>
      <c r="R152" s="4">
        <v>114.11</v>
      </c>
      <c r="S152" s="4">
        <f t="shared" si="25"/>
        <v>17.760000000000002</v>
      </c>
      <c r="T152" s="4">
        <v>17.760000000000002</v>
      </c>
      <c r="U152" s="4">
        <f t="shared" si="36"/>
        <v>0.15400000000000064</v>
      </c>
      <c r="AF152">
        <v>151</v>
      </c>
      <c r="AG152" s="4">
        <v>117.7</v>
      </c>
      <c r="AH152" s="4">
        <f t="shared" si="26"/>
        <v>0</v>
      </c>
      <c r="AI152" s="4">
        <v>-3.86</v>
      </c>
      <c r="AJ152" s="4">
        <f t="shared" si="28"/>
        <v>-1.7799999999999998</v>
      </c>
      <c r="AT152">
        <v>151</v>
      </c>
      <c r="AU152">
        <v>138.52000000000001</v>
      </c>
      <c r="AV152">
        <f t="shared" si="27"/>
        <v>119.4</v>
      </c>
      <c r="AW152">
        <v>22.4</v>
      </c>
      <c r="AX152" s="1">
        <f t="shared" si="29"/>
        <v>97.31</v>
      </c>
      <c r="BH152">
        <v>151</v>
      </c>
      <c r="BI152">
        <v>75.650000000000006</v>
      </c>
      <c r="BJ152">
        <f t="shared" si="30"/>
        <v>156.99</v>
      </c>
      <c r="BK152">
        <v>16.989999999999998</v>
      </c>
      <c r="BL152" s="1">
        <f t="shared" si="31"/>
        <v>140</v>
      </c>
      <c r="BT152">
        <v>151</v>
      </c>
      <c r="BU152">
        <v>176.02</v>
      </c>
      <c r="BV152">
        <f t="shared" si="32"/>
        <v>0</v>
      </c>
      <c r="BW152">
        <v>-9.27</v>
      </c>
      <c r="BX152">
        <f t="shared" si="35"/>
        <v>152.76400000000001</v>
      </c>
      <c r="BY152" t="s">
        <v>0</v>
      </c>
    </row>
    <row r="153" spans="1:77" x14ac:dyDescent="0.25">
      <c r="A153">
        <v>153</v>
      </c>
      <c r="B153">
        <v>95.58</v>
      </c>
      <c r="C153">
        <v>153</v>
      </c>
      <c r="D153">
        <f t="shared" si="33"/>
        <v>-18.400000000000034</v>
      </c>
      <c r="E153" s="1">
        <f t="shared" si="34"/>
        <v>-1.5199999999999818</v>
      </c>
      <c r="Q153">
        <v>152</v>
      </c>
      <c r="R153" s="4">
        <v>115.16</v>
      </c>
      <c r="S153" s="4">
        <f t="shared" si="25"/>
        <v>20.85</v>
      </c>
      <c r="T153" s="4">
        <v>20.85</v>
      </c>
      <c r="U153" s="4">
        <f t="shared" si="36"/>
        <v>0.61799999999999999</v>
      </c>
      <c r="AF153">
        <v>152</v>
      </c>
      <c r="AG153" s="4">
        <v>118.52</v>
      </c>
      <c r="AH153" s="4">
        <f t="shared" si="26"/>
        <v>17.22</v>
      </c>
      <c r="AI153" s="4">
        <v>16.22</v>
      </c>
      <c r="AJ153" s="4">
        <f t="shared" si="28"/>
        <v>5.016</v>
      </c>
      <c r="AT153">
        <v>152</v>
      </c>
      <c r="AU153">
        <v>139.68</v>
      </c>
      <c r="AV153">
        <f t="shared" si="27"/>
        <v>120.17</v>
      </c>
      <c r="AW153">
        <v>23.17</v>
      </c>
      <c r="AX153" s="1">
        <f t="shared" si="29"/>
        <v>97.153999999999996</v>
      </c>
      <c r="BH153">
        <v>152</v>
      </c>
      <c r="BI153">
        <v>76.62</v>
      </c>
      <c r="BJ153">
        <f t="shared" si="30"/>
        <v>159.31</v>
      </c>
      <c r="BK153">
        <v>19.309999999999999</v>
      </c>
      <c r="BL153" s="1">
        <f t="shared" si="31"/>
        <v>140.464</v>
      </c>
      <c r="BT153">
        <v>152</v>
      </c>
      <c r="BU153">
        <v>175.86</v>
      </c>
      <c r="BV153">
        <f t="shared" si="32"/>
        <v>0</v>
      </c>
      <c r="BW153">
        <v>-6.18</v>
      </c>
      <c r="BX153">
        <f t="shared" si="35"/>
        <v>155.23599999999999</v>
      </c>
      <c r="BY153" t="s">
        <v>0</v>
      </c>
    </row>
    <row r="154" spans="1:77" x14ac:dyDescent="0.25">
      <c r="A154">
        <v>154</v>
      </c>
      <c r="B154">
        <v>94.92</v>
      </c>
      <c r="C154">
        <v>154</v>
      </c>
      <c r="D154">
        <f t="shared" si="33"/>
        <v>-13.199999999999932</v>
      </c>
      <c r="E154" s="1">
        <f t="shared" si="34"/>
        <v>1.0400000000000205</v>
      </c>
      <c r="Q154">
        <v>153</v>
      </c>
      <c r="R154" s="4">
        <v>116.24</v>
      </c>
      <c r="S154" s="4">
        <f t="shared" si="25"/>
        <v>21.63</v>
      </c>
      <c r="T154" s="4">
        <v>21.63</v>
      </c>
      <c r="U154" s="4">
        <f t="shared" si="36"/>
        <v>0.15599999999999953</v>
      </c>
      <c r="AF154">
        <v>153</v>
      </c>
      <c r="AG154" s="4">
        <v>119.36</v>
      </c>
      <c r="AH154" s="4">
        <f t="shared" si="26"/>
        <v>17.989999999999998</v>
      </c>
      <c r="AI154" s="4">
        <v>16.989999999999998</v>
      </c>
      <c r="AJ154" s="4">
        <f t="shared" si="28"/>
        <v>1.1539999999999999</v>
      </c>
      <c r="AT154">
        <v>153</v>
      </c>
      <c r="AU154">
        <v>140.6</v>
      </c>
      <c r="AV154">
        <f t="shared" si="27"/>
        <v>115.53999999999999</v>
      </c>
      <c r="AW154">
        <v>18.54</v>
      </c>
      <c r="AX154" s="1">
        <f t="shared" si="29"/>
        <v>96.073999999999998</v>
      </c>
      <c r="BH154">
        <v>153</v>
      </c>
      <c r="BI154">
        <v>78.2</v>
      </c>
      <c r="BJ154">
        <f t="shared" si="30"/>
        <v>171.67000000000002</v>
      </c>
      <c r="BK154">
        <v>31.67</v>
      </c>
      <c r="BL154" s="1">
        <f t="shared" si="31"/>
        <v>142.47200000000001</v>
      </c>
      <c r="BT154">
        <v>153</v>
      </c>
      <c r="BU154">
        <v>175.67</v>
      </c>
      <c r="BV154">
        <f t="shared" si="32"/>
        <v>0</v>
      </c>
      <c r="BW154">
        <v>-7.72</v>
      </c>
      <c r="BX154">
        <f t="shared" si="35"/>
        <v>153.38399999999999</v>
      </c>
      <c r="BY154" t="s">
        <v>0</v>
      </c>
    </row>
    <row r="155" spans="1:77" x14ac:dyDescent="0.25">
      <c r="A155">
        <v>155</v>
      </c>
      <c r="B155">
        <v>94.34</v>
      </c>
      <c r="C155">
        <v>155</v>
      </c>
      <c r="D155">
        <f t="shared" si="33"/>
        <v>-11.599999999999966</v>
      </c>
      <c r="E155" s="1">
        <f t="shared" si="34"/>
        <v>0.31999999999999318</v>
      </c>
      <c r="Q155">
        <v>154</v>
      </c>
      <c r="R155" s="4">
        <v>117.09</v>
      </c>
      <c r="S155" s="4">
        <f t="shared" si="25"/>
        <v>16.989999999999998</v>
      </c>
      <c r="T155" s="4">
        <v>16.989999999999998</v>
      </c>
      <c r="U155" s="4">
        <f t="shared" si="36"/>
        <v>-0.92800000000000016</v>
      </c>
      <c r="AF155">
        <v>154</v>
      </c>
      <c r="AG155" s="4">
        <v>120.37</v>
      </c>
      <c r="AH155" s="4">
        <f t="shared" si="26"/>
        <v>21.08</v>
      </c>
      <c r="AI155" s="4">
        <v>20.079999999999998</v>
      </c>
      <c r="AJ155" s="4">
        <f t="shared" si="28"/>
        <v>1.6179999999999999</v>
      </c>
      <c r="AT155">
        <v>154</v>
      </c>
      <c r="AU155">
        <v>141.69</v>
      </c>
      <c r="AV155">
        <f t="shared" si="27"/>
        <v>118.63</v>
      </c>
      <c r="AW155">
        <v>21.63</v>
      </c>
      <c r="AX155" s="1">
        <f t="shared" si="29"/>
        <v>97.617999999999995</v>
      </c>
      <c r="BH155">
        <v>154</v>
      </c>
      <c r="BI155">
        <v>79.2</v>
      </c>
      <c r="BJ155">
        <f t="shared" si="30"/>
        <v>160.07999999999998</v>
      </c>
      <c r="BK155">
        <v>20.079999999999998</v>
      </c>
      <c r="BL155" s="1">
        <f t="shared" si="31"/>
        <v>137.68199999999999</v>
      </c>
      <c r="BT155">
        <v>154</v>
      </c>
      <c r="BU155">
        <v>175.51</v>
      </c>
      <c r="BV155">
        <f t="shared" si="32"/>
        <v>0</v>
      </c>
      <c r="BW155">
        <v>-6.18</v>
      </c>
      <c r="BX155">
        <f t="shared" si="35"/>
        <v>154.61600000000001</v>
      </c>
      <c r="BY155" t="s">
        <v>0</v>
      </c>
    </row>
    <row r="156" spans="1:77" x14ac:dyDescent="0.25">
      <c r="A156">
        <v>156</v>
      </c>
      <c r="B156">
        <v>93.72</v>
      </c>
      <c r="C156">
        <v>156</v>
      </c>
      <c r="D156">
        <f t="shared" si="33"/>
        <v>-12.400000000000091</v>
      </c>
      <c r="E156" s="1">
        <f t="shared" si="34"/>
        <v>-0.16000000000002501</v>
      </c>
      <c r="Q156">
        <v>155</v>
      </c>
      <c r="R156" s="4">
        <v>118.05</v>
      </c>
      <c r="S156" s="4">
        <f t="shared" si="25"/>
        <v>19.309999999999999</v>
      </c>
      <c r="T156" s="4">
        <v>19.309999999999999</v>
      </c>
      <c r="U156" s="4">
        <f t="shared" si="36"/>
        <v>0.46400000000000008</v>
      </c>
      <c r="AF156">
        <v>155</v>
      </c>
      <c r="AG156" s="4">
        <v>121.3</v>
      </c>
      <c r="AH156" s="4">
        <f t="shared" si="26"/>
        <v>19.54</v>
      </c>
      <c r="AI156" s="4">
        <v>18.54</v>
      </c>
      <c r="AJ156" s="4">
        <f t="shared" si="28"/>
        <v>0.69200000000000017</v>
      </c>
      <c r="AT156">
        <v>155</v>
      </c>
      <c r="AU156">
        <v>142.72999999999999</v>
      </c>
      <c r="AV156">
        <f t="shared" si="27"/>
        <v>117.85</v>
      </c>
      <c r="AW156">
        <v>20.85</v>
      </c>
      <c r="AX156" s="1">
        <f t="shared" si="29"/>
        <v>96.843999999999994</v>
      </c>
      <c r="BH156">
        <v>155</v>
      </c>
      <c r="BI156">
        <v>79.86</v>
      </c>
      <c r="BJ156">
        <f t="shared" si="30"/>
        <v>153.13</v>
      </c>
      <c r="BK156">
        <v>13.13</v>
      </c>
      <c r="BL156" s="1">
        <f t="shared" si="31"/>
        <v>138.61000000000001</v>
      </c>
      <c r="BT156">
        <v>155</v>
      </c>
      <c r="BU156">
        <v>175.86</v>
      </c>
      <c r="BV156">
        <f t="shared" si="32"/>
        <v>167.9</v>
      </c>
      <c r="BW156">
        <v>13.9</v>
      </c>
      <c r="BX156">
        <f t="shared" si="35"/>
        <v>162.03200000000001</v>
      </c>
      <c r="BY156" t="s">
        <v>0</v>
      </c>
    </row>
    <row r="157" spans="1:77" x14ac:dyDescent="0.25">
      <c r="A157">
        <v>157</v>
      </c>
      <c r="B157">
        <v>93.18</v>
      </c>
      <c r="C157">
        <v>157</v>
      </c>
      <c r="D157">
        <f t="shared" si="33"/>
        <v>-10.799999999999841</v>
      </c>
      <c r="E157" s="1">
        <f t="shared" si="34"/>
        <v>0.32000000000005002</v>
      </c>
      <c r="Q157">
        <v>156</v>
      </c>
      <c r="R157" s="4">
        <v>119.25</v>
      </c>
      <c r="S157" s="4">
        <f t="shared" si="25"/>
        <v>23.94</v>
      </c>
      <c r="T157" s="4">
        <v>23.94</v>
      </c>
      <c r="U157" s="4">
        <f t="shared" si="36"/>
        <v>0.92600000000000049</v>
      </c>
      <c r="AF157">
        <v>156</v>
      </c>
      <c r="AG157" s="4">
        <v>122.18</v>
      </c>
      <c r="AH157" s="4">
        <f t="shared" si="26"/>
        <v>18.760000000000002</v>
      </c>
      <c r="AI157" s="4">
        <v>17.760000000000002</v>
      </c>
      <c r="AJ157" s="4">
        <f t="shared" si="28"/>
        <v>0.84400000000000053</v>
      </c>
      <c r="AT157">
        <v>156</v>
      </c>
      <c r="AU157">
        <v>143.69</v>
      </c>
      <c r="AV157">
        <f t="shared" si="27"/>
        <v>116.31</v>
      </c>
      <c r="AW157">
        <v>19.309999999999999</v>
      </c>
      <c r="AX157" s="1">
        <f t="shared" si="29"/>
        <v>96.691999999999993</v>
      </c>
      <c r="BH157">
        <v>156</v>
      </c>
      <c r="BI157">
        <v>80.52</v>
      </c>
      <c r="BJ157">
        <f t="shared" si="30"/>
        <v>153.13</v>
      </c>
      <c r="BK157">
        <v>13.13</v>
      </c>
      <c r="BL157" s="1">
        <f t="shared" si="31"/>
        <v>140</v>
      </c>
      <c r="BT157">
        <v>156</v>
      </c>
      <c r="BU157">
        <v>176.36</v>
      </c>
      <c r="BV157">
        <f t="shared" si="32"/>
        <v>174.07999999999998</v>
      </c>
      <c r="BW157">
        <v>20.079999999999998</v>
      </c>
      <c r="BX157">
        <f t="shared" si="35"/>
        <v>156.47200000000001</v>
      </c>
      <c r="BY157" t="s">
        <v>0</v>
      </c>
    </row>
    <row r="158" spans="1:77" x14ac:dyDescent="0.25">
      <c r="A158">
        <v>158</v>
      </c>
      <c r="B158">
        <v>92.68</v>
      </c>
      <c r="C158">
        <v>158</v>
      </c>
      <c r="D158">
        <f t="shared" si="33"/>
        <v>-10</v>
      </c>
      <c r="E158" s="1">
        <f t="shared" si="34"/>
        <v>0.15999999999996817</v>
      </c>
      <c r="Q158">
        <v>157</v>
      </c>
      <c r="R158" s="4">
        <v>120.37</v>
      </c>
      <c r="S158" s="4">
        <f t="shared" si="25"/>
        <v>22.4</v>
      </c>
      <c r="T158" s="4">
        <v>22.4</v>
      </c>
      <c r="U158" s="4">
        <f t="shared" si="36"/>
        <v>-0.30800000000000055</v>
      </c>
      <c r="AF158">
        <v>157</v>
      </c>
      <c r="AG158" s="4">
        <v>123.23</v>
      </c>
      <c r="AH158" s="4">
        <f t="shared" si="26"/>
        <v>21.85</v>
      </c>
      <c r="AI158" s="4">
        <v>20.85</v>
      </c>
      <c r="AJ158" s="4">
        <f t="shared" si="28"/>
        <v>1.6179999999999999</v>
      </c>
      <c r="AT158">
        <v>157</v>
      </c>
      <c r="AU158">
        <v>144.88999999999999</v>
      </c>
      <c r="AV158">
        <f t="shared" si="27"/>
        <v>120.94</v>
      </c>
      <c r="AW158">
        <v>23.94</v>
      </c>
      <c r="AX158" s="1">
        <f t="shared" si="29"/>
        <v>97.926000000000002</v>
      </c>
      <c r="BH158">
        <v>157</v>
      </c>
      <c r="BI158">
        <v>81.25</v>
      </c>
      <c r="BJ158">
        <f t="shared" si="30"/>
        <v>154.66999999999999</v>
      </c>
      <c r="BK158">
        <v>14.67</v>
      </c>
      <c r="BL158" s="1">
        <f t="shared" si="31"/>
        <v>140.30799999999999</v>
      </c>
      <c r="BT158">
        <v>157</v>
      </c>
      <c r="BU158">
        <v>176.36</v>
      </c>
      <c r="BV158">
        <f t="shared" si="32"/>
        <v>0</v>
      </c>
      <c r="BW158">
        <v>0</v>
      </c>
      <c r="BX158">
        <f t="shared" si="35"/>
        <v>145.96799999999999</v>
      </c>
      <c r="BY158" t="s">
        <v>0</v>
      </c>
    </row>
    <row r="159" spans="1:77" x14ac:dyDescent="0.25">
      <c r="A159">
        <v>159</v>
      </c>
      <c r="B159">
        <v>92.26</v>
      </c>
      <c r="C159">
        <v>159</v>
      </c>
      <c r="D159">
        <f t="shared" si="33"/>
        <v>-8.4000000000000341</v>
      </c>
      <c r="E159" s="1">
        <f t="shared" si="34"/>
        <v>0.31999999999999318</v>
      </c>
      <c r="Q159">
        <v>158</v>
      </c>
      <c r="R159" s="4">
        <v>121.37</v>
      </c>
      <c r="S159" s="4">
        <f t="shared" si="25"/>
        <v>20.079999999999998</v>
      </c>
      <c r="T159" s="4">
        <v>20.079999999999998</v>
      </c>
      <c r="U159" s="4">
        <f t="shared" si="36"/>
        <v>-0.46400000000000008</v>
      </c>
      <c r="AF159">
        <v>158</v>
      </c>
      <c r="AG159" s="4">
        <v>123.92</v>
      </c>
      <c r="AH159" s="4">
        <f t="shared" si="26"/>
        <v>14.9</v>
      </c>
      <c r="AI159" s="4">
        <v>13.9</v>
      </c>
      <c r="AJ159" s="4">
        <f t="shared" si="28"/>
        <v>-0.39000000000000012</v>
      </c>
      <c r="AT159">
        <v>158</v>
      </c>
      <c r="AU159">
        <v>145.88999999999999</v>
      </c>
      <c r="AV159">
        <f t="shared" si="27"/>
        <v>117.08</v>
      </c>
      <c r="AW159">
        <v>20.079999999999998</v>
      </c>
      <c r="AX159" s="1">
        <f t="shared" si="29"/>
        <v>96.227999999999994</v>
      </c>
      <c r="BH159">
        <v>158</v>
      </c>
      <c r="BI159">
        <v>82.1</v>
      </c>
      <c r="BJ159">
        <f t="shared" si="30"/>
        <v>156.99</v>
      </c>
      <c r="BK159">
        <v>16.989999999999998</v>
      </c>
      <c r="BL159" s="1">
        <f t="shared" si="31"/>
        <v>140.464</v>
      </c>
      <c r="BT159">
        <v>158</v>
      </c>
      <c r="BU159">
        <v>176.05</v>
      </c>
      <c r="BV159">
        <f t="shared" si="32"/>
        <v>0</v>
      </c>
      <c r="BW159">
        <v>-12.36</v>
      </c>
      <c r="BX159">
        <f t="shared" si="35"/>
        <v>149.05600000000001</v>
      </c>
      <c r="BY159" t="s">
        <v>0</v>
      </c>
    </row>
    <row r="160" spans="1:77" x14ac:dyDescent="0.25">
      <c r="A160">
        <v>160</v>
      </c>
      <c r="B160">
        <v>91.99</v>
      </c>
      <c r="C160">
        <v>160</v>
      </c>
      <c r="D160">
        <f t="shared" si="33"/>
        <v>-5.4000000000002046</v>
      </c>
      <c r="E160" s="1">
        <f t="shared" si="34"/>
        <v>0.59999999999996589</v>
      </c>
      <c r="Q160">
        <v>159</v>
      </c>
      <c r="R160" s="4">
        <v>122.22</v>
      </c>
      <c r="S160" s="4">
        <f t="shared" si="25"/>
        <v>16.989999999999998</v>
      </c>
      <c r="T160" s="4">
        <v>16.989999999999998</v>
      </c>
      <c r="U160" s="4">
        <f t="shared" si="36"/>
        <v>-0.61799999999999999</v>
      </c>
      <c r="AF160">
        <v>159</v>
      </c>
      <c r="AG160" s="4">
        <v>125.08</v>
      </c>
      <c r="AH160" s="4">
        <f t="shared" si="26"/>
        <v>24.17</v>
      </c>
      <c r="AI160" s="4">
        <v>23.17</v>
      </c>
      <c r="AJ160" s="4">
        <f t="shared" si="28"/>
        <v>2.8540000000000001</v>
      </c>
      <c r="AT160">
        <v>159</v>
      </c>
      <c r="AU160">
        <v>146.97999999999999</v>
      </c>
      <c r="AV160">
        <f t="shared" si="27"/>
        <v>118.63</v>
      </c>
      <c r="AW160">
        <v>21.63</v>
      </c>
      <c r="AX160" s="1">
        <f t="shared" si="29"/>
        <v>97.31</v>
      </c>
      <c r="BH160">
        <v>159</v>
      </c>
      <c r="BI160">
        <v>82.95</v>
      </c>
      <c r="BJ160">
        <f t="shared" si="30"/>
        <v>156.99</v>
      </c>
      <c r="BK160">
        <v>16.989999999999998</v>
      </c>
      <c r="BL160" s="1">
        <f t="shared" si="31"/>
        <v>140</v>
      </c>
      <c r="BT160">
        <v>159</v>
      </c>
      <c r="BU160">
        <v>175.63</v>
      </c>
      <c r="BV160">
        <f t="shared" si="32"/>
        <v>0</v>
      </c>
      <c r="BW160">
        <v>-16.989999999999998</v>
      </c>
      <c r="BX160">
        <f t="shared" si="35"/>
        <v>152.148</v>
      </c>
      <c r="BY160" t="s">
        <v>0</v>
      </c>
    </row>
    <row r="161" spans="1:77" x14ac:dyDescent="0.25">
      <c r="A161">
        <v>161</v>
      </c>
      <c r="B161">
        <v>91.6</v>
      </c>
      <c r="C161">
        <v>161</v>
      </c>
      <c r="D161">
        <f t="shared" si="33"/>
        <v>-7.8000000000000114</v>
      </c>
      <c r="E161" s="1">
        <f t="shared" si="34"/>
        <v>-0.47999999999996135</v>
      </c>
      <c r="Q161">
        <v>160</v>
      </c>
      <c r="R161" s="4">
        <v>123.27</v>
      </c>
      <c r="S161" s="4">
        <f t="shared" si="25"/>
        <v>20.85</v>
      </c>
      <c r="T161" s="4">
        <v>20.85</v>
      </c>
      <c r="U161" s="4">
        <f t="shared" si="36"/>
        <v>0.77200000000000057</v>
      </c>
      <c r="AF161">
        <v>160</v>
      </c>
      <c r="AG161" s="4">
        <v>126.01</v>
      </c>
      <c r="AH161" s="4">
        <f t="shared" si="26"/>
        <v>19.54</v>
      </c>
      <c r="AI161" s="4">
        <v>18.54</v>
      </c>
      <c r="AJ161" s="4">
        <f t="shared" si="28"/>
        <v>7.3999999999999511E-2</v>
      </c>
      <c r="AT161">
        <v>160</v>
      </c>
      <c r="AU161">
        <v>147.97999999999999</v>
      </c>
      <c r="AV161">
        <f t="shared" si="27"/>
        <v>117.08</v>
      </c>
      <c r="AW161">
        <v>20.079999999999998</v>
      </c>
      <c r="AX161" s="1">
        <f t="shared" si="29"/>
        <v>96.69</v>
      </c>
      <c r="BH161">
        <v>160</v>
      </c>
      <c r="BI161">
        <v>83.64</v>
      </c>
      <c r="BJ161">
        <f t="shared" si="30"/>
        <v>153.9</v>
      </c>
      <c r="BK161">
        <v>13.9</v>
      </c>
      <c r="BL161" s="1">
        <f t="shared" si="31"/>
        <v>139.38200000000001</v>
      </c>
      <c r="BT161">
        <v>160</v>
      </c>
      <c r="BU161">
        <v>175.17</v>
      </c>
      <c r="BV161">
        <f t="shared" si="32"/>
        <v>0</v>
      </c>
      <c r="BW161">
        <v>-18.54</v>
      </c>
      <c r="BX161">
        <f t="shared" si="35"/>
        <v>153.38</v>
      </c>
      <c r="BY161" t="s">
        <v>0</v>
      </c>
    </row>
    <row r="162" spans="1:77" x14ac:dyDescent="0.25">
      <c r="A162">
        <v>162</v>
      </c>
      <c r="B162">
        <v>91.21</v>
      </c>
      <c r="C162">
        <v>162</v>
      </c>
      <c r="D162">
        <f t="shared" si="33"/>
        <v>-7.8000000000000114</v>
      </c>
      <c r="E162" s="1">
        <f t="shared" si="34"/>
        <v>0</v>
      </c>
      <c r="Q162">
        <v>161</v>
      </c>
      <c r="R162" s="4">
        <v>124.42</v>
      </c>
      <c r="S162" s="4">
        <f t="shared" si="25"/>
        <v>23.17</v>
      </c>
      <c r="T162" s="4">
        <v>23.17</v>
      </c>
      <c r="U162" s="4">
        <f t="shared" si="36"/>
        <v>0.46400000000000008</v>
      </c>
      <c r="AF162">
        <v>161</v>
      </c>
      <c r="AG162" s="4">
        <v>127.55</v>
      </c>
      <c r="AH162" s="4">
        <f t="shared" si="26"/>
        <v>31.89</v>
      </c>
      <c r="AI162" s="4">
        <v>30.89</v>
      </c>
      <c r="AJ162" s="4">
        <f t="shared" si="28"/>
        <v>3.47</v>
      </c>
      <c r="AT162">
        <v>161</v>
      </c>
      <c r="AU162">
        <v>148.87</v>
      </c>
      <c r="AV162">
        <f t="shared" si="27"/>
        <v>114.76</v>
      </c>
      <c r="AW162">
        <v>17.760000000000002</v>
      </c>
      <c r="AX162" s="1">
        <f t="shared" si="29"/>
        <v>96.536000000000001</v>
      </c>
      <c r="BH162">
        <v>161</v>
      </c>
      <c r="BI162">
        <v>84.42</v>
      </c>
      <c r="BJ162">
        <f t="shared" si="30"/>
        <v>155.44999999999999</v>
      </c>
      <c r="BK162">
        <v>15.45</v>
      </c>
      <c r="BL162" s="1">
        <f t="shared" si="31"/>
        <v>140.31</v>
      </c>
      <c r="BT162">
        <v>161</v>
      </c>
      <c r="BU162">
        <v>174.78</v>
      </c>
      <c r="BV162">
        <f t="shared" si="32"/>
        <v>0</v>
      </c>
      <c r="BW162">
        <v>-15.45</v>
      </c>
      <c r="BX162">
        <f t="shared" si="35"/>
        <v>155.23599999999999</v>
      </c>
      <c r="BY162" t="s">
        <v>0</v>
      </c>
    </row>
    <row r="163" spans="1:77" x14ac:dyDescent="0.25">
      <c r="A163">
        <v>163</v>
      </c>
      <c r="B163">
        <v>90.83</v>
      </c>
      <c r="C163">
        <v>163</v>
      </c>
      <c r="D163">
        <f t="shared" si="33"/>
        <v>-7.5999999999999091</v>
      </c>
      <c r="E163" s="1">
        <f t="shared" si="34"/>
        <v>4.0000000000020464E-2</v>
      </c>
      <c r="Q163">
        <v>162</v>
      </c>
      <c r="R163" s="4">
        <v>125.58</v>
      </c>
      <c r="S163" s="4">
        <f t="shared" si="25"/>
        <v>23.17</v>
      </c>
      <c r="T163" s="4">
        <v>23.17</v>
      </c>
      <c r="U163" s="4">
        <f t="shared" si="36"/>
        <v>0</v>
      </c>
      <c r="AF163">
        <v>162</v>
      </c>
      <c r="AG163" s="4">
        <v>129.6</v>
      </c>
      <c r="AH163" s="4">
        <f t="shared" si="26"/>
        <v>41.93</v>
      </c>
      <c r="AI163" s="4">
        <v>40.93</v>
      </c>
      <c r="AJ163" s="4">
        <f t="shared" si="28"/>
        <v>3.008</v>
      </c>
      <c r="AT163">
        <v>162</v>
      </c>
      <c r="AU163">
        <v>149.83000000000001</v>
      </c>
      <c r="AV163">
        <f t="shared" si="27"/>
        <v>116.31</v>
      </c>
      <c r="AW163">
        <v>19.309999999999999</v>
      </c>
      <c r="AX163" s="1">
        <f t="shared" si="29"/>
        <v>97.31</v>
      </c>
      <c r="BH163">
        <v>162</v>
      </c>
      <c r="BI163">
        <v>85.07</v>
      </c>
      <c r="BJ163">
        <f t="shared" si="30"/>
        <v>153.13</v>
      </c>
      <c r="BK163">
        <v>13.13</v>
      </c>
      <c r="BL163" s="1">
        <f t="shared" si="31"/>
        <v>139.536</v>
      </c>
      <c r="BT163">
        <v>162</v>
      </c>
      <c r="BU163">
        <v>174.43</v>
      </c>
      <c r="BV163">
        <f t="shared" si="32"/>
        <v>0</v>
      </c>
      <c r="BW163">
        <v>-13.9</v>
      </c>
      <c r="BX163">
        <f t="shared" si="35"/>
        <v>154.62</v>
      </c>
      <c r="BY163" t="s">
        <v>0</v>
      </c>
    </row>
    <row r="164" spans="1:77" x14ac:dyDescent="0.25">
      <c r="A164">
        <v>164</v>
      </c>
      <c r="B164">
        <v>90.44</v>
      </c>
      <c r="C164">
        <v>164</v>
      </c>
      <c r="D164">
        <f t="shared" si="33"/>
        <v>-7.8000000000000114</v>
      </c>
      <c r="E164" s="1">
        <f t="shared" si="34"/>
        <v>-4.0000000000020464E-2</v>
      </c>
      <c r="Q164">
        <v>163</v>
      </c>
      <c r="R164" s="4">
        <v>126.39</v>
      </c>
      <c r="S164" s="4">
        <f t="shared" si="25"/>
        <v>16.22</v>
      </c>
      <c r="T164" s="4">
        <v>16.22</v>
      </c>
      <c r="U164" s="4">
        <f t="shared" si="36"/>
        <v>-1.3900000000000006</v>
      </c>
      <c r="AF164">
        <v>163</v>
      </c>
      <c r="AG164" s="4">
        <v>130.63999999999999</v>
      </c>
      <c r="AH164" s="4">
        <f t="shared" si="26"/>
        <v>21.85</v>
      </c>
      <c r="AI164" s="4">
        <v>20.85</v>
      </c>
      <c r="AJ164" s="4">
        <f t="shared" si="28"/>
        <v>-3.016</v>
      </c>
      <c r="AT164">
        <v>163</v>
      </c>
      <c r="AU164">
        <v>150.94999999999999</v>
      </c>
      <c r="AV164">
        <f t="shared" si="27"/>
        <v>119.4</v>
      </c>
      <c r="AW164">
        <v>22.4</v>
      </c>
      <c r="AX164" s="1">
        <f t="shared" si="29"/>
        <v>97.617999999999995</v>
      </c>
      <c r="BH164">
        <v>163</v>
      </c>
      <c r="BI164">
        <v>85.73</v>
      </c>
      <c r="BJ164">
        <f t="shared" si="30"/>
        <v>153.13</v>
      </c>
      <c r="BK164">
        <v>13.13</v>
      </c>
      <c r="BL164" s="1">
        <f t="shared" si="31"/>
        <v>140</v>
      </c>
      <c r="BT164">
        <v>163</v>
      </c>
      <c r="BU164">
        <v>174.28</v>
      </c>
      <c r="BV164">
        <f t="shared" si="32"/>
        <v>0</v>
      </c>
      <c r="BW164">
        <v>-6.18</v>
      </c>
      <c r="BX164">
        <f t="shared" si="35"/>
        <v>157.08799999999999</v>
      </c>
      <c r="BY164" t="s">
        <v>0</v>
      </c>
    </row>
    <row r="165" spans="1:77" x14ac:dyDescent="0.25">
      <c r="A165">
        <v>165</v>
      </c>
      <c r="B165">
        <v>90.13</v>
      </c>
      <c r="C165">
        <v>165</v>
      </c>
      <c r="D165">
        <f t="shared" si="33"/>
        <v>-6.2000000000000455</v>
      </c>
      <c r="E165" s="1">
        <f t="shared" si="34"/>
        <v>0.31999999999999318</v>
      </c>
      <c r="Q165">
        <v>164</v>
      </c>
      <c r="R165" s="4">
        <v>127.24</v>
      </c>
      <c r="S165" s="4">
        <f t="shared" si="25"/>
        <v>16.989999999999998</v>
      </c>
      <c r="T165" s="4">
        <v>16.989999999999998</v>
      </c>
      <c r="U165" s="4">
        <f t="shared" si="36"/>
        <v>0.15399999999999991</v>
      </c>
      <c r="AF165">
        <v>164</v>
      </c>
      <c r="AG165" s="4">
        <v>131.76</v>
      </c>
      <c r="AH165" s="4">
        <f t="shared" si="26"/>
        <v>23.4</v>
      </c>
      <c r="AI165" s="4">
        <v>22.4</v>
      </c>
      <c r="AJ165" s="4">
        <f t="shared" si="28"/>
        <v>1.3099999999999994</v>
      </c>
      <c r="AT165">
        <v>164</v>
      </c>
      <c r="AU165">
        <v>151.80000000000001</v>
      </c>
      <c r="AV165">
        <f t="shared" si="27"/>
        <v>113.99</v>
      </c>
      <c r="AW165">
        <v>16.989999999999998</v>
      </c>
      <c r="AX165" s="1">
        <f t="shared" si="29"/>
        <v>95.918000000000006</v>
      </c>
      <c r="BH165">
        <v>164</v>
      </c>
      <c r="BI165">
        <v>86.27</v>
      </c>
      <c r="BJ165">
        <f t="shared" si="30"/>
        <v>150.81</v>
      </c>
      <c r="BK165">
        <v>10.81</v>
      </c>
      <c r="BL165" s="1">
        <f t="shared" si="31"/>
        <v>139.536</v>
      </c>
      <c r="BT165">
        <v>164</v>
      </c>
      <c r="BU165">
        <v>174.08</v>
      </c>
      <c r="BV165">
        <f t="shared" si="32"/>
        <v>0</v>
      </c>
      <c r="BW165">
        <v>-7.72</v>
      </c>
      <c r="BX165">
        <f t="shared" si="35"/>
        <v>153.38399999999999</v>
      </c>
      <c r="BY165" t="s">
        <v>0</v>
      </c>
    </row>
    <row r="166" spans="1:77" x14ac:dyDescent="0.25">
      <c r="A166">
        <v>166</v>
      </c>
      <c r="B166">
        <v>89.82</v>
      </c>
      <c r="C166">
        <v>166</v>
      </c>
      <c r="D166">
        <f t="shared" si="33"/>
        <v>-6.2000000000000455</v>
      </c>
      <c r="E166" s="1">
        <f t="shared" si="34"/>
        <v>0</v>
      </c>
      <c r="Q166">
        <v>165</v>
      </c>
      <c r="R166" s="4">
        <v>128.13</v>
      </c>
      <c r="S166" s="4">
        <f t="shared" si="25"/>
        <v>17.760000000000002</v>
      </c>
      <c r="T166" s="4">
        <v>17.760000000000002</v>
      </c>
      <c r="U166" s="4">
        <f t="shared" si="36"/>
        <v>0.15400000000000064</v>
      </c>
      <c r="AF166">
        <v>165</v>
      </c>
      <c r="AG166" s="4">
        <v>132.11000000000001</v>
      </c>
      <c r="AH166" s="4">
        <f t="shared" si="26"/>
        <v>7.95</v>
      </c>
      <c r="AI166" s="4">
        <v>6.95</v>
      </c>
      <c r="AJ166" s="4">
        <f t="shared" si="28"/>
        <v>-2.09</v>
      </c>
      <c r="AT166">
        <v>165</v>
      </c>
      <c r="AU166">
        <v>152.72999999999999</v>
      </c>
      <c r="AV166">
        <f t="shared" si="27"/>
        <v>115.53999999999999</v>
      </c>
      <c r="AW166">
        <v>18.54</v>
      </c>
      <c r="AX166" s="1">
        <f t="shared" si="29"/>
        <v>97.31</v>
      </c>
      <c r="BH166">
        <v>165</v>
      </c>
      <c r="BI166">
        <v>86.89</v>
      </c>
      <c r="BJ166">
        <f t="shared" si="30"/>
        <v>152.36000000000001</v>
      </c>
      <c r="BK166">
        <v>12.36</v>
      </c>
      <c r="BL166" s="1">
        <f t="shared" si="31"/>
        <v>140.31</v>
      </c>
      <c r="BT166">
        <v>165</v>
      </c>
      <c r="BU166">
        <v>173.89</v>
      </c>
      <c r="BV166">
        <f t="shared" si="32"/>
        <v>0</v>
      </c>
      <c r="BW166">
        <v>-7.72</v>
      </c>
      <c r="BX166">
        <f t="shared" si="35"/>
        <v>154</v>
      </c>
      <c r="BY166" t="s">
        <v>0</v>
      </c>
    </row>
    <row r="167" spans="1:77" x14ac:dyDescent="0.25">
      <c r="A167">
        <v>167</v>
      </c>
      <c r="B167">
        <v>89.4</v>
      </c>
      <c r="C167">
        <v>167</v>
      </c>
      <c r="D167">
        <f t="shared" si="33"/>
        <v>-8.3999999999997499</v>
      </c>
      <c r="E167" s="1">
        <f t="shared" si="34"/>
        <v>-0.43999999999994088</v>
      </c>
      <c r="Q167">
        <v>166</v>
      </c>
      <c r="R167" s="4">
        <v>129.13</v>
      </c>
      <c r="S167" s="4">
        <f t="shared" si="25"/>
        <v>20.079999999999998</v>
      </c>
      <c r="T167" s="4">
        <v>20.079999999999998</v>
      </c>
      <c r="U167" s="4">
        <f t="shared" si="36"/>
        <v>0.46399999999999936</v>
      </c>
      <c r="AF167">
        <v>166</v>
      </c>
      <c r="AG167" s="4">
        <v>132.38</v>
      </c>
      <c r="AH167" s="4">
        <f t="shared" si="26"/>
        <v>6.41</v>
      </c>
      <c r="AI167" s="4">
        <v>5.41</v>
      </c>
      <c r="AJ167" s="4">
        <f t="shared" si="28"/>
        <v>0.69199999999999995</v>
      </c>
      <c r="AT167">
        <v>166</v>
      </c>
      <c r="AU167">
        <v>153.81</v>
      </c>
      <c r="AV167">
        <f t="shared" si="27"/>
        <v>118.63</v>
      </c>
      <c r="AW167">
        <v>21.63</v>
      </c>
      <c r="AX167" s="1">
        <f t="shared" si="29"/>
        <v>97.617999999999995</v>
      </c>
      <c r="BH167">
        <v>166</v>
      </c>
      <c r="BI167">
        <v>88.63</v>
      </c>
      <c r="BJ167">
        <f t="shared" si="30"/>
        <v>174.76</v>
      </c>
      <c r="BK167">
        <v>34.76</v>
      </c>
      <c r="BL167" s="1">
        <f t="shared" si="31"/>
        <v>144.47999999999999</v>
      </c>
      <c r="BT167">
        <v>166</v>
      </c>
      <c r="BU167">
        <v>173.66</v>
      </c>
      <c r="BV167">
        <f t="shared" si="32"/>
        <v>0</v>
      </c>
      <c r="BW167">
        <v>-9.27</v>
      </c>
      <c r="BX167">
        <f t="shared" si="35"/>
        <v>153.38</v>
      </c>
      <c r="BY167" t="s">
        <v>0</v>
      </c>
    </row>
    <row r="168" spans="1:77" x14ac:dyDescent="0.25">
      <c r="A168">
        <v>168</v>
      </c>
      <c r="B168">
        <v>89.09</v>
      </c>
      <c r="C168">
        <v>168</v>
      </c>
      <c r="D168">
        <f t="shared" si="33"/>
        <v>-6.2000000000000455</v>
      </c>
      <c r="E168" s="1">
        <f t="shared" si="34"/>
        <v>0.43999999999994088</v>
      </c>
      <c r="Q168">
        <v>167</v>
      </c>
      <c r="R168" s="4">
        <v>130.06</v>
      </c>
      <c r="S168" s="4">
        <f t="shared" si="25"/>
        <v>18.54</v>
      </c>
      <c r="T168" s="4">
        <v>18.54</v>
      </c>
      <c r="U168" s="4">
        <f t="shared" si="36"/>
        <v>-0.30799999999999983</v>
      </c>
      <c r="AF168">
        <v>167</v>
      </c>
      <c r="AG168" s="4">
        <v>133.19</v>
      </c>
      <c r="AH168" s="4">
        <f t="shared" si="26"/>
        <v>17.22</v>
      </c>
      <c r="AI168" s="4">
        <v>16.22</v>
      </c>
      <c r="AJ168" s="4">
        <f t="shared" si="28"/>
        <v>3.1619999999999999</v>
      </c>
      <c r="AT168">
        <v>167</v>
      </c>
      <c r="AU168">
        <v>155.05000000000001</v>
      </c>
      <c r="AV168">
        <f t="shared" si="27"/>
        <v>121.71000000000001</v>
      </c>
      <c r="AW168">
        <v>24.71</v>
      </c>
      <c r="AX168" s="1">
        <f t="shared" si="29"/>
        <v>97.616</v>
      </c>
      <c r="BH168">
        <v>167</v>
      </c>
      <c r="BI168">
        <v>90.21</v>
      </c>
      <c r="BJ168">
        <f t="shared" si="30"/>
        <v>171.67000000000002</v>
      </c>
      <c r="BK168">
        <v>31.67</v>
      </c>
      <c r="BL168" s="1">
        <f t="shared" si="31"/>
        <v>139.38200000000001</v>
      </c>
      <c r="BT168">
        <v>167</v>
      </c>
      <c r="BU168">
        <v>173.35</v>
      </c>
      <c r="BV168">
        <f t="shared" si="32"/>
        <v>0</v>
      </c>
      <c r="BW168">
        <v>-12.36</v>
      </c>
      <c r="BX168">
        <f t="shared" si="35"/>
        <v>152.76400000000001</v>
      </c>
      <c r="BY168" t="s">
        <v>0</v>
      </c>
    </row>
    <row r="169" spans="1:77" x14ac:dyDescent="0.25">
      <c r="A169">
        <v>169</v>
      </c>
      <c r="B169">
        <v>89.59</v>
      </c>
      <c r="C169">
        <v>169</v>
      </c>
      <c r="D169">
        <f t="shared" si="33"/>
        <v>10</v>
      </c>
      <c r="E169" s="1">
        <f t="shared" si="34"/>
        <v>3.2400000000000091</v>
      </c>
      <c r="Q169">
        <v>168</v>
      </c>
      <c r="R169" s="4">
        <v>131.07</v>
      </c>
      <c r="S169" s="4">
        <f t="shared" si="25"/>
        <v>20.079999999999998</v>
      </c>
      <c r="T169" s="4">
        <v>20.079999999999998</v>
      </c>
      <c r="U169" s="4">
        <f t="shared" si="36"/>
        <v>0.30799999999999983</v>
      </c>
      <c r="AF169">
        <v>168</v>
      </c>
      <c r="AG169" s="4">
        <v>134.16</v>
      </c>
      <c r="AH169" s="4">
        <f t="shared" si="26"/>
        <v>20.309999999999999</v>
      </c>
      <c r="AI169" s="4">
        <v>19.309999999999999</v>
      </c>
      <c r="AJ169" s="4">
        <f t="shared" si="28"/>
        <v>1.6179999999999999</v>
      </c>
      <c r="AT169">
        <v>168</v>
      </c>
      <c r="AU169">
        <v>156.09</v>
      </c>
      <c r="AV169">
        <f t="shared" si="27"/>
        <v>117.85</v>
      </c>
      <c r="AW169">
        <v>20.85</v>
      </c>
      <c r="AX169" s="1">
        <f t="shared" si="29"/>
        <v>96.227999999999994</v>
      </c>
      <c r="BH169">
        <v>168</v>
      </c>
      <c r="BI169">
        <v>91.1</v>
      </c>
      <c r="BJ169">
        <f t="shared" si="30"/>
        <v>157.76</v>
      </c>
      <c r="BK169">
        <v>17.760000000000002</v>
      </c>
      <c r="BL169" s="1">
        <f t="shared" si="31"/>
        <v>137.21799999999999</v>
      </c>
      <c r="BT169">
        <v>168</v>
      </c>
      <c r="BU169">
        <v>173.2</v>
      </c>
      <c r="BV169">
        <f t="shared" si="32"/>
        <v>0</v>
      </c>
      <c r="BW169">
        <v>-6.18</v>
      </c>
      <c r="BX169">
        <f t="shared" si="35"/>
        <v>156.47200000000001</v>
      </c>
      <c r="BY169" t="s">
        <v>0</v>
      </c>
    </row>
    <row r="170" spans="1:77" x14ac:dyDescent="0.25">
      <c r="A170">
        <v>170</v>
      </c>
      <c r="B170">
        <v>90.83</v>
      </c>
      <c r="C170">
        <v>170</v>
      </c>
      <c r="D170">
        <f t="shared" si="33"/>
        <v>24.799999999999898</v>
      </c>
      <c r="E170" s="1">
        <f t="shared" si="34"/>
        <v>2.9599999999999795</v>
      </c>
      <c r="Q170">
        <v>169</v>
      </c>
      <c r="R170" s="4">
        <v>132.07</v>
      </c>
      <c r="S170" s="4">
        <f t="shared" si="25"/>
        <v>20.079999999999998</v>
      </c>
      <c r="T170" s="4">
        <v>20.079999999999998</v>
      </c>
      <c r="U170" s="4">
        <f t="shared" si="36"/>
        <v>0</v>
      </c>
      <c r="AF170">
        <v>169</v>
      </c>
      <c r="AG170" s="4">
        <v>134.88999999999999</v>
      </c>
      <c r="AH170" s="4">
        <f t="shared" si="26"/>
        <v>15.67</v>
      </c>
      <c r="AI170" s="4">
        <v>14.67</v>
      </c>
      <c r="AJ170" s="4">
        <f t="shared" si="28"/>
        <v>7.2000000000000286E-2</v>
      </c>
      <c r="AT170">
        <v>169</v>
      </c>
      <c r="AU170">
        <v>157.05000000000001</v>
      </c>
      <c r="AV170">
        <f t="shared" si="27"/>
        <v>116.31</v>
      </c>
      <c r="AW170">
        <v>19.309999999999999</v>
      </c>
      <c r="AX170" s="1">
        <f t="shared" si="29"/>
        <v>96.691999999999993</v>
      </c>
      <c r="BH170">
        <v>169</v>
      </c>
      <c r="BI170">
        <v>91.83</v>
      </c>
      <c r="BJ170">
        <f t="shared" si="30"/>
        <v>154.66999999999999</v>
      </c>
      <c r="BK170">
        <v>14.67</v>
      </c>
      <c r="BL170" s="1">
        <f t="shared" si="31"/>
        <v>139.38200000000001</v>
      </c>
      <c r="BT170">
        <v>169</v>
      </c>
      <c r="BU170">
        <v>172.97</v>
      </c>
      <c r="BV170">
        <f t="shared" si="32"/>
        <v>0</v>
      </c>
      <c r="BW170">
        <v>-9.27</v>
      </c>
      <c r="BX170">
        <f t="shared" si="35"/>
        <v>152.76400000000001</v>
      </c>
      <c r="BY170" t="s">
        <v>0</v>
      </c>
    </row>
    <row r="171" spans="1:77" x14ac:dyDescent="0.25">
      <c r="A171">
        <v>171</v>
      </c>
      <c r="B171">
        <v>91.1</v>
      </c>
      <c r="C171">
        <v>171</v>
      </c>
      <c r="D171">
        <f t="shared" si="33"/>
        <v>5.3999999999999204</v>
      </c>
      <c r="E171" s="1">
        <f t="shared" si="34"/>
        <v>-3.8799999999999955</v>
      </c>
      <c r="Q171">
        <v>170</v>
      </c>
      <c r="R171" s="4">
        <v>133.07</v>
      </c>
      <c r="S171" s="4">
        <f t="shared" si="25"/>
        <v>20.079999999999998</v>
      </c>
      <c r="T171" s="4">
        <v>20.079999999999998</v>
      </c>
      <c r="U171" s="4">
        <f t="shared" si="36"/>
        <v>0</v>
      </c>
      <c r="AF171">
        <v>170</v>
      </c>
      <c r="AG171" s="4">
        <v>135.88999999999999</v>
      </c>
      <c r="AH171" s="4">
        <f t="shared" si="26"/>
        <v>21.08</v>
      </c>
      <c r="AI171" s="4">
        <v>20.079999999999998</v>
      </c>
      <c r="AJ171" s="4">
        <f t="shared" si="28"/>
        <v>2.0819999999999999</v>
      </c>
      <c r="AT171">
        <v>170</v>
      </c>
      <c r="AU171">
        <v>158.1</v>
      </c>
      <c r="AV171">
        <f t="shared" si="27"/>
        <v>117.85</v>
      </c>
      <c r="AW171">
        <v>20.85</v>
      </c>
      <c r="AX171" s="1">
        <f t="shared" si="29"/>
        <v>97.308000000000007</v>
      </c>
      <c r="BH171">
        <v>170</v>
      </c>
      <c r="BI171">
        <v>92.33</v>
      </c>
      <c r="BJ171">
        <f t="shared" si="30"/>
        <v>150.04</v>
      </c>
      <c r="BK171">
        <v>10.039999999999999</v>
      </c>
      <c r="BL171" s="1">
        <f t="shared" si="31"/>
        <v>139.07400000000001</v>
      </c>
      <c r="BT171">
        <v>170</v>
      </c>
      <c r="BU171">
        <v>172.73</v>
      </c>
      <c r="BV171">
        <f t="shared" si="32"/>
        <v>0</v>
      </c>
      <c r="BW171">
        <v>-9.27</v>
      </c>
      <c r="BX171">
        <f t="shared" si="35"/>
        <v>154</v>
      </c>
      <c r="BY171" t="s">
        <v>0</v>
      </c>
    </row>
    <row r="172" spans="1:77" x14ac:dyDescent="0.25">
      <c r="A172">
        <v>172</v>
      </c>
      <c r="B172">
        <v>90.67</v>
      </c>
      <c r="C172">
        <v>172</v>
      </c>
      <c r="D172">
        <f t="shared" si="33"/>
        <v>-8.5999999999998522</v>
      </c>
      <c r="E172" s="1">
        <f t="shared" si="34"/>
        <v>-2.7999999999999545</v>
      </c>
      <c r="Q172">
        <v>171</v>
      </c>
      <c r="R172" s="4">
        <v>134.16</v>
      </c>
      <c r="S172" s="4">
        <f t="shared" si="25"/>
        <v>21.63</v>
      </c>
      <c r="T172" s="4">
        <v>21.63</v>
      </c>
      <c r="U172" s="4">
        <f t="shared" si="36"/>
        <v>0.31000000000000016</v>
      </c>
      <c r="AF172">
        <v>171</v>
      </c>
      <c r="AG172" s="4">
        <v>136.69999999999999</v>
      </c>
      <c r="AH172" s="4">
        <f t="shared" si="26"/>
        <v>17.22</v>
      </c>
      <c r="AI172" s="4">
        <v>16.22</v>
      </c>
      <c r="AJ172" s="4">
        <f t="shared" si="28"/>
        <v>0.22800000000000009</v>
      </c>
      <c r="AT172">
        <v>171</v>
      </c>
      <c r="AU172">
        <v>159.13999999999999</v>
      </c>
      <c r="AV172">
        <f t="shared" si="27"/>
        <v>117.85</v>
      </c>
      <c r="AW172">
        <v>20.85</v>
      </c>
      <c r="AX172" s="1">
        <f t="shared" si="29"/>
        <v>97</v>
      </c>
      <c r="BH172">
        <v>171</v>
      </c>
      <c r="BI172">
        <v>92.99</v>
      </c>
      <c r="BJ172">
        <f t="shared" si="30"/>
        <v>153.13</v>
      </c>
      <c r="BK172">
        <v>13.13</v>
      </c>
      <c r="BL172" s="1">
        <f t="shared" si="31"/>
        <v>140.61799999999999</v>
      </c>
      <c r="BT172">
        <v>171</v>
      </c>
      <c r="BU172">
        <v>172.54</v>
      </c>
      <c r="BV172">
        <f t="shared" si="32"/>
        <v>0</v>
      </c>
      <c r="BW172">
        <v>-7.72</v>
      </c>
      <c r="BX172">
        <f t="shared" si="35"/>
        <v>154.62</v>
      </c>
      <c r="BY172" t="s">
        <v>0</v>
      </c>
    </row>
    <row r="173" spans="1:77" x14ac:dyDescent="0.25">
      <c r="A173">
        <v>173</v>
      </c>
      <c r="B173">
        <v>90.4</v>
      </c>
      <c r="C173">
        <v>173</v>
      </c>
      <c r="D173">
        <f t="shared" si="33"/>
        <v>-5.3999999999999204</v>
      </c>
      <c r="E173" s="1">
        <f t="shared" si="34"/>
        <v>0.63999999999998636</v>
      </c>
      <c r="Q173">
        <v>172</v>
      </c>
      <c r="R173" s="4">
        <v>135</v>
      </c>
      <c r="S173" s="4">
        <f t="shared" si="25"/>
        <v>16.989999999999998</v>
      </c>
      <c r="T173" s="4">
        <v>16.989999999999998</v>
      </c>
      <c r="U173" s="4">
        <f t="shared" si="36"/>
        <v>-0.92800000000000016</v>
      </c>
      <c r="AF173">
        <v>172</v>
      </c>
      <c r="AG173" s="4">
        <v>137.66999999999999</v>
      </c>
      <c r="AH173" s="4">
        <f t="shared" si="26"/>
        <v>20.309999999999999</v>
      </c>
      <c r="AI173" s="4">
        <v>19.309999999999999</v>
      </c>
      <c r="AJ173" s="4">
        <f t="shared" si="28"/>
        <v>1.6179999999999999</v>
      </c>
      <c r="AT173">
        <v>172</v>
      </c>
      <c r="AU173">
        <v>159.87</v>
      </c>
      <c r="AV173">
        <f t="shared" si="27"/>
        <v>111.67</v>
      </c>
      <c r="AW173">
        <v>14.67</v>
      </c>
      <c r="AX173" s="1">
        <f t="shared" si="29"/>
        <v>95.763999999999996</v>
      </c>
      <c r="BH173">
        <v>172</v>
      </c>
      <c r="BI173">
        <v>93.72</v>
      </c>
      <c r="BJ173">
        <f t="shared" si="30"/>
        <v>154.66999999999999</v>
      </c>
      <c r="BK173">
        <v>14.67</v>
      </c>
      <c r="BL173" s="1">
        <f t="shared" si="31"/>
        <v>140.30799999999999</v>
      </c>
      <c r="BT173">
        <v>172</v>
      </c>
      <c r="BU173">
        <v>172.35</v>
      </c>
      <c r="BV173">
        <f t="shared" si="32"/>
        <v>0</v>
      </c>
      <c r="BW173">
        <v>-7.72</v>
      </c>
      <c r="BX173">
        <f t="shared" si="35"/>
        <v>154</v>
      </c>
      <c r="BY173" t="s">
        <v>0</v>
      </c>
    </row>
    <row r="174" spans="1:77" x14ac:dyDescent="0.25">
      <c r="A174">
        <v>174</v>
      </c>
      <c r="B174">
        <v>89.9</v>
      </c>
      <c r="C174">
        <v>174</v>
      </c>
      <c r="D174">
        <f t="shared" si="33"/>
        <v>-10</v>
      </c>
      <c r="E174" s="1">
        <f t="shared" si="34"/>
        <v>-0.92000000000001592</v>
      </c>
      <c r="Q174">
        <v>173</v>
      </c>
      <c r="R174" s="4">
        <v>135.85</v>
      </c>
      <c r="S174" s="4">
        <f t="shared" si="25"/>
        <v>16.989999999999998</v>
      </c>
      <c r="T174" s="4">
        <v>16.989999999999998</v>
      </c>
      <c r="U174" s="4">
        <f t="shared" si="36"/>
        <v>0</v>
      </c>
      <c r="AF174">
        <v>173</v>
      </c>
      <c r="AG174" s="4">
        <v>138.47999999999999</v>
      </c>
      <c r="AH174" s="4">
        <f t="shared" si="26"/>
        <v>17.22</v>
      </c>
      <c r="AI174" s="4">
        <v>16.22</v>
      </c>
      <c r="AJ174" s="4">
        <f t="shared" si="28"/>
        <v>0.38200000000000001</v>
      </c>
      <c r="AT174">
        <v>173</v>
      </c>
      <c r="AU174">
        <v>160.80000000000001</v>
      </c>
      <c r="AV174">
        <f t="shared" si="27"/>
        <v>115.53999999999999</v>
      </c>
      <c r="AW174">
        <v>18.54</v>
      </c>
      <c r="AX174" s="1">
        <f t="shared" si="29"/>
        <v>97.774000000000001</v>
      </c>
      <c r="BH174">
        <v>173</v>
      </c>
      <c r="BI174">
        <v>94.38</v>
      </c>
      <c r="BJ174">
        <f t="shared" si="30"/>
        <v>153.13</v>
      </c>
      <c r="BK174">
        <v>13.13</v>
      </c>
      <c r="BL174" s="1">
        <f t="shared" si="31"/>
        <v>139.69200000000001</v>
      </c>
      <c r="BT174">
        <v>173</v>
      </c>
      <c r="BU174">
        <v>172.12</v>
      </c>
      <c r="BV174">
        <f t="shared" si="32"/>
        <v>0</v>
      </c>
      <c r="BW174">
        <v>-9.27</v>
      </c>
      <c r="BX174">
        <f t="shared" si="35"/>
        <v>153.38</v>
      </c>
      <c r="BY174" t="s">
        <v>0</v>
      </c>
    </row>
    <row r="175" spans="1:77" x14ac:dyDescent="0.25">
      <c r="A175">
        <v>175</v>
      </c>
      <c r="B175">
        <v>89.28</v>
      </c>
      <c r="C175">
        <v>175</v>
      </c>
      <c r="D175">
        <f t="shared" si="33"/>
        <v>-12.400000000000091</v>
      </c>
      <c r="E175" s="1">
        <f t="shared" si="34"/>
        <v>-0.48000000000001819</v>
      </c>
      <c r="Q175">
        <v>174</v>
      </c>
      <c r="R175" s="4">
        <v>137.01</v>
      </c>
      <c r="S175" s="4">
        <f t="shared" si="25"/>
        <v>23.17</v>
      </c>
      <c r="T175" s="4">
        <v>23.17</v>
      </c>
      <c r="U175" s="4">
        <f t="shared" si="36"/>
        <v>1.2360000000000007</v>
      </c>
      <c r="AF175">
        <v>174</v>
      </c>
      <c r="AG175" s="4">
        <v>139.6</v>
      </c>
      <c r="AH175" s="4">
        <f t="shared" si="26"/>
        <v>23.4</v>
      </c>
      <c r="AI175" s="4">
        <v>22.4</v>
      </c>
      <c r="AJ175" s="4">
        <f t="shared" si="28"/>
        <v>2.2359999999999998</v>
      </c>
      <c r="AT175">
        <v>174</v>
      </c>
      <c r="AU175">
        <v>161.80000000000001</v>
      </c>
      <c r="AV175">
        <f t="shared" si="27"/>
        <v>117.08</v>
      </c>
      <c r="AW175">
        <v>20.079999999999998</v>
      </c>
      <c r="AX175" s="1">
        <f t="shared" si="29"/>
        <v>97.307999999999993</v>
      </c>
      <c r="BH175">
        <v>174</v>
      </c>
      <c r="BI175">
        <v>94.92</v>
      </c>
      <c r="BJ175">
        <f t="shared" si="30"/>
        <v>150.81</v>
      </c>
      <c r="BK175">
        <v>10.81</v>
      </c>
      <c r="BL175" s="1">
        <f t="shared" si="31"/>
        <v>139.536</v>
      </c>
      <c r="BT175">
        <v>174</v>
      </c>
      <c r="BU175">
        <v>171.96</v>
      </c>
      <c r="BV175">
        <f t="shared" si="32"/>
        <v>0</v>
      </c>
      <c r="BW175">
        <v>-6.18</v>
      </c>
      <c r="BX175">
        <f t="shared" si="35"/>
        <v>155.23599999999999</v>
      </c>
      <c r="BY175" t="s">
        <v>0</v>
      </c>
    </row>
    <row r="176" spans="1:77" x14ac:dyDescent="0.25">
      <c r="A176">
        <v>176</v>
      </c>
      <c r="B176">
        <v>88.82</v>
      </c>
      <c r="C176">
        <v>176</v>
      </c>
      <c r="D176">
        <f t="shared" si="33"/>
        <v>-9.2000000000001592</v>
      </c>
      <c r="E176" s="1">
        <f t="shared" si="34"/>
        <v>0.63999999999998636</v>
      </c>
      <c r="Q176">
        <v>175</v>
      </c>
      <c r="R176" s="4">
        <v>137.9</v>
      </c>
      <c r="S176" s="4">
        <f t="shared" si="25"/>
        <v>17.760000000000002</v>
      </c>
      <c r="T176" s="4">
        <v>17.760000000000002</v>
      </c>
      <c r="U176" s="4">
        <f t="shared" si="36"/>
        <v>-1.0820000000000001</v>
      </c>
      <c r="AF176">
        <v>175</v>
      </c>
      <c r="AG176" s="4">
        <v>140.53</v>
      </c>
      <c r="AH176" s="4">
        <f t="shared" si="26"/>
        <v>19.54</v>
      </c>
      <c r="AI176" s="4">
        <v>18.54</v>
      </c>
      <c r="AJ176" s="4">
        <f t="shared" si="28"/>
        <v>0.22800000000000009</v>
      </c>
      <c r="AT176">
        <v>175</v>
      </c>
      <c r="AU176">
        <v>162.77000000000001</v>
      </c>
      <c r="AV176">
        <f t="shared" si="27"/>
        <v>116.31</v>
      </c>
      <c r="AW176">
        <v>19.309999999999999</v>
      </c>
      <c r="AX176" s="1">
        <f t="shared" si="29"/>
        <v>96.846000000000004</v>
      </c>
      <c r="BH176">
        <v>175</v>
      </c>
      <c r="BI176">
        <v>95.58</v>
      </c>
      <c r="BJ176">
        <f t="shared" si="30"/>
        <v>153.13</v>
      </c>
      <c r="BK176">
        <v>13.13</v>
      </c>
      <c r="BL176" s="1">
        <f t="shared" si="31"/>
        <v>140.464</v>
      </c>
      <c r="BT176">
        <v>175</v>
      </c>
      <c r="BU176" s="2">
        <v>171.77</v>
      </c>
      <c r="BV176">
        <f t="shared" si="32"/>
        <v>0</v>
      </c>
      <c r="BW176">
        <v>-7.72</v>
      </c>
      <c r="BX176">
        <f t="shared" si="35"/>
        <v>153.38399999999999</v>
      </c>
      <c r="BY176" t="s">
        <v>0</v>
      </c>
    </row>
    <row r="177" spans="1:77" x14ac:dyDescent="0.25">
      <c r="A177">
        <v>177</v>
      </c>
      <c r="B177">
        <v>88.28</v>
      </c>
      <c r="C177">
        <v>177</v>
      </c>
      <c r="D177">
        <f t="shared" si="33"/>
        <v>-10.799999999999841</v>
      </c>
      <c r="E177" s="1">
        <f t="shared" si="34"/>
        <v>-0.31999999999993634</v>
      </c>
      <c r="Q177">
        <v>176</v>
      </c>
      <c r="R177" s="4">
        <v>138.87</v>
      </c>
      <c r="S177" s="4">
        <f t="shared" si="25"/>
        <v>19.309999999999999</v>
      </c>
      <c r="T177" s="4">
        <v>19.309999999999999</v>
      </c>
      <c r="U177" s="4">
        <f t="shared" si="36"/>
        <v>0.30999999999999944</v>
      </c>
      <c r="AF177">
        <v>176</v>
      </c>
      <c r="AG177" s="4">
        <v>142.30000000000001</v>
      </c>
      <c r="AH177" s="4">
        <f t="shared" si="26"/>
        <v>36.53</v>
      </c>
      <c r="AI177" s="4">
        <v>35.53</v>
      </c>
      <c r="AJ177" s="4">
        <f t="shared" si="28"/>
        <v>4.3980000000000006</v>
      </c>
      <c r="AT177">
        <v>176</v>
      </c>
      <c r="AU177">
        <v>162.85</v>
      </c>
      <c r="AV177">
        <f t="shared" si="27"/>
        <v>98.54</v>
      </c>
      <c r="AW177">
        <v>1.54</v>
      </c>
      <c r="AX177" s="1">
        <f t="shared" si="29"/>
        <v>93.445999999999998</v>
      </c>
      <c r="BH177">
        <v>176</v>
      </c>
      <c r="BI177">
        <v>96</v>
      </c>
      <c r="BJ177">
        <f t="shared" si="30"/>
        <v>148.5</v>
      </c>
      <c r="BK177">
        <v>8.5</v>
      </c>
      <c r="BL177" s="1">
        <f t="shared" si="31"/>
        <v>139.07400000000001</v>
      </c>
      <c r="BT177">
        <v>176</v>
      </c>
      <c r="BU177">
        <v>172.08</v>
      </c>
      <c r="BV177">
        <f t="shared" si="32"/>
        <v>166.36</v>
      </c>
      <c r="BW177">
        <v>12.36</v>
      </c>
      <c r="BX177">
        <f t="shared" si="35"/>
        <v>162.03200000000001</v>
      </c>
      <c r="BY177" t="s">
        <v>0</v>
      </c>
    </row>
    <row r="178" spans="1:77" x14ac:dyDescent="0.25">
      <c r="A178">
        <v>178</v>
      </c>
      <c r="B178">
        <v>87.54</v>
      </c>
      <c r="C178">
        <v>178</v>
      </c>
      <c r="D178">
        <f t="shared" si="33"/>
        <v>-14.799999999999898</v>
      </c>
      <c r="E178" s="1">
        <f t="shared" si="34"/>
        <v>-0.80000000000001137</v>
      </c>
      <c r="Q178">
        <v>177</v>
      </c>
      <c r="R178" s="4">
        <v>139.72</v>
      </c>
      <c r="S178" s="4">
        <f t="shared" si="25"/>
        <v>16.989999999999998</v>
      </c>
      <c r="T178" s="4">
        <v>16.989999999999998</v>
      </c>
      <c r="U178" s="4">
        <f t="shared" si="36"/>
        <v>-0.46400000000000008</v>
      </c>
      <c r="AF178">
        <v>177</v>
      </c>
      <c r="AG178" s="4">
        <v>143.11000000000001</v>
      </c>
      <c r="AH178" s="4">
        <f t="shared" si="26"/>
        <v>17.22</v>
      </c>
      <c r="AI178" s="4">
        <v>16.22</v>
      </c>
      <c r="AJ178" s="4">
        <f t="shared" si="28"/>
        <v>-2.8620000000000005</v>
      </c>
      <c r="AT178">
        <v>177</v>
      </c>
      <c r="AU178">
        <v>162.11000000000001</v>
      </c>
      <c r="AV178">
        <f t="shared" si="27"/>
        <v>0</v>
      </c>
      <c r="AW178">
        <v>-14.67</v>
      </c>
      <c r="AX178" s="1">
        <f t="shared" si="29"/>
        <v>93.757999999999996</v>
      </c>
      <c r="BH178">
        <v>177</v>
      </c>
      <c r="BI178">
        <v>96.74</v>
      </c>
      <c r="BJ178">
        <f t="shared" si="30"/>
        <v>154.66999999999999</v>
      </c>
      <c r="BK178">
        <v>14.67</v>
      </c>
      <c r="BL178" s="1">
        <f t="shared" si="31"/>
        <v>141.23400000000001</v>
      </c>
      <c r="BT178">
        <v>177</v>
      </c>
      <c r="BU178">
        <v>172.58</v>
      </c>
      <c r="BV178">
        <f t="shared" si="32"/>
        <v>174.07999999999998</v>
      </c>
      <c r="BW178">
        <v>20.079999999999998</v>
      </c>
      <c r="BX178">
        <f t="shared" si="35"/>
        <v>157.08799999999999</v>
      </c>
      <c r="BY178" t="s">
        <v>0</v>
      </c>
    </row>
    <row r="179" spans="1:77" x14ac:dyDescent="0.25">
      <c r="A179">
        <v>179</v>
      </c>
      <c r="B179">
        <v>86.89</v>
      </c>
      <c r="C179">
        <v>179</v>
      </c>
      <c r="D179">
        <f t="shared" si="33"/>
        <v>-13.000000000000114</v>
      </c>
      <c r="E179" s="1">
        <f t="shared" si="34"/>
        <v>0.3599999999999568</v>
      </c>
      <c r="Q179">
        <v>178</v>
      </c>
      <c r="R179" s="4">
        <v>140.68</v>
      </c>
      <c r="S179" s="4">
        <f t="shared" si="25"/>
        <v>19.309999999999999</v>
      </c>
      <c r="T179" s="4">
        <v>19.309999999999999</v>
      </c>
      <c r="U179" s="4">
        <f t="shared" si="36"/>
        <v>0.46400000000000008</v>
      </c>
      <c r="AF179">
        <v>178</v>
      </c>
      <c r="AG179" s="4">
        <v>143.69</v>
      </c>
      <c r="AH179" s="4">
        <f t="shared" si="26"/>
        <v>12.59</v>
      </c>
      <c r="AI179" s="4">
        <v>11.59</v>
      </c>
      <c r="AJ179" s="4">
        <f t="shared" si="28"/>
        <v>7.4000000000000177E-2</v>
      </c>
      <c r="AT179">
        <v>178</v>
      </c>
      <c r="AU179">
        <v>161.19</v>
      </c>
      <c r="AV179">
        <f t="shared" si="27"/>
        <v>0</v>
      </c>
      <c r="AW179">
        <v>-18.54</v>
      </c>
      <c r="AX179" s="1">
        <f t="shared" si="29"/>
        <v>96.225999999999999</v>
      </c>
      <c r="BH179">
        <v>178</v>
      </c>
      <c r="BI179">
        <v>97.55</v>
      </c>
      <c r="BJ179">
        <f t="shared" si="30"/>
        <v>156.22</v>
      </c>
      <c r="BK179">
        <v>16.22</v>
      </c>
      <c r="BL179" s="1">
        <f t="shared" si="31"/>
        <v>140.31</v>
      </c>
      <c r="BT179">
        <v>178</v>
      </c>
      <c r="BU179" s="2">
        <v>172.73</v>
      </c>
      <c r="BV179">
        <f t="shared" si="32"/>
        <v>160.18</v>
      </c>
      <c r="BW179">
        <v>6.18</v>
      </c>
      <c r="BX179">
        <f t="shared" si="35"/>
        <v>148.44</v>
      </c>
      <c r="BY179" t="s">
        <v>0</v>
      </c>
    </row>
    <row r="180" spans="1:77" x14ac:dyDescent="0.25">
      <c r="A180">
        <v>180</v>
      </c>
      <c r="B180">
        <v>86.27</v>
      </c>
      <c r="C180">
        <v>180</v>
      </c>
      <c r="D180">
        <f t="shared" si="33"/>
        <v>-12.400000000000091</v>
      </c>
      <c r="E180" s="1">
        <f t="shared" si="34"/>
        <v>0.12000000000000455</v>
      </c>
      <c r="Q180">
        <v>179</v>
      </c>
      <c r="R180" s="4">
        <v>141.65</v>
      </c>
      <c r="S180" s="4">
        <f t="shared" si="25"/>
        <v>19.309999999999999</v>
      </c>
      <c r="T180" s="4">
        <v>19.309999999999999</v>
      </c>
      <c r="U180" s="4">
        <f t="shared" si="36"/>
        <v>0</v>
      </c>
      <c r="AF180">
        <v>179</v>
      </c>
      <c r="AG180" s="4">
        <v>144.27000000000001</v>
      </c>
      <c r="AH180" s="4">
        <f t="shared" si="26"/>
        <v>12.59</v>
      </c>
      <c r="AI180" s="4">
        <v>11.59</v>
      </c>
      <c r="AJ180" s="4">
        <f t="shared" si="28"/>
        <v>1</v>
      </c>
      <c r="AT180">
        <v>179</v>
      </c>
      <c r="AU180">
        <v>160.34</v>
      </c>
      <c r="AV180">
        <f t="shared" si="27"/>
        <v>0</v>
      </c>
      <c r="AW180">
        <v>-16.989999999999998</v>
      </c>
      <c r="AX180" s="1">
        <f t="shared" si="29"/>
        <v>97.31</v>
      </c>
      <c r="BH180">
        <v>179</v>
      </c>
      <c r="BI180">
        <v>99.4</v>
      </c>
      <c r="BJ180">
        <f t="shared" si="30"/>
        <v>177.07</v>
      </c>
      <c r="BK180">
        <v>37.07</v>
      </c>
      <c r="BL180" s="1">
        <f t="shared" si="31"/>
        <v>144.16999999999999</v>
      </c>
      <c r="BT180">
        <v>179</v>
      </c>
      <c r="BU180" s="3">
        <v>172.46</v>
      </c>
      <c r="BV180">
        <f t="shared" si="32"/>
        <v>0</v>
      </c>
      <c r="BW180">
        <v>-10.81</v>
      </c>
      <c r="BX180">
        <f t="shared" si="35"/>
        <v>147.20400000000001</v>
      </c>
      <c r="BY180" t="s">
        <v>0</v>
      </c>
    </row>
    <row r="181" spans="1:77" x14ac:dyDescent="0.25">
      <c r="A181">
        <v>181</v>
      </c>
      <c r="B181">
        <v>85.81</v>
      </c>
      <c r="C181">
        <v>181</v>
      </c>
      <c r="D181">
        <f t="shared" si="33"/>
        <v>-9.1999999999998749</v>
      </c>
      <c r="E181" s="1">
        <f t="shared" si="34"/>
        <v>0.6400000000000432</v>
      </c>
      <c r="Q181">
        <v>180</v>
      </c>
      <c r="R181" s="4">
        <v>142.41999999999999</v>
      </c>
      <c r="S181" s="4">
        <f t="shared" si="25"/>
        <v>15.45</v>
      </c>
      <c r="T181" s="4">
        <v>15.45</v>
      </c>
      <c r="U181" s="4">
        <f t="shared" si="36"/>
        <v>-0.77199999999999991</v>
      </c>
      <c r="AF181">
        <v>180</v>
      </c>
      <c r="AG181" s="4">
        <v>145.05000000000001</v>
      </c>
      <c r="AH181" s="4">
        <f t="shared" si="26"/>
        <v>16.45</v>
      </c>
      <c r="AI181" s="4">
        <v>15.45</v>
      </c>
      <c r="AJ181" s="4">
        <f t="shared" si="28"/>
        <v>1.7719999999999998</v>
      </c>
      <c r="AT181">
        <v>180</v>
      </c>
      <c r="AU181">
        <v>159.49</v>
      </c>
      <c r="AV181">
        <f t="shared" si="27"/>
        <v>0</v>
      </c>
      <c r="AW181">
        <v>-16.989999999999998</v>
      </c>
      <c r="AX181" s="1">
        <f t="shared" si="29"/>
        <v>97</v>
      </c>
      <c r="BH181">
        <v>180</v>
      </c>
      <c r="BI181">
        <v>101.1</v>
      </c>
      <c r="BJ181">
        <f t="shared" si="30"/>
        <v>173.98</v>
      </c>
      <c r="BK181">
        <v>33.979999999999997</v>
      </c>
      <c r="BL181" s="1">
        <f t="shared" si="31"/>
        <v>139.38200000000001</v>
      </c>
      <c r="BT181">
        <v>180</v>
      </c>
      <c r="BU181">
        <v>171.92</v>
      </c>
      <c r="BV181">
        <f t="shared" si="32"/>
        <v>0</v>
      </c>
      <c r="BW181">
        <v>-21.63</v>
      </c>
      <c r="BX181">
        <f t="shared" si="35"/>
        <v>149.672</v>
      </c>
      <c r="BY181" t="s">
        <v>0</v>
      </c>
    </row>
    <row r="182" spans="1:77" x14ac:dyDescent="0.25">
      <c r="A182">
        <v>182</v>
      </c>
      <c r="B182">
        <v>85.34</v>
      </c>
      <c r="C182">
        <v>182</v>
      </c>
      <c r="D182">
        <f t="shared" si="33"/>
        <v>-9.3999999999999773</v>
      </c>
      <c r="E182" s="1">
        <f t="shared" si="34"/>
        <v>-4.0000000000020464E-2</v>
      </c>
      <c r="Q182">
        <v>181</v>
      </c>
      <c r="R182" s="4">
        <v>143.54</v>
      </c>
      <c r="S182" s="4">
        <f t="shared" si="25"/>
        <v>22.4</v>
      </c>
      <c r="T182" s="4">
        <v>22.4</v>
      </c>
      <c r="U182" s="4">
        <f t="shared" si="36"/>
        <v>1.39</v>
      </c>
      <c r="AF182">
        <v>181</v>
      </c>
      <c r="AG182" s="4">
        <v>146.05000000000001</v>
      </c>
      <c r="AH182" s="4">
        <f t="shared" si="26"/>
        <v>21.08</v>
      </c>
      <c r="AI182" s="4">
        <v>20.079999999999998</v>
      </c>
      <c r="AJ182" s="4">
        <f t="shared" si="28"/>
        <v>1.9259999999999997</v>
      </c>
      <c r="AT182">
        <v>181</v>
      </c>
      <c r="AU182">
        <v>158.68</v>
      </c>
      <c r="AV182">
        <f t="shared" si="27"/>
        <v>0</v>
      </c>
      <c r="AW182">
        <v>-16.22</v>
      </c>
      <c r="AX182" s="1">
        <f t="shared" si="29"/>
        <v>97.153999999999996</v>
      </c>
      <c r="BH182">
        <v>181</v>
      </c>
      <c r="BI182">
        <v>102.3</v>
      </c>
      <c r="BJ182">
        <f t="shared" si="30"/>
        <v>163.94</v>
      </c>
      <c r="BK182">
        <v>23.94</v>
      </c>
      <c r="BL182" s="1">
        <f t="shared" si="31"/>
        <v>137.99199999999999</v>
      </c>
      <c r="BT182">
        <v>181</v>
      </c>
      <c r="BU182">
        <v>171.42</v>
      </c>
      <c r="BV182">
        <f t="shared" si="32"/>
        <v>0</v>
      </c>
      <c r="BW182">
        <v>-20.079999999999998</v>
      </c>
      <c r="BX182">
        <f t="shared" si="35"/>
        <v>154.62</v>
      </c>
      <c r="BY182" t="s">
        <v>0</v>
      </c>
    </row>
    <row r="183" spans="1:77" x14ac:dyDescent="0.25">
      <c r="A183">
        <v>183</v>
      </c>
      <c r="B183">
        <v>84.96</v>
      </c>
      <c r="C183">
        <v>183</v>
      </c>
      <c r="D183">
        <f t="shared" si="33"/>
        <v>-7.6000000000001933</v>
      </c>
      <c r="E183" s="1">
        <f t="shared" si="34"/>
        <v>0.3599999999999568</v>
      </c>
      <c r="Q183">
        <v>182</v>
      </c>
      <c r="R183" s="4">
        <v>144.31</v>
      </c>
      <c r="S183" s="4">
        <f t="shared" si="25"/>
        <v>15.45</v>
      </c>
      <c r="T183" s="4">
        <v>15.45</v>
      </c>
      <c r="U183" s="4">
        <f t="shared" si="36"/>
        <v>-1.39</v>
      </c>
      <c r="AF183">
        <v>182</v>
      </c>
      <c r="AG183" s="4">
        <v>146.86000000000001</v>
      </c>
      <c r="AH183" s="4">
        <f t="shared" si="26"/>
        <v>17.22</v>
      </c>
      <c r="AI183" s="4">
        <v>16.22</v>
      </c>
      <c r="AJ183" s="4">
        <f t="shared" si="28"/>
        <v>0.22800000000000009</v>
      </c>
      <c r="AT183">
        <v>182</v>
      </c>
      <c r="AU183">
        <v>157.94</v>
      </c>
      <c r="AV183">
        <f t="shared" si="27"/>
        <v>0</v>
      </c>
      <c r="AW183">
        <v>-14.67</v>
      </c>
      <c r="AX183" s="1">
        <f t="shared" si="29"/>
        <v>97.31</v>
      </c>
      <c r="BH183">
        <v>182</v>
      </c>
      <c r="BI183">
        <v>102.95</v>
      </c>
      <c r="BJ183">
        <f t="shared" si="30"/>
        <v>153.13</v>
      </c>
      <c r="BK183">
        <v>13.13</v>
      </c>
      <c r="BL183" s="1">
        <f t="shared" si="31"/>
        <v>137.83799999999999</v>
      </c>
      <c r="BT183">
        <v>182</v>
      </c>
      <c r="BU183">
        <v>171</v>
      </c>
      <c r="BV183">
        <f t="shared" si="32"/>
        <v>0</v>
      </c>
      <c r="BW183">
        <v>-16.989999999999998</v>
      </c>
      <c r="BX183">
        <f t="shared" si="35"/>
        <v>155.23599999999999</v>
      </c>
      <c r="BY183" t="s">
        <v>0</v>
      </c>
    </row>
    <row r="184" spans="1:77" x14ac:dyDescent="0.25">
      <c r="A184">
        <v>184</v>
      </c>
      <c r="B184">
        <v>84.57</v>
      </c>
      <c r="C184">
        <v>184</v>
      </c>
      <c r="D184">
        <f t="shared" si="33"/>
        <v>-7.8000000000000114</v>
      </c>
      <c r="E184" s="1">
        <f t="shared" si="34"/>
        <v>-3.999999999996362E-2</v>
      </c>
      <c r="Q184">
        <v>183</v>
      </c>
      <c r="R184" s="4">
        <v>145.32</v>
      </c>
      <c r="S184" s="4">
        <f t="shared" si="25"/>
        <v>20.079999999999998</v>
      </c>
      <c r="T184" s="4">
        <v>20.079999999999998</v>
      </c>
      <c r="U184" s="4">
        <f t="shared" si="36"/>
        <v>0.92599999999999982</v>
      </c>
      <c r="AF184">
        <v>183</v>
      </c>
      <c r="AG184" s="4">
        <v>147.97999999999999</v>
      </c>
      <c r="AH184" s="4">
        <f t="shared" si="26"/>
        <v>23.4</v>
      </c>
      <c r="AI184" s="4">
        <v>22.4</v>
      </c>
      <c r="AJ184" s="4">
        <f t="shared" si="28"/>
        <v>2.2359999999999998</v>
      </c>
      <c r="AT184">
        <v>183</v>
      </c>
      <c r="AU184">
        <v>157.16999999999999</v>
      </c>
      <c r="AV184">
        <f t="shared" si="27"/>
        <v>0</v>
      </c>
      <c r="AW184">
        <v>-15.45</v>
      </c>
      <c r="AX184" s="1">
        <f t="shared" si="29"/>
        <v>96.843999999999994</v>
      </c>
      <c r="BH184">
        <v>183</v>
      </c>
      <c r="BI184">
        <v>103.38</v>
      </c>
      <c r="BJ184">
        <f t="shared" si="30"/>
        <v>148.5</v>
      </c>
      <c r="BK184">
        <v>8.5</v>
      </c>
      <c r="BL184" s="1">
        <f t="shared" si="31"/>
        <v>139.07400000000001</v>
      </c>
      <c r="BT184">
        <v>183</v>
      </c>
      <c r="BU184">
        <v>170.65</v>
      </c>
      <c r="BV184">
        <f t="shared" si="32"/>
        <v>0</v>
      </c>
      <c r="BW184">
        <v>-13.9</v>
      </c>
      <c r="BX184">
        <f t="shared" si="35"/>
        <v>155.23599999999999</v>
      </c>
      <c r="BY184" t="s">
        <v>0</v>
      </c>
    </row>
    <row r="185" spans="1:77" x14ac:dyDescent="0.25">
      <c r="A185">
        <v>185</v>
      </c>
      <c r="B185">
        <v>84.15</v>
      </c>
      <c r="C185">
        <v>185</v>
      </c>
      <c r="D185">
        <f t="shared" si="33"/>
        <v>-8.3999999999997499</v>
      </c>
      <c r="E185" s="1">
        <f t="shared" si="34"/>
        <v>-0.1199999999999477</v>
      </c>
      <c r="Q185">
        <v>184</v>
      </c>
      <c r="R185" s="4">
        <v>145.12</v>
      </c>
      <c r="S185" s="4">
        <f t="shared" si="25"/>
        <v>0</v>
      </c>
      <c r="T185" s="4">
        <v>-3.86</v>
      </c>
      <c r="U185" s="4">
        <f t="shared" si="36"/>
        <v>-4.7879999999999994</v>
      </c>
      <c r="AF185">
        <v>184</v>
      </c>
      <c r="AG185" s="4">
        <v>148.71</v>
      </c>
      <c r="AH185" s="4">
        <f t="shared" si="26"/>
        <v>15.67</v>
      </c>
      <c r="AI185" s="4">
        <v>14.67</v>
      </c>
      <c r="AJ185" s="4">
        <f t="shared" si="28"/>
        <v>-0.54599999999999982</v>
      </c>
      <c r="AT185">
        <v>184</v>
      </c>
      <c r="AU185">
        <v>156.51</v>
      </c>
      <c r="AV185">
        <f t="shared" si="27"/>
        <v>0</v>
      </c>
      <c r="AW185">
        <v>-13.13</v>
      </c>
      <c r="AX185" s="1">
        <f t="shared" si="29"/>
        <v>97.463999999999999</v>
      </c>
      <c r="BH185">
        <v>184</v>
      </c>
      <c r="BI185">
        <v>103.84</v>
      </c>
      <c r="BJ185">
        <f t="shared" si="30"/>
        <v>149.27000000000001</v>
      </c>
      <c r="BK185">
        <v>9.27</v>
      </c>
      <c r="BL185" s="1">
        <f t="shared" si="31"/>
        <v>140.154</v>
      </c>
      <c r="BT185">
        <v>184</v>
      </c>
      <c r="BU185">
        <v>170.57</v>
      </c>
      <c r="BV185">
        <f t="shared" si="32"/>
        <v>0</v>
      </c>
      <c r="BW185">
        <v>-3.09</v>
      </c>
      <c r="BX185">
        <f t="shared" si="35"/>
        <v>158.32400000000001</v>
      </c>
      <c r="BY185" t="s">
        <v>0</v>
      </c>
    </row>
    <row r="186" spans="1:77" x14ac:dyDescent="0.25">
      <c r="A186">
        <v>186</v>
      </c>
      <c r="B186">
        <v>83.8</v>
      </c>
      <c r="C186">
        <v>186</v>
      </c>
      <c r="D186">
        <f t="shared" si="33"/>
        <v>-7.0000000000001705</v>
      </c>
      <c r="E186" s="1">
        <f t="shared" si="34"/>
        <v>0.27999999999991587</v>
      </c>
      <c r="Q186">
        <v>185</v>
      </c>
      <c r="R186" s="4">
        <v>144.43</v>
      </c>
      <c r="S186" s="4">
        <f t="shared" si="25"/>
        <v>0</v>
      </c>
      <c r="T186" s="4">
        <v>-13.9</v>
      </c>
      <c r="U186" s="4">
        <f t="shared" si="36"/>
        <v>-2.008</v>
      </c>
      <c r="AF186">
        <v>185</v>
      </c>
      <c r="AG186" s="4">
        <v>149.83000000000001</v>
      </c>
      <c r="AH186" s="4">
        <f t="shared" si="26"/>
        <v>23.4</v>
      </c>
      <c r="AI186" s="4">
        <v>22.4</v>
      </c>
      <c r="AJ186" s="4">
        <f t="shared" si="28"/>
        <v>2.5459999999999998</v>
      </c>
      <c r="AT186">
        <v>185</v>
      </c>
      <c r="AU186">
        <v>155.78</v>
      </c>
      <c r="AV186">
        <f t="shared" si="27"/>
        <v>0</v>
      </c>
      <c r="AW186">
        <v>-14.67</v>
      </c>
      <c r="AX186" s="1">
        <f t="shared" si="29"/>
        <v>96.692000000000007</v>
      </c>
      <c r="BH186">
        <v>185</v>
      </c>
      <c r="BI186">
        <v>104.34</v>
      </c>
      <c r="BJ186">
        <f t="shared" si="30"/>
        <v>150.04</v>
      </c>
      <c r="BK186">
        <v>10.039999999999999</v>
      </c>
      <c r="BL186" s="1">
        <f t="shared" si="31"/>
        <v>140.154</v>
      </c>
      <c r="BT186">
        <v>185</v>
      </c>
      <c r="BU186">
        <v>170.42</v>
      </c>
      <c r="BV186">
        <f t="shared" si="32"/>
        <v>0</v>
      </c>
      <c r="BW186">
        <v>-6.18</v>
      </c>
      <c r="BX186">
        <f t="shared" si="35"/>
        <v>152.76400000000001</v>
      </c>
      <c r="BY186" t="s">
        <v>0</v>
      </c>
    </row>
    <row r="187" spans="1:77" x14ac:dyDescent="0.25">
      <c r="A187">
        <v>187</v>
      </c>
      <c r="B187">
        <v>83.45</v>
      </c>
      <c r="C187">
        <v>187</v>
      </c>
      <c r="D187">
        <f t="shared" si="33"/>
        <v>-6.9999999999998863</v>
      </c>
      <c r="E187" s="1">
        <f t="shared" si="34"/>
        <v>5.6843418860808015E-14</v>
      </c>
      <c r="Q187">
        <v>186</v>
      </c>
      <c r="R187" s="4">
        <v>143.5</v>
      </c>
      <c r="S187" s="4">
        <f t="shared" si="25"/>
        <v>0</v>
      </c>
      <c r="T187" s="4">
        <v>-18.54</v>
      </c>
      <c r="U187" s="4">
        <f t="shared" si="36"/>
        <v>-0.92799999999999971</v>
      </c>
      <c r="AF187">
        <v>186</v>
      </c>
      <c r="AG187" s="4">
        <v>150.61000000000001</v>
      </c>
      <c r="AH187" s="4">
        <f t="shared" si="26"/>
        <v>16.45</v>
      </c>
      <c r="AI187" s="4">
        <v>15.45</v>
      </c>
      <c r="AJ187" s="4">
        <f t="shared" si="28"/>
        <v>-0.3899999999999999</v>
      </c>
      <c r="AT187">
        <v>186</v>
      </c>
      <c r="AU187">
        <v>155.05000000000001</v>
      </c>
      <c r="AV187">
        <f t="shared" si="27"/>
        <v>0</v>
      </c>
      <c r="AW187">
        <v>-14.67</v>
      </c>
      <c r="AX187" s="1">
        <f t="shared" si="29"/>
        <v>97</v>
      </c>
      <c r="BH187">
        <v>186</v>
      </c>
      <c r="BI187">
        <v>104.77</v>
      </c>
      <c r="BJ187">
        <f t="shared" si="30"/>
        <v>148.5</v>
      </c>
      <c r="BK187">
        <v>8.5</v>
      </c>
      <c r="BL187" s="1">
        <f t="shared" si="31"/>
        <v>139.69200000000001</v>
      </c>
      <c r="BT187">
        <v>186</v>
      </c>
      <c r="BU187">
        <v>170.26</v>
      </c>
      <c r="BV187">
        <f t="shared" si="32"/>
        <v>0</v>
      </c>
      <c r="BW187">
        <v>-6.18</v>
      </c>
      <c r="BX187">
        <f t="shared" si="35"/>
        <v>154</v>
      </c>
      <c r="BY187" t="s">
        <v>0</v>
      </c>
    </row>
    <row r="188" spans="1:77" x14ac:dyDescent="0.25">
      <c r="A188">
        <v>188</v>
      </c>
      <c r="B188">
        <v>83.06</v>
      </c>
      <c r="C188">
        <v>188</v>
      </c>
      <c r="D188">
        <f t="shared" si="33"/>
        <v>-7.8000000000000114</v>
      </c>
      <c r="E188" s="1">
        <f t="shared" si="34"/>
        <v>-0.16000000000002501</v>
      </c>
      <c r="Q188">
        <v>187</v>
      </c>
      <c r="R188" s="4">
        <v>142.61000000000001</v>
      </c>
      <c r="S188" s="4">
        <f t="shared" si="25"/>
        <v>0</v>
      </c>
      <c r="T188" s="4">
        <v>-17.760000000000002</v>
      </c>
      <c r="U188" s="4">
        <f t="shared" si="36"/>
        <v>0.15599999999999953</v>
      </c>
      <c r="AF188">
        <v>187</v>
      </c>
      <c r="AG188" s="4">
        <v>151.61000000000001</v>
      </c>
      <c r="AH188" s="4">
        <f t="shared" si="26"/>
        <v>21.08</v>
      </c>
      <c r="AI188" s="4">
        <v>20.079999999999998</v>
      </c>
      <c r="AJ188" s="4">
        <f t="shared" si="28"/>
        <v>1.9259999999999997</v>
      </c>
      <c r="AT188">
        <v>187</v>
      </c>
      <c r="AU188">
        <v>154.43</v>
      </c>
      <c r="AV188">
        <f t="shared" si="27"/>
        <v>0</v>
      </c>
      <c r="AW188">
        <v>-12.36</v>
      </c>
      <c r="AX188" s="1">
        <f t="shared" si="29"/>
        <v>97.462000000000003</v>
      </c>
      <c r="BH188">
        <v>187</v>
      </c>
      <c r="BI188">
        <v>105.42</v>
      </c>
      <c r="BJ188">
        <f t="shared" si="30"/>
        <v>153.13</v>
      </c>
      <c r="BK188">
        <v>13.13</v>
      </c>
      <c r="BL188" s="1">
        <f t="shared" si="31"/>
        <v>140.92599999999999</v>
      </c>
      <c r="BT188">
        <v>187</v>
      </c>
      <c r="BU188">
        <v>169.95</v>
      </c>
      <c r="BV188">
        <f t="shared" si="32"/>
        <v>0</v>
      </c>
      <c r="BW188">
        <v>-12.36</v>
      </c>
      <c r="BX188">
        <f t="shared" si="35"/>
        <v>151.52799999999999</v>
      </c>
      <c r="BY188" t="s">
        <v>0</v>
      </c>
    </row>
    <row r="189" spans="1:77" x14ac:dyDescent="0.25">
      <c r="A189">
        <v>189</v>
      </c>
      <c r="B189">
        <v>83.22</v>
      </c>
      <c r="C189">
        <v>189</v>
      </c>
      <c r="D189">
        <f t="shared" si="33"/>
        <v>3.1999999999999318</v>
      </c>
      <c r="E189" s="1">
        <f t="shared" si="34"/>
        <v>2.1999999999999886</v>
      </c>
      <c r="Q189">
        <v>188</v>
      </c>
      <c r="R189" s="4">
        <v>142.07</v>
      </c>
      <c r="S189" s="4">
        <f t="shared" si="25"/>
        <v>0</v>
      </c>
      <c r="T189" s="4">
        <v>-10.81</v>
      </c>
      <c r="U189" s="4">
        <f t="shared" si="36"/>
        <v>1.3900000000000001</v>
      </c>
      <c r="AF189">
        <v>188</v>
      </c>
      <c r="AG189" s="4">
        <v>152.41999999999999</v>
      </c>
      <c r="AH189" s="4">
        <f t="shared" si="26"/>
        <v>17.22</v>
      </c>
      <c r="AI189" s="4">
        <v>16.22</v>
      </c>
      <c r="AJ189" s="4">
        <f t="shared" si="28"/>
        <v>0.22800000000000009</v>
      </c>
      <c r="AT189">
        <v>188</v>
      </c>
      <c r="AU189">
        <v>153.72999999999999</v>
      </c>
      <c r="AV189">
        <f t="shared" si="27"/>
        <v>0</v>
      </c>
      <c r="AW189">
        <v>-13.9</v>
      </c>
      <c r="AX189" s="1">
        <f t="shared" si="29"/>
        <v>96.691999999999993</v>
      </c>
      <c r="BH189">
        <v>188</v>
      </c>
      <c r="BI189">
        <v>106.2</v>
      </c>
      <c r="BJ189">
        <f t="shared" si="30"/>
        <v>155.44999999999999</v>
      </c>
      <c r="BK189">
        <v>15.45</v>
      </c>
      <c r="BL189" s="1">
        <f t="shared" si="31"/>
        <v>140.464</v>
      </c>
      <c r="BT189">
        <v>188</v>
      </c>
      <c r="BU189">
        <v>169.76</v>
      </c>
      <c r="BV189">
        <f t="shared" si="32"/>
        <v>0</v>
      </c>
      <c r="BW189">
        <v>-7.72</v>
      </c>
      <c r="BX189">
        <f t="shared" si="35"/>
        <v>155.85599999999999</v>
      </c>
      <c r="BY189" t="s">
        <v>0</v>
      </c>
    </row>
    <row r="190" spans="1:77" x14ac:dyDescent="0.25">
      <c r="A190">
        <v>190</v>
      </c>
      <c r="B190">
        <v>84.53</v>
      </c>
      <c r="C190">
        <v>190</v>
      </c>
      <c r="D190">
        <f t="shared" si="33"/>
        <v>26.200000000000045</v>
      </c>
      <c r="E190" s="1">
        <f t="shared" si="34"/>
        <v>4.6000000000000227</v>
      </c>
      <c r="Q190">
        <v>189</v>
      </c>
      <c r="R190" s="4">
        <v>141.30000000000001</v>
      </c>
      <c r="S190" s="4">
        <f t="shared" si="25"/>
        <v>0</v>
      </c>
      <c r="T190" s="4">
        <v>-15.45</v>
      </c>
      <c r="U190" s="4">
        <f t="shared" si="36"/>
        <v>-0.92799999999999971</v>
      </c>
      <c r="AF190">
        <v>189</v>
      </c>
      <c r="AG190" s="4">
        <v>153.31</v>
      </c>
      <c r="AH190" s="4">
        <f t="shared" si="26"/>
        <v>18.760000000000002</v>
      </c>
      <c r="AI190" s="4">
        <v>17.760000000000002</v>
      </c>
      <c r="AJ190" s="4">
        <f t="shared" si="28"/>
        <v>1.3080000000000005</v>
      </c>
      <c r="AT190">
        <v>189</v>
      </c>
      <c r="AU190">
        <v>153.08000000000001</v>
      </c>
      <c r="AV190">
        <f t="shared" si="27"/>
        <v>0</v>
      </c>
      <c r="AW190">
        <v>-13.13</v>
      </c>
      <c r="AX190" s="1">
        <f t="shared" si="29"/>
        <v>97.153999999999996</v>
      </c>
      <c r="BH190">
        <v>189</v>
      </c>
      <c r="BI190">
        <v>106.97</v>
      </c>
      <c r="BJ190">
        <f t="shared" si="30"/>
        <v>155.44999999999999</v>
      </c>
      <c r="BK190">
        <v>15.45</v>
      </c>
      <c r="BL190" s="1">
        <f t="shared" si="31"/>
        <v>140</v>
      </c>
      <c r="BT190">
        <v>189</v>
      </c>
      <c r="BU190">
        <v>169.53</v>
      </c>
      <c r="BV190">
        <f t="shared" si="32"/>
        <v>0</v>
      </c>
      <c r="BW190">
        <v>-9.27</v>
      </c>
      <c r="BX190">
        <f t="shared" si="35"/>
        <v>153.38</v>
      </c>
      <c r="BY190" t="s">
        <v>0</v>
      </c>
    </row>
    <row r="191" spans="1:77" x14ac:dyDescent="0.25">
      <c r="A191">
        <v>191</v>
      </c>
      <c r="B191">
        <v>85.34</v>
      </c>
      <c r="C191">
        <v>191</v>
      </c>
      <c r="D191">
        <f t="shared" si="33"/>
        <v>16.200000000000045</v>
      </c>
      <c r="E191" s="1">
        <f t="shared" si="34"/>
        <v>-2</v>
      </c>
      <c r="Q191">
        <v>190</v>
      </c>
      <c r="R191" s="4">
        <v>140.57</v>
      </c>
      <c r="S191" s="4">
        <f t="shared" si="25"/>
        <v>0</v>
      </c>
      <c r="T191" s="4">
        <v>-14.67</v>
      </c>
      <c r="U191" s="4">
        <f t="shared" si="36"/>
        <v>0.15599999999999986</v>
      </c>
      <c r="AF191">
        <v>190</v>
      </c>
      <c r="AG191" s="4">
        <v>154.69999999999999</v>
      </c>
      <c r="AH191" s="4">
        <f t="shared" si="26"/>
        <v>28.8</v>
      </c>
      <c r="AI191" s="4">
        <v>27.8</v>
      </c>
      <c r="AJ191" s="4">
        <f t="shared" si="28"/>
        <v>3.008</v>
      </c>
      <c r="AT191">
        <v>190</v>
      </c>
      <c r="AU191">
        <v>152.5</v>
      </c>
      <c r="AV191">
        <f t="shared" si="27"/>
        <v>0</v>
      </c>
      <c r="AW191">
        <v>-11.59</v>
      </c>
      <c r="AX191" s="1">
        <f t="shared" si="29"/>
        <v>97.308000000000007</v>
      </c>
      <c r="BH191">
        <v>190</v>
      </c>
      <c r="BI191">
        <v>107.66</v>
      </c>
      <c r="BJ191">
        <f t="shared" si="30"/>
        <v>153.9</v>
      </c>
      <c r="BK191">
        <v>13.9</v>
      </c>
      <c r="BL191" s="1">
        <f t="shared" si="31"/>
        <v>139.69</v>
      </c>
      <c r="BT191">
        <v>190</v>
      </c>
      <c r="BU191">
        <v>169.3</v>
      </c>
      <c r="BV191">
        <f t="shared" si="32"/>
        <v>0</v>
      </c>
      <c r="BW191">
        <v>-9.27</v>
      </c>
      <c r="BX191">
        <f t="shared" si="35"/>
        <v>154</v>
      </c>
      <c r="BY191" t="s">
        <v>0</v>
      </c>
    </row>
    <row r="192" spans="1:77" x14ac:dyDescent="0.25">
      <c r="A192">
        <v>192</v>
      </c>
      <c r="B192">
        <v>85.42</v>
      </c>
      <c r="C192">
        <v>192</v>
      </c>
      <c r="D192">
        <f t="shared" si="33"/>
        <v>1.5999999999999659</v>
      </c>
      <c r="E192" s="1">
        <f t="shared" si="34"/>
        <v>-2.9200000000000159</v>
      </c>
      <c r="Q192">
        <v>191</v>
      </c>
      <c r="R192" s="4">
        <v>139.87</v>
      </c>
      <c r="S192" s="4">
        <f t="shared" si="25"/>
        <v>0</v>
      </c>
      <c r="T192" s="4">
        <v>-13.9</v>
      </c>
      <c r="U192" s="4">
        <f t="shared" si="36"/>
        <v>0.15399999999999991</v>
      </c>
      <c r="AF192">
        <v>191</v>
      </c>
      <c r="AG192" s="4">
        <v>155.9</v>
      </c>
      <c r="AH192" s="4">
        <f t="shared" si="26"/>
        <v>24.94</v>
      </c>
      <c r="AI192" s="4">
        <v>23.94</v>
      </c>
      <c r="AJ192" s="4">
        <f t="shared" si="28"/>
        <v>0.22800000000000009</v>
      </c>
      <c r="AT192">
        <v>191</v>
      </c>
      <c r="AU192">
        <v>152.15</v>
      </c>
      <c r="AV192">
        <f t="shared" si="27"/>
        <v>0</v>
      </c>
      <c r="AW192">
        <v>-6.95</v>
      </c>
      <c r="AX192" s="1">
        <f t="shared" si="29"/>
        <v>97.927999999999997</v>
      </c>
      <c r="BH192">
        <v>191</v>
      </c>
      <c r="BI192">
        <v>108.59</v>
      </c>
      <c r="BJ192">
        <f t="shared" si="30"/>
        <v>158.54</v>
      </c>
      <c r="BK192">
        <v>18.54</v>
      </c>
      <c r="BL192" s="1">
        <f t="shared" si="31"/>
        <v>140.928</v>
      </c>
      <c r="BT192">
        <v>191</v>
      </c>
      <c r="BU192">
        <v>169.1</v>
      </c>
      <c r="BV192">
        <f t="shared" si="32"/>
        <v>0</v>
      </c>
      <c r="BW192">
        <v>-7.72</v>
      </c>
      <c r="BX192">
        <f t="shared" si="35"/>
        <v>154.62</v>
      </c>
      <c r="BY192" t="s">
        <v>0</v>
      </c>
    </row>
    <row r="193" spans="1:77" x14ac:dyDescent="0.25">
      <c r="A193">
        <v>193</v>
      </c>
      <c r="B193">
        <v>85.54</v>
      </c>
      <c r="C193">
        <v>193</v>
      </c>
      <c r="D193">
        <f t="shared" si="33"/>
        <v>2.4000000000000909</v>
      </c>
      <c r="E193" s="1">
        <f t="shared" si="34"/>
        <v>0.16000000000002501</v>
      </c>
      <c r="Q193">
        <v>192</v>
      </c>
      <c r="R193" s="4">
        <v>139.1</v>
      </c>
      <c r="S193" s="4">
        <f t="shared" si="25"/>
        <v>0</v>
      </c>
      <c r="T193" s="4">
        <v>-15.45</v>
      </c>
      <c r="U193" s="4">
        <f t="shared" si="36"/>
        <v>-0.30999999999999978</v>
      </c>
      <c r="AF193">
        <v>192</v>
      </c>
      <c r="AG193" s="4">
        <v>156.63</v>
      </c>
      <c r="AH193" s="4">
        <f t="shared" si="26"/>
        <v>15.67</v>
      </c>
      <c r="AI193" s="4">
        <v>14.67</v>
      </c>
      <c r="AJ193" s="4">
        <f t="shared" si="28"/>
        <v>-0.85400000000000031</v>
      </c>
      <c r="AT193">
        <v>192</v>
      </c>
      <c r="AU193">
        <v>151.49</v>
      </c>
      <c r="AV193">
        <f t="shared" si="27"/>
        <v>0</v>
      </c>
      <c r="AW193">
        <v>-13.13</v>
      </c>
      <c r="AX193" s="1">
        <f t="shared" si="29"/>
        <v>95.763999999999996</v>
      </c>
      <c r="BH193">
        <v>192</v>
      </c>
      <c r="BI193">
        <v>110.52</v>
      </c>
      <c r="BJ193">
        <f t="shared" si="30"/>
        <v>178.62</v>
      </c>
      <c r="BK193">
        <v>38.619999999999997</v>
      </c>
      <c r="BL193" s="1">
        <f t="shared" si="31"/>
        <v>144.01599999999999</v>
      </c>
      <c r="BT193">
        <v>192</v>
      </c>
      <c r="BU193">
        <v>168.91</v>
      </c>
      <c r="BV193">
        <f t="shared" si="32"/>
        <v>0</v>
      </c>
      <c r="BW193">
        <v>-7.72</v>
      </c>
      <c r="BX193">
        <f t="shared" si="35"/>
        <v>154</v>
      </c>
      <c r="BY193" t="s">
        <v>0</v>
      </c>
    </row>
    <row r="194" spans="1:77" x14ac:dyDescent="0.25">
      <c r="A194">
        <v>194</v>
      </c>
      <c r="B194">
        <v>85.07</v>
      </c>
      <c r="C194">
        <v>194</v>
      </c>
      <c r="D194">
        <f t="shared" si="33"/>
        <v>-9.4000000000002615</v>
      </c>
      <c r="E194" s="1">
        <f t="shared" si="34"/>
        <v>-2.3600000000000705</v>
      </c>
      <c r="Q194">
        <v>193</v>
      </c>
      <c r="R194" s="4">
        <v>138.4</v>
      </c>
      <c r="S194" s="4">
        <f t="shared" ref="S194:S257" si="37">IF(T194&gt;0,T194+S$1,0)</f>
        <v>0</v>
      </c>
      <c r="T194" s="4">
        <v>-13.9</v>
      </c>
      <c r="U194" s="4">
        <f t="shared" si="36"/>
        <v>0.30999999999999978</v>
      </c>
      <c r="AF194">
        <v>193</v>
      </c>
      <c r="AG194" s="4">
        <v>157.21</v>
      </c>
      <c r="AH194" s="4">
        <f t="shared" ref="AH194:AH257" si="38">IF(AI194&gt;0,AI194+AH$1,0)</f>
        <v>12.59</v>
      </c>
      <c r="AI194" s="4">
        <v>11.59</v>
      </c>
      <c r="AJ194" s="4">
        <f t="shared" si="28"/>
        <v>0.38400000000000001</v>
      </c>
      <c r="AT194">
        <v>193</v>
      </c>
      <c r="AU194">
        <v>150.80000000000001</v>
      </c>
      <c r="AV194">
        <f t="shared" ref="AV194:AV257" si="39">IF(AW194&gt;0,AW194+AV$1,0)</f>
        <v>0</v>
      </c>
      <c r="AW194">
        <v>-13.9</v>
      </c>
      <c r="AX194" s="1">
        <f t="shared" si="29"/>
        <v>96.846000000000004</v>
      </c>
      <c r="BH194">
        <v>193</v>
      </c>
      <c r="BI194">
        <v>112.07</v>
      </c>
      <c r="BJ194">
        <f t="shared" si="30"/>
        <v>170.89</v>
      </c>
      <c r="BK194">
        <v>30.89</v>
      </c>
      <c r="BL194" s="1">
        <f t="shared" si="31"/>
        <v>138.45400000000001</v>
      </c>
      <c r="BT194">
        <v>193</v>
      </c>
      <c r="BU194">
        <v>168.72</v>
      </c>
      <c r="BV194">
        <f t="shared" si="32"/>
        <v>0</v>
      </c>
      <c r="BW194">
        <v>-7.72</v>
      </c>
      <c r="BX194">
        <f t="shared" si="35"/>
        <v>154</v>
      </c>
      <c r="BY194" t="s">
        <v>0</v>
      </c>
    </row>
    <row r="195" spans="1:77" x14ac:dyDescent="0.25">
      <c r="A195">
        <v>195</v>
      </c>
      <c r="B195">
        <v>84.46</v>
      </c>
      <c r="C195">
        <v>195</v>
      </c>
      <c r="D195">
        <f t="shared" si="33"/>
        <v>-12.199999999999989</v>
      </c>
      <c r="E195" s="1">
        <f t="shared" si="34"/>
        <v>-0.55999999999994543</v>
      </c>
      <c r="Q195">
        <v>194</v>
      </c>
      <c r="R195" s="4">
        <v>137.86000000000001</v>
      </c>
      <c r="S195" s="4">
        <f t="shared" si="37"/>
        <v>0</v>
      </c>
      <c r="T195" s="4">
        <v>-10.81</v>
      </c>
      <c r="U195" s="4">
        <f t="shared" si="36"/>
        <v>0.61799999999999999</v>
      </c>
      <c r="AF195">
        <v>194</v>
      </c>
      <c r="AG195" s="4">
        <v>157.9</v>
      </c>
      <c r="AH195" s="4">
        <f t="shared" si="38"/>
        <v>14.9</v>
      </c>
      <c r="AI195" s="4">
        <v>13.9</v>
      </c>
      <c r="AJ195" s="4">
        <f t="shared" ref="AJ195:AJ258" si="40">(AI195-AI194)/5+AH$1</f>
        <v>1.4620000000000002</v>
      </c>
      <c r="AT195">
        <v>194</v>
      </c>
      <c r="AU195">
        <v>150.18</v>
      </c>
      <c r="AV195">
        <f t="shared" si="39"/>
        <v>0</v>
      </c>
      <c r="AW195">
        <v>-12.36</v>
      </c>
      <c r="AX195" s="1">
        <f t="shared" ref="AX195:AX258" si="41">(AW195-AW194)/5+AV$1</f>
        <v>97.308000000000007</v>
      </c>
      <c r="BH195">
        <v>194</v>
      </c>
      <c r="BI195">
        <v>113.26</v>
      </c>
      <c r="BJ195">
        <f t="shared" ref="BJ195:BJ258" si="42">IF(BK195&gt;0,BK195+BJ$1,0)</f>
        <v>163.94</v>
      </c>
      <c r="BK195">
        <v>23.94</v>
      </c>
      <c r="BL195" s="1">
        <f t="shared" ref="BL195:BL258" si="43">(BK195-BK194)/5+BJ$1</f>
        <v>138.61000000000001</v>
      </c>
      <c r="BT195">
        <v>194</v>
      </c>
      <c r="BU195">
        <v>168.56</v>
      </c>
      <c r="BV195">
        <f t="shared" ref="BV195:BV258" si="44">IF(BW195&gt;0,BW195+BV$1,0)</f>
        <v>0</v>
      </c>
      <c r="BW195">
        <v>-6.18</v>
      </c>
      <c r="BX195">
        <f t="shared" si="35"/>
        <v>154.61600000000001</v>
      </c>
      <c r="BY195" t="s">
        <v>0</v>
      </c>
    </row>
    <row r="196" spans="1:77" x14ac:dyDescent="0.25">
      <c r="A196">
        <v>196</v>
      </c>
      <c r="B196">
        <v>83.91</v>
      </c>
      <c r="C196">
        <v>196</v>
      </c>
      <c r="D196">
        <f t="shared" ref="D196:D259" si="45">(B196-B195)/0.05</f>
        <v>-10.999999999999943</v>
      </c>
      <c r="E196" s="1">
        <f t="shared" ref="E196:E259" si="46">(D196-D195)/5</f>
        <v>0.24000000000000909</v>
      </c>
      <c r="Q196">
        <v>195</v>
      </c>
      <c r="R196" s="4">
        <v>137.21</v>
      </c>
      <c r="S196" s="4">
        <f t="shared" si="37"/>
        <v>0</v>
      </c>
      <c r="T196" s="4">
        <v>-13.13</v>
      </c>
      <c r="U196" s="4">
        <f t="shared" si="36"/>
        <v>-0.46400000000000008</v>
      </c>
      <c r="AF196">
        <v>195</v>
      </c>
      <c r="AG196" s="4">
        <v>158.79</v>
      </c>
      <c r="AH196" s="4">
        <f t="shared" si="38"/>
        <v>18.760000000000002</v>
      </c>
      <c r="AI196" s="4">
        <v>17.760000000000002</v>
      </c>
      <c r="AJ196" s="4">
        <f t="shared" si="40"/>
        <v>1.7720000000000002</v>
      </c>
      <c r="AT196">
        <v>195</v>
      </c>
      <c r="AU196">
        <v>149.56</v>
      </c>
      <c r="AV196">
        <f t="shared" si="39"/>
        <v>0</v>
      </c>
      <c r="AW196">
        <v>-12.36</v>
      </c>
      <c r="AX196" s="1">
        <f t="shared" si="41"/>
        <v>97</v>
      </c>
      <c r="BH196">
        <v>195</v>
      </c>
      <c r="BI196">
        <v>114.11</v>
      </c>
      <c r="BJ196">
        <f t="shared" si="42"/>
        <v>156.99</v>
      </c>
      <c r="BK196">
        <v>16.989999999999998</v>
      </c>
      <c r="BL196" s="1">
        <f t="shared" si="43"/>
        <v>138.61000000000001</v>
      </c>
      <c r="BT196">
        <v>195</v>
      </c>
      <c r="BU196">
        <v>168.33</v>
      </c>
      <c r="BV196">
        <f t="shared" si="44"/>
        <v>0</v>
      </c>
      <c r="BW196">
        <v>-9.27</v>
      </c>
      <c r="BX196">
        <f t="shared" ref="BX196:BX259" si="47">BV$1+(BW196-BW195)/2.5</f>
        <v>152.76400000000001</v>
      </c>
      <c r="BY196" t="s">
        <v>0</v>
      </c>
    </row>
    <row r="197" spans="1:77" x14ac:dyDescent="0.25">
      <c r="A197">
        <v>197</v>
      </c>
      <c r="B197">
        <v>83.37</v>
      </c>
      <c r="C197">
        <v>197</v>
      </c>
      <c r="D197">
        <f t="shared" si="45"/>
        <v>-10.799999999999841</v>
      </c>
      <c r="E197" s="1">
        <f t="shared" si="46"/>
        <v>4.0000000000020464E-2</v>
      </c>
      <c r="Q197">
        <v>196</v>
      </c>
      <c r="R197" s="4">
        <v>136.59</v>
      </c>
      <c r="S197" s="4">
        <f t="shared" si="37"/>
        <v>0</v>
      </c>
      <c r="T197" s="4">
        <v>-12.36</v>
      </c>
      <c r="U197" s="4">
        <f t="shared" si="36"/>
        <v>0.15400000000000028</v>
      </c>
      <c r="AF197">
        <v>196</v>
      </c>
      <c r="AG197" s="4">
        <v>159.53</v>
      </c>
      <c r="AH197" s="4">
        <f t="shared" si="38"/>
        <v>15.67</v>
      </c>
      <c r="AI197" s="4">
        <v>14.67</v>
      </c>
      <c r="AJ197" s="4">
        <f t="shared" si="40"/>
        <v>0.38199999999999967</v>
      </c>
      <c r="AT197">
        <v>196</v>
      </c>
      <c r="AU197">
        <v>148.94999999999999</v>
      </c>
      <c r="AV197">
        <f t="shared" si="39"/>
        <v>0</v>
      </c>
      <c r="AW197">
        <v>-12.36</v>
      </c>
      <c r="AX197" s="1">
        <f t="shared" si="41"/>
        <v>97</v>
      </c>
      <c r="BH197">
        <v>196</v>
      </c>
      <c r="BI197">
        <v>114.38</v>
      </c>
      <c r="BJ197">
        <f t="shared" si="42"/>
        <v>145.41</v>
      </c>
      <c r="BK197">
        <v>5.41</v>
      </c>
      <c r="BL197" s="1">
        <f t="shared" si="43"/>
        <v>137.684</v>
      </c>
      <c r="BT197">
        <v>196</v>
      </c>
      <c r="BU197" s="2">
        <v>168.29</v>
      </c>
      <c r="BV197">
        <f t="shared" si="44"/>
        <v>0</v>
      </c>
      <c r="BW197">
        <v>-1.54</v>
      </c>
      <c r="BX197">
        <f t="shared" si="47"/>
        <v>157.09200000000001</v>
      </c>
      <c r="BY197" t="s">
        <v>0</v>
      </c>
    </row>
    <row r="198" spans="1:77" x14ac:dyDescent="0.25">
      <c r="A198">
        <v>198</v>
      </c>
      <c r="B198">
        <v>82.64</v>
      </c>
      <c r="C198">
        <v>198</v>
      </c>
      <c r="D198">
        <f t="shared" si="45"/>
        <v>-14.60000000000008</v>
      </c>
      <c r="E198" s="1">
        <f t="shared" si="46"/>
        <v>-0.76000000000004775</v>
      </c>
      <c r="Q198">
        <v>197</v>
      </c>
      <c r="R198" s="4">
        <v>135.97</v>
      </c>
      <c r="S198" s="4">
        <f t="shared" si="37"/>
        <v>0</v>
      </c>
      <c r="T198" s="4">
        <v>-12.36</v>
      </c>
      <c r="U198" s="4">
        <f t="shared" ref="U198:U261" si="48">(T198-T197)/5</f>
        <v>0</v>
      </c>
      <c r="AF198">
        <v>197</v>
      </c>
      <c r="AG198" s="4">
        <v>160.38</v>
      </c>
      <c r="AH198" s="4">
        <f t="shared" si="38"/>
        <v>17.989999999999998</v>
      </c>
      <c r="AI198" s="4">
        <v>16.989999999999998</v>
      </c>
      <c r="AJ198" s="4">
        <f t="shared" si="40"/>
        <v>1.4639999999999997</v>
      </c>
      <c r="AT198">
        <v>197</v>
      </c>
      <c r="AU198">
        <v>148.33000000000001</v>
      </c>
      <c r="AV198">
        <f t="shared" si="39"/>
        <v>0</v>
      </c>
      <c r="AW198">
        <v>-12.36</v>
      </c>
      <c r="AX198" s="1">
        <f t="shared" si="41"/>
        <v>97</v>
      </c>
      <c r="BH198">
        <v>197</v>
      </c>
      <c r="BI198">
        <v>114.65</v>
      </c>
      <c r="BJ198">
        <f t="shared" si="42"/>
        <v>145.41</v>
      </c>
      <c r="BK198">
        <v>5.41</v>
      </c>
      <c r="BL198" s="1">
        <f t="shared" si="43"/>
        <v>140</v>
      </c>
      <c r="BT198">
        <v>197</v>
      </c>
      <c r="BU198">
        <v>168.68</v>
      </c>
      <c r="BV198">
        <f t="shared" si="44"/>
        <v>169.45</v>
      </c>
      <c r="BW198">
        <v>15.45</v>
      </c>
      <c r="BX198">
        <f t="shared" si="47"/>
        <v>160.79599999999999</v>
      </c>
      <c r="BY198" t="s">
        <v>0</v>
      </c>
    </row>
    <row r="199" spans="1:77" x14ac:dyDescent="0.25">
      <c r="A199">
        <v>199</v>
      </c>
      <c r="B199">
        <v>82.06</v>
      </c>
      <c r="C199">
        <v>199</v>
      </c>
      <c r="D199">
        <f t="shared" si="45"/>
        <v>-11.599999999999966</v>
      </c>
      <c r="E199" s="1">
        <f t="shared" si="46"/>
        <v>0.60000000000002274</v>
      </c>
      <c r="Q199">
        <v>198</v>
      </c>
      <c r="R199" s="4">
        <v>135.35</v>
      </c>
      <c r="S199" s="4">
        <f t="shared" si="37"/>
        <v>0</v>
      </c>
      <c r="T199" s="4">
        <v>-12.36</v>
      </c>
      <c r="U199" s="4">
        <f t="shared" si="48"/>
        <v>0</v>
      </c>
      <c r="AF199">
        <v>198</v>
      </c>
      <c r="AG199" s="4">
        <v>161.30000000000001</v>
      </c>
      <c r="AH199" s="4">
        <f t="shared" si="38"/>
        <v>19.54</v>
      </c>
      <c r="AI199" s="4">
        <v>18.54</v>
      </c>
      <c r="AJ199" s="4">
        <f t="shared" si="40"/>
        <v>1.31</v>
      </c>
      <c r="AT199">
        <v>198</v>
      </c>
      <c r="AU199">
        <v>147.75</v>
      </c>
      <c r="AV199">
        <f t="shared" si="39"/>
        <v>0</v>
      </c>
      <c r="AW199">
        <v>-11.59</v>
      </c>
      <c r="AX199" s="1">
        <f t="shared" si="41"/>
        <v>97.153999999999996</v>
      </c>
      <c r="BH199">
        <v>198</v>
      </c>
      <c r="BI199">
        <v>114.96</v>
      </c>
      <c r="BJ199">
        <f t="shared" si="42"/>
        <v>146.18</v>
      </c>
      <c r="BK199">
        <v>6.18</v>
      </c>
      <c r="BL199" s="1">
        <f t="shared" si="43"/>
        <v>140.154</v>
      </c>
      <c r="BT199">
        <v>198</v>
      </c>
      <c r="BU199" s="2">
        <v>169.14</v>
      </c>
      <c r="BV199">
        <f t="shared" si="44"/>
        <v>172.54</v>
      </c>
      <c r="BW199">
        <v>18.54</v>
      </c>
      <c r="BX199">
        <f t="shared" si="47"/>
        <v>155.23599999999999</v>
      </c>
      <c r="BY199" t="s">
        <v>0</v>
      </c>
    </row>
    <row r="200" spans="1:77" x14ac:dyDescent="0.25">
      <c r="A200">
        <v>200</v>
      </c>
      <c r="B200">
        <v>81.33</v>
      </c>
      <c r="C200">
        <v>200</v>
      </c>
      <c r="D200">
        <f t="shared" si="45"/>
        <v>-14.60000000000008</v>
      </c>
      <c r="E200" s="1">
        <f t="shared" si="46"/>
        <v>-0.60000000000002274</v>
      </c>
      <c r="Q200">
        <v>199</v>
      </c>
      <c r="R200" s="4">
        <v>134.77000000000001</v>
      </c>
      <c r="S200" s="4">
        <f t="shared" si="37"/>
        <v>0</v>
      </c>
      <c r="T200" s="4">
        <v>-11.59</v>
      </c>
      <c r="U200" s="4">
        <f t="shared" si="48"/>
        <v>0.15399999999999991</v>
      </c>
      <c r="AF200">
        <v>199</v>
      </c>
      <c r="AG200" s="4">
        <v>161.80000000000001</v>
      </c>
      <c r="AH200" s="4">
        <f t="shared" si="38"/>
        <v>11.04</v>
      </c>
      <c r="AI200" s="4">
        <v>10.039999999999999</v>
      </c>
      <c r="AJ200" s="4">
        <f t="shared" si="40"/>
        <v>-0.7</v>
      </c>
      <c r="AT200">
        <v>199</v>
      </c>
      <c r="AU200">
        <v>147.13</v>
      </c>
      <c r="AV200">
        <f t="shared" si="39"/>
        <v>0</v>
      </c>
      <c r="AW200">
        <v>-12.36</v>
      </c>
      <c r="AX200" s="1">
        <f t="shared" si="41"/>
        <v>96.846000000000004</v>
      </c>
      <c r="BH200">
        <v>199</v>
      </c>
      <c r="BI200">
        <v>115.54</v>
      </c>
      <c r="BJ200">
        <f t="shared" si="42"/>
        <v>151.59</v>
      </c>
      <c r="BK200">
        <v>11.59</v>
      </c>
      <c r="BL200" s="1">
        <f t="shared" si="43"/>
        <v>141.08199999999999</v>
      </c>
      <c r="BT200">
        <v>199</v>
      </c>
      <c r="BU200">
        <v>169.14</v>
      </c>
      <c r="BV200">
        <f t="shared" si="44"/>
        <v>0</v>
      </c>
      <c r="BW200">
        <v>0</v>
      </c>
      <c r="BX200">
        <f t="shared" si="47"/>
        <v>146.584</v>
      </c>
      <c r="BY200" t="s">
        <v>0</v>
      </c>
    </row>
    <row r="201" spans="1:77" x14ac:dyDescent="0.25">
      <c r="A201">
        <v>201</v>
      </c>
      <c r="B201">
        <v>80.709999999999994</v>
      </c>
      <c r="C201">
        <v>201</v>
      </c>
      <c r="D201">
        <f t="shared" si="45"/>
        <v>-12.400000000000091</v>
      </c>
      <c r="E201" s="1">
        <f t="shared" si="46"/>
        <v>0.43999999999999773</v>
      </c>
      <c r="Q201">
        <v>200</v>
      </c>
      <c r="R201" s="4">
        <v>134.27000000000001</v>
      </c>
      <c r="S201" s="4">
        <f t="shared" si="37"/>
        <v>0</v>
      </c>
      <c r="T201" s="4">
        <v>-10.039999999999999</v>
      </c>
      <c r="U201" s="4">
        <f t="shared" si="48"/>
        <v>0.31000000000000016</v>
      </c>
      <c r="AF201">
        <v>200</v>
      </c>
      <c r="AG201" s="4">
        <v>162.41999999999999</v>
      </c>
      <c r="AH201" s="4">
        <f t="shared" si="38"/>
        <v>13.36</v>
      </c>
      <c r="AI201" s="4">
        <v>12.36</v>
      </c>
      <c r="AJ201" s="4">
        <f t="shared" si="40"/>
        <v>1.464</v>
      </c>
      <c r="AT201">
        <v>200</v>
      </c>
      <c r="AU201">
        <v>146.51</v>
      </c>
      <c r="AV201">
        <f t="shared" si="39"/>
        <v>0</v>
      </c>
      <c r="AW201">
        <v>-12.36</v>
      </c>
      <c r="AX201" s="1">
        <f t="shared" si="41"/>
        <v>97</v>
      </c>
      <c r="BH201">
        <v>200</v>
      </c>
      <c r="BI201">
        <v>116.39</v>
      </c>
      <c r="BJ201">
        <f t="shared" si="42"/>
        <v>156.99</v>
      </c>
      <c r="BK201">
        <v>16.989999999999998</v>
      </c>
      <c r="BL201" s="1">
        <f t="shared" si="43"/>
        <v>141.08000000000001</v>
      </c>
      <c r="BT201">
        <v>200</v>
      </c>
      <c r="BU201">
        <v>168.72</v>
      </c>
      <c r="BV201">
        <f t="shared" si="44"/>
        <v>0</v>
      </c>
      <c r="BW201">
        <v>-16.989999999999998</v>
      </c>
      <c r="BX201">
        <f t="shared" si="47"/>
        <v>147.20400000000001</v>
      </c>
      <c r="BY201" t="s">
        <v>0</v>
      </c>
    </row>
    <row r="202" spans="1:77" x14ac:dyDescent="0.25">
      <c r="A202">
        <v>202</v>
      </c>
      <c r="B202">
        <v>80.25</v>
      </c>
      <c r="C202">
        <v>202</v>
      </c>
      <c r="D202">
        <f t="shared" si="45"/>
        <v>-9.1999999999998749</v>
      </c>
      <c r="E202" s="1">
        <f t="shared" si="46"/>
        <v>0.6400000000000432</v>
      </c>
      <c r="Q202">
        <v>201</v>
      </c>
      <c r="R202" s="4">
        <v>133.72999999999999</v>
      </c>
      <c r="S202" s="4">
        <f t="shared" si="37"/>
        <v>0</v>
      </c>
      <c r="T202" s="4">
        <v>-10.81</v>
      </c>
      <c r="U202" s="4">
        <f t="shared" si="48"/>
        <v>-0.15400000000000028</v>
      </c>
      <c r="AF202">
        <v>201</v>
      </c>
      <c r="AG202" s="4">
        <v>163.08000000000001</v>
      </c>
      <c r="AH202" s="4">
        <f t="shared" si="38"/>
        <v>14.13</v>
      </c>
      <c r="AI202" s="4">
        <v>13.13</v>
      </c>
      <c r="AJ202" s="4">
        <f t="shared" si="40"/>
        <v>1.1540000000000004</v>
      </c>
      <c r="AT202">
        <v>201</v>
      </c>
      <c r="AU202">
        <v>145.93</v>
      </c>
      <c r="AV202">
        <f t="shared" si="39"/>
        <v>0</v>
      </c>
      <c r="AW202">
        <v>-11.59</v>
      </c>
      <c r="AX202" s="1">
        <f t="shared" si="41"/>
        <v>97.153999999999996</v>
      </c>
      <c r="BH202">
        <v>201</v>
      </c>
      <c r="BI202">
        <v>117.16</v>
      </c>
      <c r="BJ202">
        <f t="shared" si="42"/>
        <v>155.44999999999999</v>
      </c>
      <c r="BK202">
        <v>15.45</v>
      </c>
      <c r="BL202" s="1">
        <f t="shared" si="43"/>
        <v>139.69200000000001</v>
      </c>
      <c r="BT202">
        <v>201</v>
      </c>
      <c r="BU202">
        <v>168.22</v>
      </c>
      <c r="BV202">
        <f t="shared" si="44"/>
        <v>0</v>
      </c>
      <c r="BW202">
        <v>-20.079999999999998</v>
      </c>
      <c r="BX202">
        <f t="shared" si="47"/>
        <v>152.76400000000001</v>
      </c>
      <c r="BY202" t="s">
        <v>0</v>
      </c>
    </row>
    <row r="203" spans="1:77" x14ac:dyDescent="0.25">
      <c r="A203">
        <v>203</v>
      </c>
      <c r="B203">
        <v>79.709999999999994</v>
      </c>
      <c r="C203">
        <v>203</v>
      </c>
      <c r="D203">
        <f t="shared" si="45"/>
        <v>-10.800000000000125</v>
      </c>
      <c r="E203" s="1">
        <f t="shared" si="46"/>
        <v>-0.32000000000005002</v>
      </c>
      <c r="Q203">
        <v>202</v>
      </c>
      <c r="R203" s="4">
        <v>133.58000000000001</v>
      </c>
      <c r="S203" s="4">
        <f t="shared" si="37"/>
        <v>0</v>
      </c>
      <c r="T203" s="4">
        <v>-3.09</v>
      </c>
      <c r="U203" s="4">
        <f t="shared" si="48"/>
        <v>1.544</v>
      </c>
      <c r="AF203">
        <v>202</v>
      </c>
      <c r="AG203" s="4">
        <v>163.89</v>
      </c>
      <c r="AH203" s="4">
        <f t="shared" si="38"/>
        <v>17.22</v>
      </c>
      <c r="AI203" s="4">
        <v>16.22</v>
      </c>
      <c r="AJ203" s="4">
        <f t="shared" si="40"/>
        <v>1.6179999999999997</v>
      </c>
      <c r="AT203">
        <v>202</v>
      </c>
      <c r="AU203">
        <v>145.32</v>
      </c>
      <c r="AV203">
        <f t="shared" si="39"/>
        <v>0</v>
      </c>
      <c r="AW203">
        <v>-12.36</v>
      </c>
      <c r="AX203" s="1">
        <f t="shared" si="41"/>
        <v>96.846000000000004</v>
      </c>
      <c r="BH203">
        <v>202</v>
      </c>
      <c r="BI203">
        <v>117.9</v>
      </c>
      <c r="BJ203">
        <f t="shared" si="42"/>
        <v>154.66999999999999</v>
      </c>
      <c r="BK203">
        <v>14.67</v>
      </c>
      <c r="BL203" s="1">
        <f t="shared" si="43"/>
        <v>139.84399999999999</v>
      </c>
      <c r="BT203">
        <v>202</v>
      </c>
      <c r="BU203">
        <v>167.91</v>
      </c>
      <c r="BV203">
        <f t="shared" si="44"/>
        <v>0</v>
      </c>
      <c r="BW203">
        <v>-12.36</v>
      </c>
      <c r="BX203">
        <f t="shared" si="47"/>
        <v>157.08799999999999</v>
      </c>
      <c r="BY203" t="s">
        <v>0</v>
      </c>
    </row>
    <row r="204" spans="1:77" x14ac:dyDescent="0.25">
      <c r="A204">
        <v>204</v>
      </c>
      <c r="B204">
        <v>79.319999999999993</v>
      </c>
      <c r="C204">
        <v>204</v>
      </c>
      <c r="D204">
        <f t="shared" si="45"/>
        <v>-7.8000000000000114</v>
      </c>
      <c r="E204" s="1">
        <f t="shared" si="46"/>
        <v>0.60000000000002274</v>
      </c>
      <c r="Q204">
        <v>203</v>
      </c>
      <c r="R204" s="4">
        <v>132.96</v>
      </c>
      <c r="S204" s="4">
        <f t="shared" si="37"/>
        <v>0</v>
      </c>
      <c r="T204" s="4">
        <v>-12.36</v>
      </c>
      <c r="U204" s="4">
        <f t="shared" si="48"/>
        <v>-1.8539999999999999</v>
      </c>
      <c r="AF204">
        <v>203</v>
      </c>
      <c r="AG204" s="4">
        <v>164.86</v>
      </c>
      <c r="AH204" s="4">
        <f t="shared" si="38"/>
        <v>20.309999999999999</v>
      </c>
      <c r="AI204" s="4">
        <v>19.309999999999999</v>
      </c>
      <c r="AJ204" s="4">
        <f t="shared" si="40"/>
        <v>1.6179999999999999</v>
      </c>
      <c r="AT204">
        <v>203</v>
      </c>
      <c r="AU204">
        <v>144.81</v>
      </c>
      <c r="AV204">
        <f t="shared" si="39"/>
        <v>0</v>
      </c>
      <c r="AW204">
        <v>-10.039999999999999</v>
      </c>
      <c r="AX204" s="1">
        <f t="shared" si="41"/>
        <v>97.463999999999999</v>
      </c>
      <c r="BH204">
        <v>203</v>
      </c>
      <c r="BI204">
        <v>118.59</v>
      </c>
      <c r="BJ204">
        <f t="shared" si="42"/>
        <v>153.9</v>
      </c>
      <c r="BK204">
        <v>13.9</v>
      </c>
      <c r="BL204" s="1">
        <f t="shared" si="43"/>
        <v>139.846</v>
      </c>
      <c r="BT204">
        <v>203</v>
      </c>
      <c r="BU204">
        <v>167.33</v>
      </c>
      <c r="BV204">
        <f t="shared" si="44"/>
        <v>0</v>
      </c>
      <c r="BW204">
        <v>-23.17</v>
      </c>
      <c r="BX204">
        <f t="shared" si="47"/>
        <v>149.67599999999999</v>
      </c>
      <c r="BY204" t="s">
        <v>0</v>
      </c>
    </row>
    <row r="205" spans="1:77" x14ac:dyDescent="0.25">
      <c r="A205">
        <v>205</v>
      </c>
      <c r="B205">
        <v>79.010000000000005</v>
      </c>
      <c r="C205">
        <v>205</v>
      </c>
      <c r="D205">
        <f t="shared" si="45"/>
        <v>-6.1999999999997613</v>
      </c>
      <c r="E205" s="1">
        <f t="shared" si="46"/>
        <v>0.32000000000005002</v>
      </c>
      <c r="Q205">
        <v>204</v>
      </c>
      <c r="R205" s="4">
        <v>132.38</v>
      </c>
      <c r="S205" s="4">
        <f t="shared" si="37"/>
        <v>0</v>
      </c>
      <c r="T205" s="4">
        <v>-11.58</v>
      </c>
      <c r="U205" s="4">
        <f t="shared" si="48"/>
        <v>0.15599999999999986</v>
      </c>
      <c r="AF205">
        <v>204</v>
      </c>
      <c r="AG205" s="4">
        <v>165.51</v>
      </c>
      <c r="AH205" s="4">
        <f t="shared" si="38"/>
        <v>14.13</v>
      </c>
      <c r="AI205" s="4">
        <v>13.13</v>
      </c>
      <c r="AJ205" s="4">
        <f t="shared" si="40"/>
        <v>-0.23599999999999954</v>
      </c>
      <c r="AT205">
        <v>204</v>
      </c>
      <c r="AU205">
        <v>144.19999999999999</v>
      </c>
      <c r="AV205">
        <f t="shared" si="39"/>
        <v>0</v>
      </c>
      <c r="AW205">
        <v>-12.36</v>
      </c>
      <c r="AX205" s="1">
        <f t="shared" si="41"/>
        <v>96.536000000000001</v>
      </c>
      <c r="BH205">
        <v>204</v>
      </c>
      <c r="BI205">
        <v>119.4</v>
      </c>
      <c r="BJ205">
        <f t="shared" si="42"/>
        <v>156.22</v>
      </c>
      <c r="BK205">
        <v>16.22</v>
      </c>
      <c r="BL205" s="1">
        <f t="shared" si="43"/>
        <v>140.464</v>
      </c>
      <c r="BT205">
        <v>204</v>
      </c>
      <c r="BU205">
        <v>167.13</v>
      </c>
      <c r="BV205">
        <f t="shared" si="44"/>
        <v>0</v>
      </c>
      <c r="BW205">
        <v>-7.72</v>
      </c>
      <c r="BX205">
        <f t="shared" si="47"/>
        <v>160.18</v>
      </c>
      <c r="BY205" t="s">
        <v>0</v>
      </c>
    </row>
    <row r="206" spans="1:77" x14ac:dyDescent="0.25">
      <c r="A206">
        <v>206</v>
      </c>
      <c r="B206">
        <v>78.62</v>
      </c>
      <c r="C206">
        <v>206</v>
      </c>
      <c r="D206">
        <f t="shared" si="45"/>
        <v>-7.8000000000000114</v>
      </c>
      <c r="E206" s="1">
        <f t="shared" si="46"/>
        <v>-0.32000000000005002</v>
      </c>
      <c r="Q206">
        <v>205</v>
      </c>
      <c r="R206" s="4">
        <v>131.84</v>
      </c>
      <c r="S206" s="4">
        <f t="shared" si="37"/>
        <v>0</v>
      </c>
      <c r="T206" s="4">
        <v>-10.81</v>
      </c>
      <c r="U206" s="4">
        <f t="shared" si="48"/>
        <v>0.15399999999999991</v>
      </c>
      <c r="AF206">
        <v>205</v>
      </c>
      <c r="AG206" s="4">
        <v>166.71</v>
      </c>
      <c r="AH206" s="4">
        <f t="shared" si="38"/>
        <v>24.94</v>
      </c>
      <c r="AI206" s="4">
        <v>23.94</v>
      </c>
      <c r="AJ206" s="4">
        <f t="shared" si="40"/>
        <v>3.1619999999999999</v>
      </c>
      <c r="AT206">
        <v>205</v>
      </c>
      <c r="AU206">
        <v>143.69</v>
      </c>
      <c r="AV206">
        <f t="shared" si="39"/>
        <v>0</v>
      </c>
      <c r="AW206">
        <v>-10.039999999999999</v>
      </c>
      <c r="AX206" s="1">
        <f t="shared" si="41"/>
        <v>97.463999999999999</v>
      </c>
      <c r="BH206">
        <v>205</v>
      </c>
      <c r="BI206">
        <v>121.06</v>
      </c>
      <c r="BJ206">
        <f t="shared" si="42"/>
        <v>173.21</v>
      </c>
      <c r="BK206">
        <v>33.21</v>
      </c>
      <c r="BL206" s="1">
        <f t="shared" si="43"/>
        <v>143.398</v>
      </c>
      <c r="BT206">
        <v>205</v>
      </c>
      <c r="BU206">
        <v>167.1</v>
      </c>
      <c r="BV206">
        <f t="shared" si="44"/>
        <v>0</v>
      </c>
      <c r="BW206">
        <v>-1.54</v>
      </c>
      <c r="BX206">
        <f t="shared" si="47"/>
        <v>156.47200000000001</v>
      </c>
      <c r="BY206" t="s">
        <v>0</v>
      </c>
    </row>
    <row r="207" spans="1:77" x14ac:dyDescent="0.25">
      <c r="A207">
        <v>207</v>
      </c>
      <c r="B207">
        <v>78.239999999999995</v>
      </c>
      <c r="C207">
        <v>207</v>
      </c>
      <c r="D207">
        <f t="shared" si="45"/>
        <v>-7.6000000000001933</v>
      </c>
      <c r="E207" s="1">
        <f t="shared" si="46"/>
        <v>3.999999999996362E-2</v>
      </c>
      <c r="Q207">
        <v>206</v>
      </c>
      <c r="R207" s="4">
        <v>131.22</v>
      </c>
      <c r="S207" s="4">
        <f t="shared" si="37"/>
        <v>0</v>
      </c>
      <c r="T207" s="4">
        <v>-12.36</v>
      </c>
      <c r="U207" s="4">
        <f t="shared" si="48"/>
        <v>-0.30999999999999978</v>
      </c>
      <c r="AF207">
        <v>206</v>
      </c>
      <c r="AG207" s="4">
        <v>167.6</v>
      </c>
      <c r="AH207" s="4">
        <f t="shared" si="38"/>
        <v>18.760000000000002</v>
      </c>
      <c r="AI207" s="4">
        <v>17.760000000000002</v>
      </c>
      <c r="AJ207" s="4">
        <f t="shared" si="40"/>
        <v>-0.23599999999999999</v>
      </c>
      <c r="AT207">
        <v>206</v>
      </c>
      <c r="AU207">
        <v>143.08000000000001</v>
      </c>
      <c r="AV207">
        <f t="shared" si="39"/>
        <v>0</v>
      </c>
      <c r="AW207">
        <v>-12.36</v>
      </c>
      <c r="AX207" s="1">
        <f t="shared" si="41"/>
        <v>96.536000000000001</v>
      </c>
      <c r="BH207">
        <v>206</v>
      </c>
      <c r="BI207">
        <v>122.49</v>
      </c>
      <c r="BJ207">
        <f t="shared" si="42"/>
        <v>168.57999999999998</v>
      </c>
      <c r="BK207">
        <v>28.58</v>
      </c>
      <c r="BL207" s="1">
        <f t="shared" si="43"/>
        <v>139.07400000000001</v>
      </c>
      <c r="BT207">
        <v>206</v>
      </c>
      <c r="BU207">
        <v>166.94</v>
      </c>
      <c r="BV207">
        <f t="shared" si="44"/>
        <v>0</v>
      </c>
      <c r="BW207">
        <v>-6.18</v>
      </c>
      <c r="BX207">
        <f t="shared" si="47"/>
        <v>152.14400000000001</v>
      </c>
      <c r="BY207" t="s">
        <v>0</v>
      </c>
    </row>
    <row r="208" spans="1:77" x14ac:dyDescent="0.25">
      <c r="A208">
        <v>208</v>
      </c>
      <c r="B208">
        <v>77.97</v>
      </c>
      <c r="C208">
        <v>208</v>
      </c>
      <c r="D208">
        <f t="shared" si="45"/>
        <v>-5.3999999999999204</v>
      </c>
      <c r="E208" s="1">
        <f t="shared" si="46"/>
        <v>0.44000000000005457</v>
      </c>
      <c r="Q208">
        <v>207</v>
      </c>
      <c r="R208" s="4">
        <v>130.72</v>
      </c>
      <c r="S208" s="4">
        <f t="shared" si="37"/>
        <v>0</v>
      </c>
      <c r="T208" s="4">
        <v>-10.039999999999999</v>
      </c>
      <c r="U208" s="4">
        <f t="shared" si="48"/>
        <v>0.46400000000000008</v>
      </c>
      <c r="AF208">
        <v>207</v>
      </c>
      <c r="AG208" s="4">
        <v>168.02</v>
      </c>
      <c r="AH208" s="4">
        <f t="shared" si="38"/>
        <v>9.5</v>
      </c>
      <c r="AI208" s="4">
        <v>8.5</v>
      </c>
      <c r="AJ208" s="4">
        <f t="shared" si="40"/>
        <v>-0.85200000000000031</v>
      </c>
      <c r="AT208">
        <v>207</v>
      </c>
      <c r="AU208">
        <v>142.5</v>
      </c>
      <c r="AV208">
        <f t="shared" si="39"/>
        <v>0</v>
      </c>
      <c r="AW208">
        <v>-11.59</v>
      </c>
      <c r="AX208" s="1">
        <f t="shared" si="41"/>
        <v>97.153999999999996</v>
      </c>
      <c r="BH208">
        <v>207</v>
      </c>
      <c r="BI208">
        <v>123.27</v>
      </c>
      <c r="BJ208">
        <f t="shared" si="42"/>
        <v>155.44999999999999</v>
      </c>
      <c r="BK208">
        <v>15.45</v>
      </c>
      <c r="BL208" s="1">
        <f t="shared" si="43"/>
        <v>137.374</v>
      </c>
      <c r="BT208">
        <v>207</v>
      </c>
      <c r="BU208">
        <v>166.75</v>
      </c>
      <c r="BV208">
        <f t="shared" si="44"/>
        <v>0</v>
      </c>
      <c r="BW208">
        <v>-7.72</v>
      </c>
      <c r="BX208">
        <f t="shared" si="47"/>
        <v>153.38399999999999</v>
      </c>
      <c r="BY208" t="s">
        <v>0</v>
      </c>
    </row>
    <row r="209" spans="1:77" x14ac:dyDescent="0.25">
      <c r="A209">
        <v>209</v>
      </c>
      <c r="B209">
        <v>77.66</v>
      </c>
      <c r="C209">
        <v>209</v>
      </c>
      <c r="D209">
        <f t="shared" si="45"/>
        <v>-6.2000000000000455</v>
      </c>
      <c r="E209" s="1">
        <f t="shared" si="46"/>
        <v>-0.16000000000002501</v>
      </c>
      <c r="Q209">
        <v>208</v>
      </c>
      <c r="R209" s="4">
        <v>130.29</v>
      </c>
      <c r="S209" s="4">
        <f t="shared" si="37"/>
        <v>0</v>
      </c>
      <c r="T209" s="4">
        <v>-8.5</v>
      </c>
      <c r="U209" s="4">
        <f t="shared" si="48"/>
        <v>0.30799999999999983</v>
      </c>
      <c r="AF209">
        <v>208</v>
      </c>
      <c r="AG209" s="4">
        <v>168.91</v>
      </c>
      <c r="AH209" s="4">
        <f t="shared" si="38"/>
        <v>18.760000000000002</v>
      </c>
      <c r="AI209" s="4">
        <v>17.760000000000002</v>
      </c>
      <c r="AJ209" s="4">
        <f t="shared" si="40"/>
        <v>2.8520000000000003</v>
      </c>
      <c r="AT209">
        <v>208</v>
      </c>
      <c r="AU209">
        <v>141.99</v>
      </c>
      <c r="AV209">
        <f t="shared" si="39"/>
        <v>0</v>
      </c>
      <c r="AW209">
        <v>-10.039999999999999</v>
      </c>
      <c r="AX209" s="1">
        <f t="shared" si="41"/>
        <v>97.31</v>
      </c>
      <c r="BH209">
        <v>208</v>
      </c>
      <c r="BI209">
        <v>123.88</v>
      </c>
      <c r="BJ209">
        <f t="shared" si="42"/>
        <v>152.36000000000001</v>
      </c>
      <c r="BK209">
        <v>12.36</v>
      </c>
      <c r="BL209" s="1">
        <f t="shared" si="43"/>
        <v>139.38200000000001</v>
      </c>
      <c r="BT209">
        <v>208</v>
      </c>
      <c r="BU209">
        <v>166.63</v>
      </c>
      <c r="BV209">
        <f t="shared" si="44"/>
        <v>0</v>
      </c>
      <c r="BW209">
        <v>-4.63</v>
      </c>
      <c r="BX209">
        <f t="shared" si="47"/>
        <v>155.23599999999999</v>
      </c>
      <c r="BY209" t="s">
        <v>0</v>
      </c>
    </row>
    <row r="210" spans="1:77" x14ac:dyDescent="0.25">
      <c r="A210">
        <v>210</v>
      </c>
      <c r="B210">
        <v>78.47</v>
      </c>
      <c r="C210">
        <v>210</v>
      </c>
      <c r="D210">
        <f t="shared" si="45"/>
        <v>16.200000000000045</v>
      </c>
      <c r="E210" s="1">
        <f t="shared" si="46"/>
        <v>4.4800000000000182</v>
      </c>
      <c r="Q210">
        <v>209</v>
      </c>
      <c r="R210" s="4">
        <v>129.75</v>
      </c>
      <c r="S210" s="4">
        <f t="shared" si="37"/>
        <v>0</v>
      </c>
      <c r="T210" s="4">
        <v>-10.81</v>
      </c>
      <c r="U210" s="4">
        <f t="shared" si="48"/>
        <v>-0.46200000000000008</v>
      </c>
      <c r="AF210">
        <v>209</v>
      </c>
      <c r="AG210" s="4">
        <v>169.34</v>
      </c>
      <c r="AH210" s="4">
        <f t="shared" si="38"/>
        <v>9.5</v>
      </c>
      <c r="AI210" s="4">
        <v>8.5</v>
      </c>
      <c r="AJ210" s="4">
        <f t="shared" si="40"/>
        <v>-0.85200000000000031</v>
      </c>
      <c r="AT210">
        <v>209</v>
      </c>
      <c r="AU210">
        <v>141.44999999999999</v>
      </c>
      <c r="AV210">
        <f t="shared" si="39"/>
        <v>0</v>
      </c>
      <c r="AW210">
        <v>-10.81</v>
      </c>
      <c r="AX210" s="1">
        <f t="shared" si="41"/>
        <v>96.846000000000004</v>
      </c>
      <c r="BH210">
        <v>209</v>
      </c>
      <c r="BI210">
        <v>124.08</v>
      </c>
      <c r="BJ210">
        <f t="shared" si="42"/>
        <v>143.86000000000001</v>
      </c>
      <c r="BK210">
        <v>3.86</v>
      </c>
      <c r="BL210" s="1">
        <f t="shared" si="43"/>
        <v>138.30000000000001</v>
      </c>
      <c r="BT210">
        <v>209</v>
      </c>
      <c r="BU210">
        <v>166.36</v>
      </c>
      <c r="BV210">
        <f t="shared" si="44"/>
        <v>0</v>
      </c>
      <c r="BW210">
        <v>-10.81</v>
      </c>
      <c r="BX210">
        <f t="shared" si="47"/>
        <v>151.52799999999999</v>
      </c>
      <c r="BY210" t="s">
        <v>0</v>
      </c>
    </row>
    <row r="211" spans="1:77" x14ac:dyDescent="0.25">
      <c r="A211">
        <v>211</v>
      </c>
      <c r="B211">
        <v>80.05</v>
      </c>
      <c r="C211">
        <v>211</v>
      </c>
      <c r="D211">
        <f t="shared" si="45"/>
        <v>31.599999999999966</v>
      </c>
      <c r="E211" s="1">
        <f t="shared" si="46"/>
        <v>3.0799999999999841</v>
      </c>
      <c r="Q211">
        <v>210</v>
      </c>
      <c r="R211" s="4">
        <v>129.25</v>
      </c>
      <c r="S211" s="4">
        <f t="shared" si="37"/>
        <v>0</v>
      </c>
      <c r="T211" s="4">
        <v>-10.039999999999999</v>
      </c>
      <c r="U211" s="4">
        <f t="shared" si="48"/>
        <v>0.15400000000000028</v>
      </c>
      <c r="AF211">
        <v>210</v>
      </c>
      <c r="AG211" s="4">
        <v>170.22</v>
      </c>
      <c r="AH211" s="4">
        <f t="shared" si="38"/>
        <v>18.760000000000002</v>
      </c>
      <c r="AI211" s="4">
        <v>17.760000000000002</v>
      </c>
      <c r="AJ211" s="4">
        <f t="shared" si="40"/>
        <v>2.8520000000000003</v>
      </c>
      <c r="AT211">
        <v>210</v>
      </c>
      <c r="AU211">
        <v>140.94999999999999</v>
      </c>
      <c r="AV211">
        <f t="shared" si="39"/>
        <v>0</v>
      </c>
      <c r="AW211">
        <v>-10.039999999999999</v>
      </c>
      <c r="AX211" s="1">
        <f t="shared" si="41"/>
        <v>97.153999999999996</v>
      </c>
      <c r="BH211">
        <v>210</v>
      </c>
      <c r="BI211">
        <v>124.69</v>
      </c>
      <c r="BJ211">
        <f t="shared" si="42"/>
        <v>152.36000000000001</v>
      </c>
      <c r="BK211">
        <v>12.36</v>
      </c>
      <c r="BL211" s="1">
        <f t="shared" si="43"/>
        <v>141.69999999999999</v>
      </c>
      <c r="BT211">
        <v>210</v>
      </c>
      <c r="BU211">
        <v>166.05</v>
      </c>
      <c r="BV211">
        <f t="shared" si="44"/>
        <v>0</v>
      </c>
      <c r="BW211">
        <v>-12.36</v>
      </c>
      <c r="BX211">
        <f t="shared" si="47"/>
        <v>153.38</v>
      </c>
      <c r="BY211" t="s">
        <v>0</v>
      </c>
    </row>
    <row r="212" spans="1:77" x14ac:dyDescent="0.25">
      <c r="A212">
        <v>212</v>
      </c>
      <c r="B212">
        <v>80.67</v>
      </c>
      <c r="C212">
        <v>212</v>
      </c>
      <c r="D212">
        <f t="shared" si="45"/>
        <v>12.400000000000091</v>
      </c>
      <c r="E212" s="1">
        <f t="shared" si="46"/>
        <v>-3.839999999999975</v>
      </c>
      <c r="Q212">
        <v>211</v>
      </c>
      <c r="R212" s="4">
        <v>128.75</v>
      </c>
      <c r="S212" s="4">
        <f t="shared" si="37"/>
        <v>0</v>
      </c>
      <c r="T212" s="4">
        <v>-10.039999999999999</v>
      </c>
      <c r="U212" s="4">
        <f t="shared" si="48"/>
        <v>0</v>
      </c>
      <c r="AF212">
        <v>211</v>
      </c>
      <c r="AG212" s="4">
        <v>171.15</v>
      </c>
      <c r="AH212" s="4">
        <f t="shared" si="38"/>
        <v>19.54</v>
      </c>
      <c r="AI212" s="4">
        <v>18.54</v>
      </c>
      <c r="AJ212" s="4">
        <f t="shared" si="40"/>
        <v>1.1559999999999995</v>
      </c>
      <c r="AT212">
        <v>211</v>
      </c>
      <c r="AU212">
        <v>140.37</v>
      </c>
      <c r="AV212">
        <f t="shared" si="39"/>
        <v>0</v>
      </c>
      <c r="AW212">
        <v>-11.59</v>
      </c>
      <c r="AX212" s="1">
        <f t="shared" si="41"/>
        <v>96.69</v>
      </c>
      <c r="BH212">
        <v>211</v>
      </c>
      <c r="BI212">
        <v>125.43</v>
      </c>
      <c r="BJ212">
        <f t="shared" si="42"/>
        <v>154.66999999999999</v>
      </c>
      <c r="BK212">
        <v>14.67</v>
      </c>
      <c r="BL212" s="1">
        <f t="shared" si="43"/>
        <v>140.46199999999999</v>
      </c>
      <c r="BT212">
        <v>211</v>
      </c>
      <c r="BU212">
        <v>165.94</v>
      </c>
      <c r="BV212">
        <f t="shared" si="44"/>
        <v>0</v>
      </c>
      <c r="BW212">
        <v>-4.63</v>
      </c>
      <c r="BX212">
        <f t="shared" si="47"/>
        <v>157.09200000000001</v>
      </c>
      <c r="BY212" t="s">
        <v>0</v>
      </c>
    </row>
    <row r="213" spans="1:77" x14ac:dyDescent="0.25">
      <c r="A213">
        <v>213</v>
      </c>
      <c r="B213">
        <v>80.59</v>
      </c>
      <c r="C213">
        <v>213</v>
      </c>
      <c r="D213">
        <f t="shared" si="45"/>
        <v>-1.5999999999999659</v>
      </c>
      <c r="E213" s="1">
        <f t="shared" si="46"/>
        <v>-2.8000000000000114</v>
      </c>
      <c r="Q213">
        <v>212</v>
      </c>
      <c r="R213" s="4">
        <v>128.25</v>
      </c>
      <c r="S213" s="4">
        <f t="shared" si="37"/>
        <v>0</v>
      </c>
      <c r="T213" s="4">
        <v>-10.039999999999999</v>
      </c>
      <c r="U213" s="4">
        <f t="shared" si="48"/>
        <v>0</v>
      </c>
      <c r="AF213">
        <v>212</v>
      </c>
      <c r="AG213" s="4">
        <v>171.5</v>
      </c>
      <c r="AH213" s="4">
        <f t="shared" si="38"/>
        <v>7.95</v>
      </c>
      <c r="AI213" s="4">
        <v>6.95</v>
      </c>
      <c r="AJ213" s="4">
        <f t="shared" si="40"/>
        <v>-1.3180000000000001</v>
      </c>
      <c r="AT213">
        <v>212</v>
      </c>
      <c r="AU213">
        <v>139.83000000000001</v>
      </c>
      <c r="AV213">
        <f t="shared" si="39"/>
        <v>0</v>
      </c>
      <c r="AW213">
        <v>-10.81</v>
      </c>
      <c r="AX213" s="1">
        <f t="shared" si="41"/>
        <v>97.156000000000006</v>
      </c>
      <c r="BH213">
        <v>212</v>
      </c>
      <c r="BI213">
        <v>126.16</v>
      </c>
      <c r="BJ213">
        <f t="shared" si="42"/>
        <v>154.66999999999999</v>
      </c>
      <c r="BK213">
        <v>14.67</v>
      </c>
      <c r="BL213" s="1">
        <f t="shared" si="43"/>
        <v>140</v>
      </c>
      <c r="BT213">
        <v>212</v>
      </c>
      <c r="BU213">
        <v>165.74</v>
      </c>
      <c r="BV213">
        <f t="shared" si="44"/>
        <v>0</v>
      </c>
      <c r="BW213">
        <v>-7.72</v>
      </c>
      <c r="BX213">
        <f t="shared" si="47"/>
        <v>152.76400000000001</v>
      </c>
      <c r="BY213" t="s">
        <v>0</v>
      </c>
    </row>
    <row r="214" spans="1:77" x14ac:dyDescent="0.25">
      <c r="A214">
        <v>214</v>
      </c>
      <c r="B214">
        <v>80.28</v>
      </c>
      <c r="C214">
        <v>214</v>
      </c>
      <c r="D214">
        <f t="shared" si="45"/>
        <v>-6.2000000000000455</v>
      </c>
      <c r="E214" s="1">
        <f t="shared" si="46"/>
        <v>-0.92000000000001592</v>
      </c>
      <c r="Q214">
        <v>213</v>
      </c>
      <c r="R214" s="4">
        <v>127.74</v>
      </c>
      <c r="S214" s="4">
        <f t="shared" si="37"/>
        <v>0</v>
      </c>
      <c r="T214" s="4">
        <v>-10.039999999999999</v>
      </c>
      <c r="U214" s="4">
        <f t="shared" si="48"/>
        <v>0</v>
      </c>
      <c r="AF214">
        <v>213</v>
      </c>
      <c r="AG214" s="4">
        <v>170.92</v>
      </c>
      <c r="AH214" s="4">
        <f t="shared" si="38"/>
        <v>0</v>
      </c>
      <c r="AI214" s="4">
        <v>-11.59</v>
      </c>
      <c r="AJ214" s="4">
        <f t="shared" si="40"/>
        <v>-2.7079999999999997</v>
      </c>
      <c r="AT214">
        <v>213</v>
      </c>
      <c r="AU214">
        <v>139.21</v>
      </c>
      <c r="AV214">
        <f t="shared" si="39"/>
        <v>0</v>
      </c>
      <c r="AW214">
        <v>-12.36</v>
      </c>
      <c r="AX214" s="1">
        <f t="shared" si="41"/>
        <v>96.69</v>
      </c>
      <c r="BH214">
        <v>213</v>
      </c>
      <c r="BI214">
        <v>126.9</v>
      </c>
      <c r="BJ214">
        <f t="shared" si="42"/>
        <v>154.66999999999999</v>
      </c>
      <c r="BK214">
        <v>14.67</v>
      </c>
      <c r="BL214" s="1">
        <f t="shared" si="43"/>
        <v>140</v>
      </c>
      <c r="BT214">
        <v>213</v>
      </c>
      <c r="BU214">
        <v>165.51</v>
      </c>
      <c r="BV214">
        <f t="shared" si="44"/>
        <v>0</v>
      </c>
      <c r="BW214">
        <v>-9.27</v>
      </c>
      <c r="BX214">
        <f t="shared" si="47"/>
        <v>153.38</v>
      </c>
      <c r="BY214" t="s">
        <v>0</v>
      </c>
    </row>
    <row r="215" spans="1:77" x14ac:dyDescent="0.25">
      <c r="A215">
        <v>215</v>
      </c>
      <c r="B215">
        <v>79.63</v>
      </c>
      <c r="C215">
        <v>215</v>
      </c>
      <c r="D215">
        <f t="shared" si="45"/>
        <v>-13.000000000000114</v>
      </c>
      <c r="E215" s="1">
        <f t="shared" si="46"/>
        <v>-1.3600000000000136</v>
      </c>
      <c r="Q215">
        <v>214</v>
      </c>
      <c r="R215" s="4">
        <v>127.24</v>
      </c>
      <c r="S215" s="4">
        <f t="shared" si="37"/>
        <v>0</v>
      </c>
      <c r="T215" s="4">
        <v>-10.039999999999999</v>
      </c>
      <c r="U215" s="4">
        <f t="shared" si="48"/>
        <v>0</v>
      </c>
      <c r="AF215">
        <v>214</v>
      </c>
      <c r="AG215" s="4">
        <v>170.07</v>
      </c>
      <c r="AH215" s="4">
        <f t="shared" si="38"/>
        <v>0</v>
      </c>
      <c r="AI215" s="4">
        <v>-16.989999999999998</v>
      </c>
      <c r="AJ215" s="4">
        <f t="shared" si="40"/>
        <v>-7.9999999999999627E-2</v>
      </c>
      <c r="AT215">
        <v>214</v>
      </c>
      <c r="AU215">
        <v>138.79</v>
      </c>
      <c r="AV215">
        <f t="shared" si="39"/>
        <v>0</v>
      </c>
      <c r="AW215">
        <v>-8.5</v>
      </c>
      <c r="AX215" s="1">
        <f t="shared" si="41"/>
        <v>97.772000000000006</v>
      </c>
      <c r="BH215">
        <v>214</v>
      </c>
      <c r="BI215">
        <v>127.71</v>
      </c>
      <c r="BJ215">
        <f t="shared" si="42"/>
        <v>156.22</v>
      </c>
      <c r="BK215">
        <v>16.22</v>
      </c>
      <c r="BL215" s="1">
        <f t="shared" si="43"/>
        <v>140.31</v>
      </c>
      <c r="BT215">
        <v>214</v>
      </c>
      <c r="BU215">
        <v>165.36</v>
      </c>
      <c r="BV215">
        <f t="shared" si="44"/>
        <v>0</v>
      </c>
      <c r="BW215">
        <v>-6.18</v>
      </c>
      <c r="BX215">
        <f t="shared" si="47"/>
        <v>155.23599999999999</v>
      </c>
      <c r="BY215" t="s">
        <v>0</v>
      </c>
    </row>
    <row r="216" spans="1:77" x14ac:dyDescent="0.25">
      <c r="A216">
        <v>216</v>
      </c>
      <c r="B216">
        <v>79.09</v>
      </c>
      <c r="C216">
        <v>216</v>
      </c>
      <c r="D216">
        <f t="shared" si="45"/>
        <v>-10.799999999999841</v>
      </c>
      <c r="E216" s="1">
        <f t="shared" si="46"/>
        <v>0.44000000000005457</v>
      </c>
      <c r="Q216">
        <v>215</v>
      </c>
      <c r="R216" s="4">
        <v>126.97</v>
      </c>
      <c r="S216" s="4">
        <f t="shared" si="37"/>
        <v>0</v>
      </c>
      <c r="T216" s="4">
        <v>-5.41</v>
      </c>
      <c r="U216" s="4">
        <f t="shared" si="48"/>
        <v>0.92599999999999982</v>
      </c>
      <c r="AF216">
        <v>215</v>
      </c>
      <c r="AG216" s="4">
        <v>169.18</v>
      </c>
      <c r="AH216" s="4">
        <f t="shared" si="38"/>
        <v>0</v>
      </c>
      <c r="AI216" s="4">
        <v>-17.760000000000002</v>
      </c>
      <c r="AJ216" s="4">
        <f t="shared" si="40"/>
        <v>0.84599999999999942</v>
      </c>
      <c r="AT216">
        <v>215</v>
      </c>
      <c r="AU216">
        <v>138.47999999999999</v>
      </c>
      <c r="AV216">
        <f t="shared" si="39"/>
        <v>0</v>
      </c>
      <c r="AW216">
        <v>-6.18</v>
      </c>
      <c r="AX216" s="1">
        <f t="shared" si="41"/>
        <v>97.463999999999999</v>
      </c>
      <c r="BH216">
        <v>215</v>
      </c>
      <c r="BI216">
        <v>128.4</v>
      </c>
      <c r="BJ216">
        <f t="shared" si="42"/>
        <v>153.9</v>
      </c>
      <c r="BK216">
        <v>13.9</v>
      </c>
      <c r="BL216" s="1">
        <f t="shared" si="43"/>
        <v>139.536</v>
      </c>
      <c r="BT216">
        <v>215</v>
      </c>
      <c r="BU216">
        <v>165.24</v>
      </c>
      <c r="BV216">
        <f t="shared" si="44"/>
        <v>0</v>
      </c>
      <c r="BW216">
        <v>-4.63</v>
      </c>
      <c r="BX216">
        <f t="shared" si="47"/>
        <v>154.62</v>
      </c>
      <c r="BY216" t="s">
        <v>0</v>
      </c>
    </row>
    <row r="217" spans="1:77" x14ac:dyDescent="0.25">
      <c r="A217">
        <v>217</v>
      </c>
      <c r="B217">
        <v>78.66</v>
      </c>
      <c r="C217">
        <v>217</v>
      </c>
      <c r="D217">
        <f t="shared" si="45"/>
        <v>-8.6000000000001364</v>
      </c>
      <c r="E217" s="1">
        <f t="shared" si="46"/>
        <v>0.43999999999994088</v>
      </c>
      <c r="Q217">
        <v>216</v>
      </c>
      <c r="R217" s="4">
        <v>126.78</v>
      </c>
      <c r="S217" s="4">
        <f t="shared" si="37"/>
        <v>0</v>
      </c>
      <c r="T217" s="4">
        <v>-3.86</v>
      </c>
      <c r="U217" s="4">
        <f t="shared" si="48"/>
        <v>0.31000000000000005</v>
      </c>
      <c r="AF217">
        <v>216</v>
      </c>
      <c r="AG217" s="4">
        <v>168.52</v>
      </c>
      <c r="AH217" s="4">
        <f t="shared" si="38"/>
        <v>0</v>
      </c>
      <c r="AI217" s="4">
        <v>-13.13</v>
      </c>
      <c r="AJ217" s="4">
        <f t="shared" si="40"/>
        <v>1.9260000000000002</v>
      </c>
      <c r="AT217">
        <v>216</v>
      </c>
      <c r="AU217">
        <v>138.06</v>
      </c>
      <c r="AV217">
        <f t="shared" si="39"/>
        <v>0</v>
      </c>
      <c r="AW217">
        <v>-8.5</v>
      </c>
      <c r="AX217" s="1">
        <f t="shared" si="41"/>
        <v>96.536000000000001</v>
      </c>
      <c r="BH217">
        <v>216</v>
      </c>
      <c r="BI217">
        <v>129.06</v>
      </c>
      <c r="BJ217">
        <f t="shared" si="42"/>
        <v>153.13</v>
      </c>
      <c r="BK217">
        <v>13.13</v>
      </c>
      <c r="BL217" s="1">
        <f t="shared" si="43"/>
        <v>139.846</v>
      </c>
      <c r="BT217">
        <v>216</v>
      </c>
      <c r="BU217" s="2">
        <v>165.05</v>
      </c>
      <c r="BV217">
        <f t="shared" si="44"/>
        <v>0</v>
      </c>
      <c r="BW217">
        <v>-7.72</v>
      </c>
      <c r="BX217">
        <f t="shared" si="47"/>
        <v>152.76400000000001</v>
      </c>
      <c r="BY217" t="s">
        <v>0</v>
      </c>
    </row>
    <row r="218" spans="1:77" x14ac:dyDescent="0.25">
      <c r="A218">
        <v>218</v>
      </c>
      <c r="B218">
        <v>78.239999999999995</v>
      </c>
      <c r="C218">
        <v>218</v>
      </c>
      <c r="D218">
        <f t="shared" si="45"/>
        <v>-8.4000000000000341</v>
      </c>
      <c r="E218" s="1">
        <f t="shared" si="46"/>
        <v>4.0000000000020464E-2</v>
      </c>
      <c r="Q218">
        <v>217</v>
      </c>
      <c r="R218" s="4">
        <v>126.28</v>
      </c>
      <c r="S218" s="4">
        <f t="shared" si="37"/>
        <v>0</v>
      </c>
      <c r="T218" s="4">
        <v>-10.039999999999999</v>
      </c>
      <c r="U218" s="4">
        <f t="shared" si="48"/>
        <v>-1.236</v>
      </c>
      <c r="AF218">
        <v>217</v>
      </c>
      <c r="AG218" s="4">
        <v>167.71</v>
      </c>
      <c r="AH218" s="4">
        <f t="shared" si="38"/>
        <v>0</v>
      </c>
      <c r="AI218" s="4">
        <v>-16.22</v>
      </c>
      <c r="AJ218" s="4">
        <f t="shared" si="40"/>
        <v>0.38200000000000034</v>
      </c>
      <c r="AT218">
        <v>217</v>
      </c>
      <c r="AU218">
        <v>137.44</v>
      </c>
      <c r="AV218">
        <f t="shared" si="39"/>
        <v>0</v>
      </c>
      <c r="AW218">
        <v>-12.36</v>
      </c>
      <c r="AX218" s="1">
        <f t="shared" si="41"/>
        <v>96.227999999999994</v>
      </c>
      <c r="BH218">
        <v>217</v>
      </c>
      <c r="BI218">
        <v>129.75</v>
      </c>
      <c r="BJ218">
        <f t="shared" si="42"/>
        <v>153.9</v>
      </c>
      <c r="BK218">
        <v>13.9</v>
      </c>
      <c r="BL218" s="1">
        <f t="shared" si="43"/>
        <v>140.154</v>
      </c>
      <c r="BT218">
        <v>217</v>
      </c>
      <c r="BU218">
        <v>165.24</v>
      </c>
      <c r="BV218">
        <f t="shared" si="44"/>
        <v>161.72</v>
      </c>
      <c r="BW218">
        <v>7.72</v>
      </c>
      <c r="BX218">
        <f t="shared" si="47"/>
        <v>160.17599999999999</v>
      </c>
      <c r="BY218" t="s">
        <v>0</v>
      </c>
    </row>
    <row r="219" spans="1:77" x14ac:dyDescent="0.25">
      <c r="A219">
        <v>219</v>
      </c>
      <c r="B219">
        <v>77.81</v>
      </c>
      <c r="C219">
        <v>219</v>
      </c>
      <c r="D219">
        <f t="shared" si="45"/>
        <v>-8.5999999999998522</v>
      </c>
      <c r="E219" s="1">
        <f t="shared" si="46"/>
        <v>-3.999999999996362E-2</v>
      </c>
      <c r="Q219">
        <v>218</v>
      </c>
      <c r="R219" s="4">
        <v>125.74</v>
      </c>
      <c r="S219" s="4">
        <f t="shared" si="37"/>
        <v>0</v>
      </c>
      <c r="T219" s="4">
        <v>-10.81</v>
      </c>
      <c r="U219" s="4">
        <f t="shared" si="48"/>
        <v>-0.15400000000000028</v>
      </c>
      <c r="AF219">
        <v>218</v>
      </c>
      <c r="AG219" s="4">
        <v>167.13</v>
      </c>
      <c r="AH219" s="4">
        <f t="shared" si="38"/>
        <v>0</v>
      </c>
      <c r="AI219" s="4">
        <v>-11.59</v>
      </c>
      <c r="AJ219" s="4">
        <f t="shared" si="40"/>
        <v>1.9259999999999997</v>
      </c>
      <c r="AT219">
        <v>218</v>
      </c>
      <c r="AU219">
        <v>136.97</v>
      </c>
      <c r="AV219">
        <f t="shared" si="39"/>
        <v>0</v>
      </c>
      <c r="AW219">
        <v>-9.27</v>
      </c>
      <c r="AX219" s="1">
        <f t="shared" si="41"/>
        <v>97.617999999999995</v>
      </c>
      <c r="BH219">
        <v>218</v>
      </c>
      <c r="BI219">
        <v>130.94999999999999</v>
      </c>
      <c r="BJ219">
        <f t="shared" si="42"/>
        <v>163.94</v>
      </c>
      <c r="BK219">
        <v>23.94</v>
      </c>
      <c r="BL219" s="1">
        <f t="shared" si="43"/>
        <v>142.00800000000001</v>
      </c>
      <c r="BT219">
        <v>218</v>
      </c>
      <c r="BU219">
        <v>165.74</v>
      </c>
      <c r="BV219">
        <f t="shared" si="44"/>
        <v>174.07999999999998</v>
      </c>
      <c r="BW219">
        <v>20.079999999999998</v>
      </c>
      <c r="BX219">
        <f t="shared" si="47"/>
        <v>158.94399999999999</v>
      </c>
      <c r="BY219" t="s">
        <v>0</v>
      </c>
    </row>
    <row r="220" spans="1:77" x14ac:dyDescent="0.25">
      <c r="A220">
        <v>220</v>
      </c>
      <c r="B220">
        <v>77.27</v>
      </c>
      <c r="C220">
        <v>220</v>
      </c>
      <c r="D220">
        <f t="shared" si="45"/>
        <v>-10.800000000000125</v>
      </c>
      <c r="E220" s="1">
        <f t="shared" si="46"/>
        <v>-0.44000000000005457</v>
      </c>
      <c r="Q220">
        <v>219</v>
      </c>
      <c r="R220" s="4">
        <v>125.16</v>
      </c>
      <c r="S220" s="4">
        <f t="shared" si="37"/>
        <v>0</v>
      </c>
      <c r="T220" s="4">
        <v>-11.58</v>
      </c>
      <c r="U220" s="4">
        <f t="shared" si="48"/>
        <v>-0.15399999999999991</v>
      </c>
      <c r="AF220">
        <v>219</v>
      </c>
      <c r="AG220" s="4">
        <v>166.75</v>
      </c>
      <c r="AH220" s="4">
        <f t="shared" si="38"/>
        <v>0</v>
      </c>
      <c r="AI220" s="4">
        <v>-7.72</v>
      </c>
      <c r="AJ220" s="4">
        <f t="shared" si="40"/>
        <v>1.774</v>
      </c>
      <c r="AT220">
        <v>219</v>
      </c>
      <c r="AU220">
        <v>136.36000000000001</v>
      </c>
      <c r="AV220">
        <f t="shared" si="39"/>
        <v>0</v>
      </c>
      <c r="AW220">
        <v>-12.36</v>
      </c>
      <c r="AX220" s="1">
        <f t="shared" si="41"/>
        <v>96.382000000000005</v>
      </c>
      <c r="BH220">
        <v>219</v>
      </c>
      <c r="BI220">
        <v>132.22</v>
      </c>
      <c r="BJ220">
        <f t="shared" si="42"/>
        <v>165.49</v>
      </c>
      <c r="BK220">
        <v>25.49</v>
      </c>
      <c r="BL220" s="1">
        <f t="shared" si="43"/>
        <v>140.31</v>
      </c>
      <c r="BT220">
        <v>219</v>
      </c>
      <c r="BU220" s="2">
        <v>166.01</v>
      </c>
      <c r="BV220">
        <f t="shared" si="44"/>
        <v>164.81</v>
      </c>
      <c r="BW220">
        <v>10.81</v>
      </c>
      <c r="BX220">
        <f t="shared" si="47"/>
        <v>150.292</v>
      </c>
      <c r="BY220" t="s">
        <v>0</v>
      </c>
    </row>
    <row r="221" spans="1:77" x14ac:dyDescent="0.25">
      <c r="A221">
        <v>221</v>
      </c>
      <c r="B221">
        <v>76.73</v>
      </c>
      <c r="C221">
        <v>221</v>
      </c>
      <c r="D221">
        <f t="shared" si="45"/>
        <v>-10.799999999999841</v>
      </c>
      <c r="E221" s="1">
        <f t="shared" si="46"/>
        <v>5.6843418860808015E-14</v>
      </c>
      <c r="Q221">
        <v>220</v>
      </c>
      <c r="R221" s="4">
        <v>124.66</v>
      </c>
      <c r="S221" s="4">
        <f t="shared" si="37"/>
        <v>0</v>
      </c>
      <c r="T221" s="4">
        <v>-10.039999999999999</v>
      </c>
      <c r="U221" s="4">
        <f t="shared" si="48"/>
        <v>0.30800000000000016</v>
      </c>
      <c r="AF221">
        <v>220</v>
      </c>
      <c r="AG221" s="4">
        <v>166.44</v>
      </c>
      <c r="AH221" s="4">
        <f t="shared" si="38"/>
        <v>0</v>
      </c>
      <c r="AI221" s="4">
        <v>-6.18</v>
      </c>
      <c r="AJ221" s="4">
        <f t="shared" si="40"/>
        <v>1.3080000000000001</v>
      </c>
      <c r="AT221">
        <v>220</v>
      </c>
      <c r="AU221">
        <v>135.85</v>
      </c>
      <c r="AV221">
        <f t="shared" si="39"/>
        <v>0</v>
      </c>
      <c r="AW221">
        <v>-10.039999999999999</v>
      </c>
      <c r="AX221" s="1">
        <f t="shared" si="41"/>
        <v>97.463999999999999</v>
      </c>
      <c r="BH221">
        <v>220</v>
      </c>
      <c r="BI221">
        <v>132.88</v>
      </c>
      <c r="BJ221">
        <f t="shared" si="42"/>
        <v>153.13</v>
      </c>
      <c r="BK221">
        <v>13.13</v>
      </c>
      <c r="BL221" s="1">
        <f t="shared" si="43"/>
        <v>137.52799999999999</v>
      </c>
      <c r="BT221">
        <v>220</v>
      </c>
      <c r="BU221">
        <v>165.82</v>
      </c>
      <c r="BV221">
        <f t="shared" si="44"/>
        <v>0</v>
      </c>
      <c r="BW221">
        <v>-7.72</v>
      </c>
      <c r="BX221">
        <f t="shared" si="47"/>
        <v>146.58799999999999</v>
      </c>
      <c r="BY221" t="s">
        <v>0</v>
      </c>
    </row>
    <row r="222" spans="1:77" x14ac:dyDescent="0.25">
      <c r="A222">
        <v>222</v>
      </c>
      <c r="B222">
        <v>76.23</v>
      </c>
      <c r="C222">
        <v>222</v>
      </c>
      <c r="D222">
        <f t="shared" si="45"/>
        <v>-10</v>
      </c>
      <c r="E222" s="1">
        <f t="shared" si="46"/>
        <v>0.15999999999996817</v>
      </c>
      <c r="Q222">
        <v>221</v>
      </c>
      <c r="R222" s="4">
        <v>124.27</v>
      </c>
      <c r="S222" s="4">
        <f t="shared" si="37"/>
        <v>0</v>
      </c>
      <c r="T222" s="4">
        <v>-7.72</v>
      </c>
      <c r="U222" s="4">
        <f t="shared" si="48"/>
        <v>0.46399999999999986</v>
      </c>
      <c r="AF222">
        <v>221</v>
      </c>
      <c r="AG222" s="4">
        <v>165.55</v>
      </c>
      <c r="AH222" s="4">
        <f t="shared" si="38"/>
        <v>0</v>
      </c>
      <c r="AI222" s="4">
        <v>-17.760000000000002</v>
      </c>
      <c r="AJ222" s="4">
        <f t="shared" si="40"/>
        <v>-1.3160000000000003</v>
      </c>
      <c r="AT222">
        <v>221</v>
      </c>
      <c r="AU222">
        <v>135.35</v>
      </c>
      <c r="AV222">
        <f t="shared" si="39"/>
        <v>0</v>
      </c>
      <c r="AW222">
        <v>-10.039999999999999</v>
      </c>
      <c r="AX222" s="1">
        <f t="shared" si="41"/>
        <v>97</v>
      </c>
      <c r="BH222">
        <v>221</v>
      </c>
      <c r="BI222">
        <v>133.27000000000001</v>
      </c>
      <c r="BJ222">
        <f t="shared" si="42"/>
        <v>147.72</v>
      </c>
      <c r="BK222">
        <v>7.72</v>
      </c>
      <c r="BL222" s="1">
        <f t="shared" si="43"/>
        <v>138.91800000000001</v>
      </c>
      <c r="BT222">
        <v>221</v>
      </c>
      <c r="BU222">
        <v>165.36</v>
      </c>
      <c r="BV222">
        <f t="shared" si="44"/>
        <v>0</v>
      </c>
      <c r="BW222">
        <v>-18.54</v>
      </c>
      <c r="BX222">
        <f t="shared" si="47"/>
        <v>149.672</v>
      </c>
      <c r="BY222" t="s">
        <v>0</v>
      </c>
    </row>
    <row r="223" spans="1:77" x14ac:dyDescent="0.25">
      <c r="A223">
        <v>223</v>
      </c>
      <c r="B223">
        <v>75.69</v>
      </c>
      <c r="C223">
        <v>223</v>
      </c>
      <c r="D223">
        <f t="shared" si="45"/>
        <v>-10.800000000000125</v>
      </c>
      <c r="E223" s="1">
        <f t="shared" si="46"/>
        <v>-0.16000000000002501</v>
      </c>
      <c r="Q223">
        <v>222</v>
      </c>
      <c r="R223" s="4">
        <v>123.77</v>
      </c>
      <c r="S223" s="4">
        <f t="shared" si="37"/>
        <v>0</v>
      </c>
      <c r="T223" s="4">
        <v>-10.039999999999999</v>
      </c>
      <c r="U223" s="4">
        <f t="shared" si="48"/>
        <v>-0.46399999999999986</v>
      </c>
      <c r="AF223">
        <v>222</v>
      </c>
      <c r="AG223" s="4">
        <v>164.93</v>
      </c>
      <c r="AH223" s="4">
        <f t="shared" si="38"/>
        <v>0</v>
      </c>
      <c r="AI223" s="4">
        <v>-12.36</v>
      </c>
      <c r="AJ223" s="4">
        <f t="shared" si="40"/>
        <v>2.0800000000000005</v>
      </c>
      <c r="AT223">
        <v>222</v>
      </c>
      <c r="AU223">
        <v>134.97</v>
      </c>
      <c r="AV223">
        <f t="shared" si="39"/>
        <v>0</v>
      </c>
      <c r="AW223">
        <v>-7.72</v>
      </c>
      <c r="AX223" s="1">
        <f t="shared" si="41"/>
        <v>97.463999999999999</v>
      </c>
      <c r="BH223">
        <v>222</v>
      </c>
      <c r="BI223">
        <v>133.46</v>
      </c>
      <c r="BJ223">
        <f t="shared" si="42"/>
        <v>143.86000000000001</v>
      </c>
      <c r="BK223">
        <v>3.86</v>
      </c>
      <c r="BL223" s="1">
        <f t="shared" si="43"/>
        <v>139.22800000000001</v>
      </c>
      <c r="BT223">
        <v>222</v>
      </c>
      <c r="BU223">
        <v>164.78</v>
      </c>
      <c r="BV223">
        <f t="shared" si="44"/>
        <v>0</v>
      </c>
      <c r="BW223">
        <v>-23.17</v>
      </c>
      <c r="BX223">
        <f t="shared" si="47"/>
        <v>152.148</v>
      </c>
      <c r="BY223" t="s">
        <v>0</v>
      </c>
    </row>
    <row r="224" spans="1:77" x14ac:dyDescent="0.25">
      <c r="A224">
        <v>224</v>
      </c>
      <c r="B224">
        <v>75.23</v>
      </c>
      <c r="C224">
        <v>224</v>
      </c>
      <c r="D224">
        <f t="shared" si="45"/>
        <v>-9.1999999999998749</v>
      </c>
      <c r="E224" s="1">
        <f t="shared" si="46"/>
        <v>0.32000000000005002</v>
      </c>
      <c r="Q224">
        <v>223</v>
      </c>
      <c r="R224" s="4">
        <v>123.3</v>
      </c>
      <c r="S224" s="4">
        <f t="shared" si="37"/>
        <v>0</v>
      </c>
      <c r="T224" s="4">
        <v>-9.27</v>
      </c>
      <c r="U224" s="4">
        <f t="shared" si="48"/>
        <v>0.15399999999999991</v>
      </c>
      <c r="AF224">
        <v>223</v>
      </c>
      <c r="AG224" s="4">
        <v>164.16</v>
      </c>
      <c r="AH224" s="4">
        <f t="shared" si="38"/>
        <v>0</v>
      </c>
      <c r="AI224" s="4">
        <v>-15.45</v>
      </c>
      <c r="AJ224" s="4">
        <f t="shared" si="40"/>
        <v>0.38200000000000001</v>
      </c>
      <c r="AT224">
        <v>223</v>
      </c>
      <c r="AU224">
        <v>134.35</v>
      </c>
      <c r="AV224">
        <f t="shared" si="39"/>
        <v>0</v>
      </c>
      <c r="AW224">
        <v>-12.36</v>
      </c>
      <c r="AX224" s="1">
        <f t="shared" si="41"/>
        <v>96.072000000000003</v>
      </c>
      <c r="BH224">
        <v>223</v>
      </c>
      <c r="BI224">
        <v>134.35</v>
      </c>
      <c r="BJ224">
        <f t="shared" si="42"/>
        <v>157.76</v>
      </c>
      <c r="BK224">
        <v>17.760000000000002</v>
      </c>
      <c r="BL224" s="1">
        <f t="shared" si="43"/>
        <v>142.78</v>
      </c>
      <c r="BT224">
        <v>223</v>
      </c>
      <c r="BU224">
        <v>164.35</v>
      </c>
      <c r="BV224">
        <f t="shared" si="44"/>
        <v>0</v>
      </c>
      <c r="BW224">
        <v>-16.989999999999998</v>
      </c>
      <c r="BX224">
        <f t="shared" si="47"/>
        <v>156.47200000000001</v>
      </c>
      <c r="BY224" t="s">
        <v>0</v>
      </c>
    </row>
    <row r="225" spans="1:77" x14ac:dyDescent="0.25">
      <c r="A225">
        <v>225</v>
      </c>
      <c r="B225">
        <v>74.72</v>
      </c>
      <c r="C225">
        <v>225</v>
      </c>
      <c r="D225">
        <f t="shared" si="45"/>
        <v>-10.200000000000102</v>
      </c>
      <c r="E225" s="1">
        <f t="shared" si="46"/>
        <v>-0.20000000000004547</v>
      </c>
      <c r="Q225">
        <v>224</v>
      </c>
      <c r="R225" s="4">
        <v>122.88</v>
      </c>
      <c r="S225" s="4">
        <f t="shared" si="37"/>
        <v>0</v>
      </c>
      <c r="T225" s="4">
        <v>-8.5</v>
      </c>
      <c r="U225" s="4">
        <f t="shared" si="48"/>
        <v>0.15399999999999991</v>
      </c>
      <c r="AF225">
        <v>224</v>
      </c>
      <c r="AG225" s="4">
        <v>163.47</v>
      </c>
      <c r="AH225" s="4">
        <f t="shared" si="38"/>
        <v>0</v>
      </c>
      <c r="AI225" s="4">
        <v>-13.9</v>
      </c>
      <c r="AJ225" s="4">
        <f t="shared" si="40"/>
        <v>1.3099999999999998</v>
      </c>
      <c r="AT225">
        <v>224</v>
      </c>
      <c r="AU225">
        <v>133.81</v>
      </c>
      <c r="AV225">
        <f t="shared" si="39"/>
        <v>0</v>
      </c>
      <c r="AW225">
        <v>-10.81</v>
      </c>
      <c r="AX225" s="1">
        <f t="shared" si="41"/>
        <v>97.31</v>
      </c>
      <c r="BH225">
        <v>224</v>
      </c>
      <c r="BI225">
        <v>135.16</v>
      </c>
      <c r="BJ225">
        <f t="shared" si="42"/>
        <v>156.22</v>
      </c>
      <c r="BK225">
        <v>16.22</v>
      </c>
      <c r="BL225" s="1">
        <f t="shared" si="43"/>
        <v>139.69200000000001</v>
      </c>
      <c r="BT225">
        <v>224</v>
      </c>
      <c r="BU225">
        <v>164.01</v>
      </c>
      <c r="BV225">
        <f t="shared" si="44"/>
        <v>0</v>
      </c>
      <c r="BW225">
        <v>-13.9</v>
      </c>
      <c r="BX225">
        <f t="shared" si="47"/>
        <v>155.23599999999999</v>
      </c>
      <c r="BY225" t="s">
        <v>0</v>
      </c>
    </row>
    <row r="226" spans="1:77" x14ac:dyDescent="0.25">
      <c r="A226">
        <v>226</v>
      </c>
      <c r="B226">
        <v>74.260000000000005</v>
      </c>
      <c r="C226">
        <v>226</v>
      </c>
      <c r="D226">
        <f t="shared" si="45"/>
        <v>-9.1999999999998749</v>
      </c>
      <c r="E226" s="1">
        <f t="shared" si="46"/>
        <v>0.20000000000004547</v>
      </c>
      <c r="Q226">
        <v>225</v>
      </c>
      <c r="R226" s="4">
        <v>122.42</v>
      </c>
      <c r="S226" s="4">
        <f t="shared" si="37"/>
        <v>0</v>
      </c>
      <c r="T226" s="4">
        <v>-9.27</v>
      </c>
      <c r="U226" s="4">
        <f t="shared" si="48"/>
        <v>-0.15399999999999991</v>
      </c>
      <c r="AF226">
        <v>225</v>
      </c>
      <c r="AG226" s="4">
        <v>162.81</v>
      </c>
      <c r="AH226" s="4">
        <f t="shared" si="38"/>
        <v>0</v>
      </c>
      <c r="AI226" s="4">
        <v>-13.13</v>
      </c>
      <c r="AJ226" s="4">
        <f t="shared" si="40"/>
        <v>1.1539999999999999</v>
      </c>
      <c r="AT226">
        <v>225</v>
      </c>
      <c r="AU226">
        <v>133.34</v>
      </c>
      <c r="AV226">
        <f t="shared" si="39"/>
        <v>0</v>
      </c>
      <c r="AW226">
        <v>-9.27</v>
      </c>
      <c r="AX226" s="1">
        <f t="shared" si="41"/>
        <v>97.308000000000007</v>
      </c>
      <c r="BH226">
        <v>225</v>
      </c>
      <c r="BI226">
        <v>135.78</v>
      </c>
      <c r="BJ226">
        <f t="shared" si="42"/>
        <v>152.36000000000001</v>
      </c>
      <c r="BK226">
        <v>12.36</v>
      </c>
      <c r="BL226" s="1">
        <f t="shared" si="43"/>
        <v>139.22800000000001</v>
      </c>
      <c r="BT226">
        <v>225</v>
      </c>
      <c r="BU226">
        <v>163.81</v>
      </c>
      <c r="BV226">
        <f t="shared" si="44"/>
        <v>0</v>
      </c>
      <c r="BW226">
        <v>-7.72</v>
      </c>
      <c r="BX226">
        <f t="shared" si="47"/>
        <v>156.47200000000001</v>
      </c>
      <c r="BY226" t="s">
        <v>0</v>
      </c>
    </row>
    <row r="227" spans="1:77" x14ac:dyDescent="0.25">
      <c r="A227">
        <v>227</v>
      </c>
      <c r="B227">
        <v>73.91</v>
      </c>
      <c r="C227">
        <v>227</v>
      </c>
      <c r="D227">
        <f t="shared" si="45"/>
        <v>-7.0000000000001705</v>
      </c>
      <c r="E227" s="1">
        <f t="shared" si="46"/>
        <v>0.43999999999994088</v>
      </c>
      <c r="Q227">
        <v>226</v>
      </c>
      <c r="R227" s="4">
        <v>122.03</v>
      </c>
      <c r="S227" s="4">
        <f t="shared" si="37"/>
        <v>0</v>
      </c>
      <c r="T227" s="4">
        <v>-7.72</v>
      </c>
      <c r="U227" s="4">
        <f t="shared" si="48"/>
        <v>0.30999999999999994</v>
      </c>
      <c r="AF227">
        <v>226</v>
      </c>
      <c r="AG227" s="4">
        <v>162.11000000000001</v>
      </c>
      <c r="AH227" s="4">
        <f t="shared" si="38"/>
        <v>0</v>
      </c>
      <c r="AI227" s="4">
        <v>-13.9</v>
      </c>
      <c r="AJ227" s="4">
        <f t="shared" si="40"/>
        <v>0.84600000000000009</v>
      </c>
      <c r="AT227">
        <v>226</v>
      </c>
      <c r="AU227">
        <v>132.76</v>
      </c>
      <c r="AV227">
        <f t="shared" si="39"/>
        <v>0</v>
      </c>
      <c r="AW227">
        <v>-11.59</v>
      </c>
      <c r="AX227" s="1">
        <f t="shared" si="41"/>
        <v>96.536000000000001</v>
      </c>
      <c r="BH227">
        <v>226</v>
      </c>
      <c r="BI227">
        <v>136.55000000000001</v>
      </c>
      <c r="BJ227">
        <f t="shared" si="42"/>
        <v>155.44999999999999</v>
      </c>
      <c r="BK227">
        <v>15.45</v>
      </c>
      <c r="BL227" s="1">
        <f t="shared" si="43"/>
        <v>140.61799999999999</v>
      </c>
      <c r="BT227">
        <v>226</v>
      </c>
      <c r="BU227">
        <v>163.69999999999999</v>
      </c>
      <c r="BV227">
        <f t="shared" si="44"/>
        <v>0</v>
      </c>
      <c r="BW227">
        <v>-4.63</v>
      </c>
      <c r="BX227">
        <f t="shared" si="47"/>
        <v>155.23599999999999</v>
      </c>
      <c r="BY227" t="s">
        <v>0</v>
      </c>
    </row>
    <row r="228" spans="1:77" x14ac:dyDescent="0.25">
      <c r="A228">
        <v>228</v>
      </c>
      <c r="B228">
        <v>73.53</v>
      </c>
      <c r="C228">
        <v>228</v>
      </c>
      <c r="D228">
        <f t="shared" si="45"/>
        <v>-7.5999999999999091</v>
      </c>
      <c r="E228" s="1">
        <f t="shared" si="46"/>
        <v>-0.1199999999999477</v>
      </c>
      <c r="Q228">
        <v>227</v>
      </c>
      <c r="R228" s="4">
        <v>121.53</v>
      </c>
      <c r="S228" s="4">
        <f t="shared" si="37"/>
        <v>0</v>
      </c>
      <c r="T228" s="4">
        <v>-10.039999999999999</v>
      </c>
      <c r="U228" s="4">
        <f t="shared" si="48"/>
        <v>-0.46399999999999986</v>
      </c>
      <c r="AF228">
        <v>227</v>
      </c>
      <c r="AG228" s="4">
        <v>161.46</v>
      </c>
      <c r="AH228" s="4">
        <f t="shared" si="38"/>
        <v>0</v>
      </c>
      <c r="AI228" s="4">
        <v>-13.13</v>
      </c>
      <c r="AJ228" s="4">
        <f t="shared" si="40"/>
        <v>1.1539999999999999</v>
      </c>
      <c r="AT228">
        <v>227</v>
      </c>
      <c r="AU228">
        <v>132.38</v>
      </c>
      <c r="AV228">
        <f t="shared" si="39"/>
        <v>0</v>
      </c>
      <c r="AW228">
        <v>-7.72</v>
      </c>
      <c r="AX228" s="1">
        <f t="shared" si="41"/>
        <v>97.774000000000001</v>
      </c>
      <c r="BH228">
        <v>227</v>
      </c>
      <c r="BI228">
        <v>137.13</v>
      </c>
      <c r="BJ228">
        <f t="shared" si="42"/>
        <v>151.58000000000001</v>
      </c>
      <c r="BK228">
        <v>11.58</v>
      </c>
      <c r="BL228" s="1">
        <f t="shared" si="43"/>
        <v>139.226</v>
      </c>
      <c r="BT228">
        <v>227</v>
      </c>
      <c r="BU228">
        <v>163.43</v>
      </c>
      <c r="BV228">
        <f t="shared" si="44"/>
        <v>0</v>
      </c>
      <c r="BW228">
        <v>-10.81</v>
      </c>
      <c r="BX228">
        <f t="shared" si="47"/>
        <v>151.52799999999999</v>
      </c>
      <c r="BY228" t="s">
        <v>0</v>
      </c>
    </row>
    <row r="229" spans="1:77" x14ac:dyDescent="0.25">
      <c r="A229">
        <v>229</v>
      </c>
      <c r="B229">
        <v>73.06</v>
      </c>
      <c r="C229">
        <v>229</v>
      </c>
      <c r="D229">
        <f t="shared" si="45"/>
        <v>-9.3999999999999773</v>
      </c>
      <c r="E229" s="1">
        <f t="shared" si="46"/>
        <v>-0.36000000000001364</v>
      </c>
      <c r="Q229">
        <v>228</v>
      </c>
      <c r="R229" s="4">
        <v>121.14</v>
      </c>
      <c r="S229" s="4">
        <f t="shared" si="37"/>
        <v>0</v>
      </c>
      <c r="T229" s="4">
        <v>-7.72</v>
      </c>
      <c r="U229" s="4">
        <f t="shared" si="48"/>
        <v>0.46399999999999986</v>
      </c>
      <c r="AF229">
        <v>228</v>
      </c>
      <c r="AG229" s="4">
        <v>160.84</v>
      </c>
      <c r="AH229" s="4">
        <f t="shared" si="38"/>
        <v>0</v>
      </c>
      <c r="AI229" s="4">
        <v>-12.36</v>
      </c>
      <c r="AJ229" s="4">
        <f t="shared" si="40"/>
        <v>1.1540000000000004</v>
      </c>
      <c r="AT229">
        <v>228</v>
      </c>
      <c r="AU229">
        <v>131.80000000000001</v>
      </c>
      <c r="AV229">
        <f t="shared" si="39"/>
        <v>0</v>
      </c>
      <c r="AW229">
        <v>-11.59</v>
      </c>
      <c r="AX229" s="1">
        <f t="shared" si="41"/>
        <v>96.225999999999999</v>
      </c>
      <c r="BH229">
        <v>228</v>
      </c>
      <c r="BI229">
        <v>137.97999999999999</v>
      </c>
      <c r="BJ229">
        <f t="shared" si="42"/>
        <v>156.99</v>
      </c>
      <c r="BK229">
        <v>16.989999999999998</v>
      </c>
      <c r="BL229" s="1">
        <f t="shared" si="43"/>
        <v>141.08199999999999</v>
      </c>
      <c r="BT229">
        <v>228</v>
      </c>
      <c r="BU229">
        <v>163.27000000000001</v>
      </c>
      <c r="BV229">
        <f t="shared" si="44"/>
        <v>0</v>
      </c>
      <c r="BW229">
        <v>-6.18</v>
      </c>
      <c r="BX229">
        <f t="shared" si="47"/>
        <v>155.852</v>
      </c>
      <c r="BY229" t="s">
        <v>0</v>
      </c>
    </row>
    <row r="230" spans="1:77" x14ac:dyDescent="0.25">
      <c r="A230">
        <v>230</v>
      </c>
      <c r="B230">
        <v>72.91</v>
      </c>
      <c r="C230">
        <v>230</v>
      </c>
      <c r="D230">
        <f t="shared" si="45"/>
        <v>-3.0000000000001137</v>
      </c>
      <c r="E230" s="1">
        <f t="shared" si="46"/>
        <v>1.2799999999999727</v>
      </c>
      <c r="Q230">
        <v>229</v>
      </c>
      <c r="R230" s="4">
        <v>120.83</v>
      </c>
      <c r="S230" s="4">
        <f t="shared" si="37"/>
        <v>0</v>
      </c>
      <c r="T230" s="4">
        <v>-6.18</v>
      </c>
      <c r="U230" s="4">
        <f t="shared" si="48"/>
        <v>0.308</v>
      </c>
      <c r="AF230">
        <v>229</v>
      </c>
      <c r="AG230" s="4">
        <v>160.22</v>
      </c>
      <c r="AH230" s="4">
        <f t="shared" si="38"/>
        <v>0</v>
      </c>
      <c r="AI230" s="4">
        <v>-12.36</v>
      </c>
      <c r="AJ230" s="4">
        <f t="shared" si="40"/>
        <v>1</v>
      </c>
      <c r="AT230">
        <v>229</v>
      </c>
      <c r="AU230">
        <v>131.30000000000001</v>
      </c>
      <c r="AV230">
        <f t="shared" si="39"/>
        <v>0</v>
      </c>
      <c r="AW230">
        <v>-10.039999999999999</v>
      </c>
      <c r="AX230" s="1">
        <f t="shared" si="41"/>
        <v>97.31</v>
      </c>
      <c r="BH230">
        <v>229</v>
      </c>
      <c r="BI230">
        <v>138.75</v>
      </c>
      <c r="BJ230">
        <f t="shared" si="42"/>
        <v>155.44999999999999</v>
      </c>
      <c r="BK230">
        <v>15.45</v>
      </c>
      <c r="BL230" s="1">
        <f t="shared" si="43"/>
        <v>139.69200000000001</v>
      </c>
      <c r="BT230">
        <v>229</v>
      </c>
      <c r="BU230">
        <v>163.04</v>
      </c>
      <c r="BV230">
        <f t="shared" si="44"/>
        <v>0</v>
      </c>
      <c r="BW230">
        <v>-9.27</v>
      </c>
      <c r="BX230">
        <f t="shared" si="47"/>
        <v>152.76400000000001</v>
      </c>
      <c r="BY230" t="s">
        <v>0</v>
      </c>
    </row>
    <row r="231" spans="1:77" x14ac:dyDescent="0.25">
      <c r="A231">
        <v>231</v>
      </c>
      <c r="B231">
        <v>74.34</v>
      </c>
      <c r="C231">
        <v>231</v>
      </c>
      <c r="D231">
        <f t="shared" si="45"/>
        <v>28.600000000000136</v>
      </c>
      <c r="E231" s="1">
        <f t="shared" si="46"/>
        <v>6.32000000000005</v>
      </c>
      <c r="Q231">
        <v>230</v>
      </c>
      <c r="R231" s="4">
        <v>120.64</v>
      </c>
      <c r="S231" s="4">
        <f t="shared" si="37"/>
        <v>0</v>
      </c>
      <c r="T231" s="4">
        <v>-3.86</v>
      </c>
      <c r="U231" s="4">
        <f t="shared" si="48"/>
        <v>0.46399999999999997</v>
      </c>
      <c r="AF231">
        <v>230</v>
      </c>
      <c r="AG231" s="4">
        <v>159.68</v>
      </c>
      <c r="AH231" s="4">
        <f t="shared" si="38"/>
        <v>0</v>
      </c>
      <c r="AI231" s="4">
        <v>-10.81</v>
      </c>
      <c r="AJ231" s="4">
        <f t="shared" si="40"/>
        <v>1.3099999999999998</v>
      </c>
      <c r="AT231">
        <v>230</v>
      </c>
      <c r="AU231">
        <v>130.87</v>
      </c>
      <c r="AV231">
        <f t="shared" si="39"/>
        <v>0</v>
      </c>
      <c r="AW231">
        <v>-8.5</v>
      </c>
      <c r="AX231" s="1">
        <f t="shared" si="41"/>
        <v>97.307999999999993</v>
      </c>
      <c r="BH231">
        <v>230</v>
      </c>
      <c r="BI231">
        <v>139.68</v>
      </c>
      <c r="BJ231">
        <f t="shared" si="42"/>
        <v>158.54</v>
      </c>
      <c r="BK231">
        <v>18.54</v>
      </c>
      <c r="BL231" s="1">
        <f t="shared" si="43"/>
        <v>140.61799999999999</v>
      </c>
      <c r="BT231">
        <v>230</v>
      </c>
      <c r="BU231">
        <v>162.77000000000001</v>
      </c>
      <c r="BV231">
        <f t="shared" si="44"/>
        <v>0</v>
      </c>
      <c r="BW231">
        <v>-10.81</v>
      </c>
      <c r="BX231">
        <f t="shared" si="47"/>
        <v>153.38399999999999</v>
      </c>
      <c r="BY231" t="s">
        <v>0</v>
      </c>
    </row>
    <row r="232" spans="1:77" x14ac:dyDescent="0.25">
      <c r="A232">
        <v>232</v>
      </c>
      <c r="B232">
        <v>75.650000000000006</v>
      </c>
      <c r="C232">
        <v>232</v>
      </c>
      <c r="D232">
        <f t="shared" si="45"/>
        <v>26.200000000000045</v>
      </c>
      <c r="E232" s="1">
        <f t="shared" si="46"/>
        <v>-0.48000000000001819</v>
      </c>
      <c r="Q232">
        <v>231</v>
      </c>
      <c r="R232" s="4">
        <v>120.37</v>
      </c>
      <c r="S232" s="4">
        <f t="shared" si="37"/>
        <v>0</v>
      </c>
      <c r="T232" s="4">
        <v>-5.41</v>
      </c>
      <c r="U232" s="4">
        <f t="shared" si="48"/>
        <v>-0.31000000000000005</v>
      </c>
      <c r="AF232">
        <v>231</v>
      </c>
      <c r="AG232" s="4">
        <v>159.13999999999999</v>
      </c>
      <c r="AH232" s="4">
        <f t="shared" si="38"/>
        <v>0</v>
      </c>
      <c r="AI232" s="4">
        <v>-10.81</v>
      </c>
      <c r="AJ232" s="4">
        <f t="shared" si="40"/>
        <v>1</v>
      </c>
      <c r="AT232">
        <v>231</v>
      </c>
      <c r="AU232">
        <v>130.41</v>
      </c>
      <c r="AV232">
        <f t="shared" si="39"/>
        <v>0</v>
      </c>
      <c r="AW232">
        <v>-9.27</v>
      </c>
      <c r="AX232" s="1">
        <f t="shared" si="41"/>
        <v>96.846000000000004</v>
      </c>
      <c r="BH232">
        <v>231</v>
      </c>
      <c r="BI232">
        <v>140.91</v>
      </c>
      <c r="BJ232">
        <f t="shared" si="42"/>
        <v>164.71</v>
      </c>
      <c r="BK232">
        <v>24.71</v>
      </c>
      <c r="BL232" s="1">
        <f t="shared" si="43"/>
        <v>141.23400000000001</v>
      </c>
      <c r="BT232">
        <v>231</v>
      </c>
      <c r="BU232">
        <v>162.58000000000001</v>
      </c>
      <c r="BV232">
        <f t="shared" si="44"/>
        <v>0</v>
      </c>
      <c r="BW232">
        <v>-7.72</v>
      </c>
      <c r="BX232">
        <f t="shared" si="47"/>
        <v>155.23599999999999</v>
      </c>
      <c r="BY232" t="s">
        <v>0</v>
      </c>
    </row>
    <row r="233" spans="1:77" x14ac:dyDescent="0.25">
      <c r="A233">
        <v>233</v>
      </c>
      <c r="B233">
        <v>75.53</v>
      </c>
      <c r="C233">
        <v>233</v>
      </c>
      <c r="D233">
        <f t="shared" si="45"/>
        <v>-2.4000000000000909</v>
      </c>
      <c r="E233" s="1">
        <f t="shared" si="46"/>
        <v>-5.7200000000000273</v>
      </c>
      <c r="Q233">
        <v>232</v>
      </c>
      <c r="R233" s="4">
        <v>119.87</v>
      </c>
      <c r="S233" s="4">
        <f t="shared" si="37"/>
        <v>0</v>
      </c>
      <c r="T233" s="4">
        <v>-10.039999999999999</v>
      </c>
      <c r="U233" s="4">
        <f t="shared" si="48"/>
        <v>-0.92599999999999982</v>
      </c>
      <c r="AF233">
        <v>232</v>
      </c>
      <c r="AG233" s="4">
        <v>158.63999999999999</v>
      </c>
      <c r="AH233" s="4">
        <f t="shared" si="38"/>
        <v>0</v>
      </c>
      <c r="AI233" s="4">
        <v>-10.039999999999999</v>
      </c>
      <c r="AJ233" s="4">
        <f t="shared" si="40"/>
        <v>1.1540000000000004</v>
      </c>
      <c r="AT233">
        <v>232</v>
      </c>
      <c r="AU233">
        <v>129.87</v>
      </c>
      <c r="AV233">
        <f t="shared" si="39"/>
        <v>0</v>
      </c>
      <c r="AW233">
        <v>-10.81</v>
      </c>
      <c r="AX233" s="1">
        <f t="shared" si="41"/>
        <v>96.691999999999993</v>
      </c>
      <c r="BH233">
        <v>232</v>
      </c>
      <c r="BI233">
        <v>141.99</v>
      </c>
      <c r="BJ233">
        <f t="shared" si="42"/>
        <v>161.63</v>
      </c>
      <c r="BK233">
        <v>21.63</v>
      </c>
      <c r="BL233" s="1">
        <f t="shared" si="43"/>
        <v>139.38399999999999</v>
      </c>
      <c r="BT233">
        <v>232</v>
      </c>
      <c r="BU233">
        <v>162.41999999999999</v>
      </c>
      <c r="BV233">
        <f t="shared" si="44"/>
        <v>0</v>
      </c>
      <c r="BW233">
        <v>-6.18</v>
      </c>
      <c r="BX233">
        <f t="shared" si="47"/>
        <v>154.61600000000001</v>
      </c>
      <c r="BY233" t="s">
        <v>0</v>
      </c>
    </row>
    <row r="234" spans="1:77" x14ac:dyDescent="0.25">
      <c r="A234">
        <v>234</v>
      </c>
      <c r="B234">
        <v>75.34</v>
      </c>
      <c r="C234">
        <v>234</v>
      </c>
      <c r="D234">
        <f t="shared" si="45"/>
        <v>-3.7999999999999545</v>
      </c>
      <c r="E234" s="1">
        <f t="shared" si="46"/>
        <v>-0.27999999999997272</v>
      </c>
      <c r="Q234">
        <v>233</v>
      </c>
      <c r="R234" s="4">
        <v>119.29</v>
      </c>
      <c r="S234" s="4">
        <f t="shared" si="37"/>
        <v>0</v>
      </c>
      <c r="T234" s="4">
        <v>-11.58</v>
      </c>
      <c r="U234" s="4">
        <f t="shared" si="48"/>
        <v>-0.30800000000000016</v>
      </c>
      <c r="AF234">
        <v>233</v>
      </c>
      <c r="AG234" s="4">
        <v>158.1</v>
      </c>
      <c r="AH234" s="4">
        <f t="shared" si="38"/>
        <v>0</v>
      </c>
      <c r="AI234" s="4">
        <v>-10.81</v>
      </c>
      <c r="AJ234" s="4">
        <f t="shared" si="40"/>
        <v>0.84599999999999975</v>
      </c>
      <c r="AT234">
        <v>233</v>
      </c>
      <c r="AU234">
        <v>129.41</v>
      </c>
      <c r="AV234">
        <f t="shared" si="39"/>
        <v>0</v>
      </c>
      <c r="AW234">
        <v>-9.27</v>
      </c>
      <c r="AX234" s="1">
        <f t="shared" si="41"/>
        <v>97.308000000000007</v>
      </c>
      <c r="BH234">
        <v>233</v>
      </c>
      <c r="BI234">
        <v>142.41999999999999</v>
      </c>
      <c r="BJ234">
        <f t="shared" si="42"/>
        <v>148.5</v>
      </c>
      <c r="BK234">
        <v>8.5</v>
      </c>
      <c r="BL234" s="1">
        <f t="shared" si="43"/>
        <v>137.374</v>
      </c>
      <c r="BT234">
        <v>233</v>
      </c>
      <c r="BU234">
        <v>162.15</v>
      </c>
      <c r="BV234">
        <f t="shared" si="44"/>
        <v>0</v>
      </c>
      <c r="BW234">
        <v>-10.81</v>
      </c>
      <c r="BX234">
        <f t="shared" si="47"/>
        <v>152.148</v>
      </c>
      <c r="BY234" t="s">
        <v>0</v>
      </c>
    </row>
    <row r="235" spans="1:77" x14ac:dyDescent="0.25">
      <c r="A235">
        <v>235</v>
      </c>
      <c r="B235">
        <v>74.92</v>
      </c>
      <c r="C235">
        <v>235</v>
      </c>
      <c r="D235">
        <f t="shared" si="45"/>
        <v>-8.4000000000000341</v>
      </c>
      <c r="E235" s="1">
        <f t="shared" si="46"/>
        <v>-0.92000000000001592</v>
      </c>
      <c r="Q235">
        <v>234</v>
      </c>
      <c r="R235" s="4">
        <v>118.82</v>
      </c>
      <c r="S235" s="4">
        <f t="shared" si="37"/>
        <v>0</v>
      </c>
      <c r="T235" s="4">
        <v>-9.27</v>
      </c>
      <c r="U235" s="4">
        <f t="shared" si="48"/>
        <v>0.46200000000000008</v>
      </c>
      <c r="AF235">
        <v>234</v>
      </c>
      <c r="AG235" s="4">
        <v>158.06</v>
      </c>
      <c r="AH235" s="4">
        <f t="shared" si="38"/>
        <v>0</v>
      </c>
      <c r="AI235" s="4">
        <v>-0.77</v>
      </c>
      <c r="AJ235" s="4">
        <f t="shared" si="40"/>
        <v>3.008</v>
      </c>
      <c r="AT235">
        <v>234</v>
      </c>
      <c r="AU235">
        <v>128.97999999999999</v>
      </c>
      <c r="AV235">
        <f t="shared" si="39"/>
        <v>0</v>
      </c>
      <c r="AW235">
        <v>-8.5</v>
      </c>
      <c r="AX235" s="1">
        <f t="shared" si="41"/>
        <v>97.153999999999996</v>
      </c>
      <c r="BH235">
        <v>234</v>
      </c>
      <c r="BI235">
        <v>142.81</v>
      </c>
      <c r="BJ235">
        <f t="shared" si="42"/>
        <v>147.72</v>
      </c>
      <c r="BK235">
        <v>7.72</v>
      </c>
      <c r="BL235" s="1">
        <f t="shared" si="43"/>
        <v>139.84399999999999</v>
      </c>
      <c r="BT235">
        <v>234</v>
      </c>
      <c r="BU235">
        <v>162.04</v>
      </c>
      <c r="BV235">
        <f t="shared" si="44"/>
        <v>0</v>
      </c>
      <c r="BW235">
        <v>-4.63</v>
      </c>
      <c r="BX235">
        <f t="shared" si="47"/>
        <v>156.47200000000001</v>
      </c>
      <c r="BY235" t="s">
        <v>0</v>
      </c>
    </row>
    <row r="236" spans="1:77" x14ac:dyDescent="0.25">
      <c r="A236">
        <v>236</v>
      </c>
      <c r="B236">
        <v>74.34</v>
      </c>
      <c r="C236">
        <v>236</v>
      </c>
      <c r="D236">
        <f t="shared" si="45"/>
        <v>-11.599999999999966</v>
      </c>
      <c r="E236" s="1">
        <f t="shared" si="46"/>
        <v>-0.63999999999998636</v>
      </c>
      <c r="Q236">
        <v>235</v>
      </c>
      <c r="R236" s="4">
        <v>118.4</v>
      </c>
      <c r="S236" s="4">
        <f t="shared" si="37"/>
        <v>0</v>
      </c>
      <c r="T236" s="4">
        <v>-8.5</v>
      </c>
      <c r="U236" s="4">
        <f t="shared" si="48"/>
        <v>0.15399999999999991</v>
      </c>
      <c r="AF236">
        <v>235</v>
      </c>
      <c r="AG236" s="4">
        <v>157.9</v>
      </c>
      <c r="AH236" s="4">
        <f t="shared" si="38"/>
        <v>0</v>
      </c>
      <c r="AI236" s="4">
        <v>-3.09</v>
      </c>
      <c r="AJ236" s="4">
        <f t="shared" si="40"/>
        <v>0.53600000000000003</v>
      </c>
      <c r="AT236">
        <v>235</v>
      </c>
      <c r="AU236">
        <v>128.44</v>
      </c>
      <c r="AV236">
        <f t="shared" si="39"/>
        <v>0</v>
      </c>
      <c r="AW236">
        <v>-10.81</v>
      </c>
      <c r="AX236" s="1">
        <f t="shared" si="41"/>
        <v>96.537999999999997</v>
      </c>
      <c r="BH236">
        <v>235</v>
      </c>
      <c r="BI236">
        <v>143.19</v>
      </c>
      <c r="BJ236">
        <f t="shared" si="42"/>
        <v>147.72</v>
      </c>
      <c r="BK236">
        <v>7.72</v>
      </c>
      <c r="BL236" s="1">
        <f t="shared" si="43"/>
        <v>140</v>
      </c>
      <c r="BT236">
        <v>235</v>
      </c>
      <c r="BU236">
        <v>161.77000000000001</v>
      </c>
      <c r="BV236">
        <f t="shared" si="44"/>
        <v>0</v>
      </c>
      <c r="BW236">
        <v>-10.81</v>
      </c>
      <c r="BX236">
        <f t="shared" si="47"/>
        <v>151.52799999999999</v>
      </c>
      <c r="BY236" t="s">
        <v>0</v>
      </c>
    </row>
    <row r="237" spans="1:77" x14ac:dyDescent="0.25">
      <c r="A237">
        <v>237</v>
      </c>
      <c r="B237">
        <v>73.91</v>
      </c>
      <c r="C237">
        <v>237</v>
      </c>
      <c r="D237">
        <f t="shared" si="45"/>
        <v>-8.6000000000001364</v>
      </c>
      <c r="E237" s="1">
        <f t="shared" si="46"/>
        <v>0.59999999999996589</v>
      </c>
      <c r="Q237">
        <v>236</v>
      </c>
      <c r="R237" s="4">
        <v>118.01</v>
      </c>
      <c r="S237" s="4">
        <f t="shared" si="37"/>
        <v>0</v>
      </c>
      <c r="T237" s="4">
        <v>-7.72</v>
      </c>
      <c r="U237" s="4">
        <f t="shared" si="48"/>
        <v>0.15600000000000006</v>
      </c>
      <c r="AF237">
        <v>236</v>
      </c>
      <c r="AG237" s="4">
        <v>157.13</v>
      </c>
      <c r="AH237" s="4">
        <f t="shared" si="38"/>
        <v>0</v>
      </c>
      <c r="AI237" s="4">
        <v>-15.45</v>
      </c>
      <c r="AJ237" s="4">
        <f t="shared" si="40"/>
        <v>-1.472</v>
      </c>
      <c r="AT237">
        <v>236</v>
      </c>
      <c r="AU237">
        <v>128.02000000000001</v>
      </c>
      <c r="AV237">
        <f t="shared" si="39"/>
        <v>0</v>
      </c>
      <c r="AW237">
        <v>-8.5</v>
      </c>
      <c r="AX237" s="1">
        <f t="shared" si="41"/>
        <v>97.462000000000003</v>
      </c>
      <c r="BH237">
        <v>236</v>
      </c>
      <c r="BI237">
        <v>144.08000000000001</v>
      </c>
      <c r="BJ237">
        <f t="shared" si="42"/>
        <v>157.76</v>
      </c>
      <c r="BK237">
        <v>17.760000000000002</v>
      </c>
      <c r="BL237" s="1">
        <f t="shared" si="43"/>
        <v>142.00800000000001</v>
      </c>
      <c r="BT237">
        <v>236</v>
      </c>
      <c r="BU237" s="2">
        <v>161.69</v>
      </c>
      <c r="BV237">
        <f t="shared" si="44"/>
        <v>0</v>
      </c>
      <c r="BW237">
        <v>-3.09</v>
      </c>
      <c r="BX237">
        <f t="shared" si="47"/>
        <v>157.08799999999999</v>
      </c>
      <c r="BY237" t="s">
        <v>0</v>
      </c>
    </row>
    <row r="238" spans="1:77" x14ac:dyDescent="0.25">
      <c r="A238">
        <v>238</v>
      </c>
      <c r="B238">
        <v>73.64</v>
      </c>
      <c r="C238">
        <v>238</v>
      </c>
      <c r="D238">
        <f t="shared" si="45"/>
        <v>-5.3999999999999204</v>
      </c>
      <c r="E238" s="1">
        <f t="shared" si="46"/>
        <v>0.6400000000000432</v>
      </c>
      <c r="Q238">
        <v>237</v>
      </c>
      <c r="R238" s="4">
        <v>117.51</v>
      </c>
      <c r="S238" s="4">
        <f t="shared" si="37"/>
        <v>0</v>
      </c>
      <c r="T238" s="4">
        <v>-10.039999999999999</v>
      </c>
      <c r="U238" s="4">
        <f t="shared" si="48"/>
        <v>-0.46399999999999986</v>
      </c>
      <c r="AF238">
        <v>237</v>
      </c>
      <c r="AG238" s="4">
        <v>156.55000000000001</v>
      </c>
      <c r="AH238" s="4">
        <f t="shared" si="38"/>
        <v>0</v>
      </c>
      <c r="AI238" s="4">
        <v>-11.59</v>
      </c>
      <c r="AJ238" s="4">
        <f t="shared" si="40"/>
        <v>1.7719999999999998</v>
      </c>
      <c r="AT238">
        <v>237</v>
      </c>
      <c r="AU238">
        <v>127.51</v>
      </c>
      <c r="AV238">
        <f t="shared" si="39"/>
        <v>0</v>
      </c>
      <c r="AW238">
        <v>-10.039999999999999</v>
      </c>
      <c r="AX238" s="1">
        <f t="shared" si="41"/>
        <v>96.692000000000007</v>
      </c>
      <c r="BH238">
        <v>237</v>
      </c>
      <c r="BI238">
        <v>145.01</v>
      </c>
      <c r="BJ238">
        <f t="shared" si="42"/>
        <v>158.54</v>
      </c>
      <c r="BK238">
        <v>18.54</v>
      </c>
      <c r="BL238" s="1">
        <f t="shared" si="43"/>
        <v>140.15600000000001</v>
      </c>
      <c r="BT238">
        <v>237</v>
      </c>
      <c r="BU238">
        <v>161.77000000000001</v>
      </c>
      <c r="BV238">
        <f t="shared" si="44"/>
        <v>157.09</v>
      </c>
      <c r="BW238">
        <v>3.09</v>
      </c>
      <c r="BX238">
        <f t="shared" si="47"/>
        <v>156.47200000000001</v>
      </c>
      <c r="BY238" t="s">
        <v>0</v>
      </c>
    </row>
    <row r="239" spans="1:77" x14ac:dyDescent="0.25">
      <c r="A239">
        <v>239</v>
      </c>
      <c r="B239">
        <v>73.260000000000005</v>
      </c>
      <c r="C239">
        <v>239</v>
      </c>
      <c r="D239">
        <f t="shared" si="45"/>
        <v>-7.5999999999999091</v>
      </c>
      <c r="E239" s="1">
        <f t="shared" si="46"/>
        <v>-0.43999999999999773</v>
      </c>
      <c r="Q239">
        <v>238</v>
      </c>
      <c r="R239" s="4">
        <v>117.13</v>
      </c>
      <c r="S239" s="4">
        <f t="shared" si="37"/>
        <v>0</v>
      </c>
      <c r="T239" s="4">
        <v>-7.72</v>
      </c>
      <c r="U239" s="4">
        <f t="shared" si="48"/>
        <v>0.46399999999999986</v>
      </c>
      <c r="AF239">
        <v>238</v>
      </c>
      <c r="AG239" s="4">
        <v>155.69999999999999</v>
      </c>
      <c r="AH239" s="4">
        <f t="shared" si="38"/>
        <v>0</v>
      </c>
      <c r="AI239" s="4">
        <v>-16.989999999999998</v>
      </c>
      <c r="AJ239" s="4">
        <f t="shared" si="40"/>
        <v>-7.9999999999999627E-2</v>
      </c>
      <c r="AT239">
        <v>238</v>
      </c>
      <c r="AU239">
        <v>127.09</v>
      </c>
      <c r="AV239">
        <f t="shared" si="39"/>
        <v>0</v>
      </c>
      <c r="AW239">
        <v>-8.5</v>
      </c>
      <c r="AX239" s="1">
        <f t="shared" si="41"/>
        <v>97.307999999999993</v>
      </c>
      <c r="BH239">
        <v>238</v>
      </c>
      <c r="BI239">
        <v>145.69999999999999</v>
      </c>
      <c r="BJ239">
        <f t="shared" si="42"/>
        <v>153.9</v>
      </c>
      <c r="BK239">
        <v>13.9</v>
      </c>
      <c r="BL239" s="1">
        <f t="shared" si="43"/>
        <v>139.072</v>
      </c>
      <c r="BT239">
        <v>238</v>
      </c>
      <c r="BU239">
        <v>162.31</v>
      </c>
      <c r="BV239">
        <f t="shared" si="44"/>
        <v>175.63</v>
      </c>
      <c r="BW239">
        <v>21.63</v>
      </c>
      <c r="BX239">
        <f t="shared" si="47"/>
        <v>161.416</v>
      </c>
      <c r="BY239" t="s">
        <v>0</v>
      </c>
    </row>
    <row r="240" spans="1:77" x14ac:dyDescent="0.25">
      <c r="A240">
        <v>240</v>
      </c>
      <c r="B240">
        <v>72.87</v>
      </c>
      <c r="C240">
        <v>240</v>
      </c>
      <c r="D240">
        <f t="shared" si="45"/>
        <v>-7.8000000000000114</v>
      </c>
      <c r="E240" s="1">
        <f t="shared" si="46"/>
        <v>-4.0000000000020464E-2</v>
      </c>
      <c r="Q240">
        <v>239</v>
      </c>
      <c r="R240" s="4">
        <v>116.7</v>
      </c>
      <c r="S240" s="4">
        <f t="shared" si="37"/>
        <v>0</v>
      </c>
      <c r="T240" s="4">
        <v>-8.5</v>
      </c>
      <c r="U240" s="4">
        <f t="shared" si="48"/>
        <v>-0.15600000000000006</v>
      </c>
      <c r="AF240">
        <v>239</v>
      </c>
      <c r="AG240" s="4">
        <v>155.09</v>
      </c>
      <c r="AH240" s="4">
        <f t="shared" si="38"/>
        <v>0</v>
      </c>
      <c r="AI240" s="4">
        <v>-12.36</v>
      </c>
      <c r="AJ240" s="4">
        <f t="shared" si="40"/>
        <v>1.9259999999999997</v>
      </c>
      <c r="AT240">
        <v>239</v>
      </c>
      <c r="AU240">
        <v>126.97</v>
      </c>
      <c r="AV240">
        <f t="shared" si="39"/>
        <v>0</v>
      </c>
      <c r="AW240">
        <v>-2.3199999999999998</v>
      </c>
      <c r="AX240" s="1">
        <f t="shared" si="41"/>
        <v>98.236000000000004</v>
      </c>
      <c r="BH240">
        <v>239</v>
      </c>
      <c r="BI240">
        <v>146.36000000000001</v>
      </c>
      <c r="BJ240">
        <f t="shared" si="42"/>
        <v>153.13</v>
      </c>
      <c r="BK240">
        <v>13.13</v>
      </c>
      <c r="BL240" s="1">
        <f t="shared" si="43"/>
        <v>139.846</v>
      </c>
      <c r="BT240">
        <v>239</v>
      </c>
      <c r="BU240" s="2">
        <v>162.69</v>
      </c>
      <c r="BV240">
        <f t="shared" si="44"/>
        <v>169.45</v>
      </c>
      <c r="BW240">
        <v>15.45</v>
      </c>
      <c r="BX240">
        <f t="shared" si="47"/>
        <v>151.52799999999999</v>
      </c>
      <c r="BY240" t="s">
        <v>0</v>
      </c>
    </row>
    <row r="241" spans="1:77" x14ac:dyDescent="0.25">
      <c r="A241">
        <v>241</v>
      </c>
      <c r="B241">
        <v>72.52</v>
      </c>
      <c r="C241">
        <v>241</v>
      </c>
      <c r="D241">
        <f t="shared" si="45"/>
        <v>-7.0000000000001705</v>
      </c>
      <c r="E241" s="1">
        <f t="shared" si="46"/>
        <v>0.15999999999996817</v>
      </c>
      <c r="Q241">
        <v>240</v>
      </c>
      <c r="R241" s="4">
        <v>116.28</v>
      </c>
      <c r="S241" s="4">
        <f t="shared" si="37"/>
        <v>0</v>
      </c>
      <c r="T241" s="4">
        <v>-8.5</v>
      </c>
      <c r="U241" s="4">
        <f t="shared" si="48"/>
        <v>0</v>
      </c>
      <c r="AF241">
        <v>240</v>
      </c>
      <c r="AG241" s="4">
        <v>154.51</v>
      </c>
      <c r="AH241" s="4">
        <f t="shared" si="38"/>
        <v>0</v>
      </c>
      <c r="AI241" s="4">
        <v>-11.59</v>
      </c>
      <c r="AJ241" s="4">
        <f t="shared" si="40"/>
        <v>1.1539999999999999</v>
      </c>
      <c r="AT241">
        <v>240</v>
      </c>
      <c r="AU241">
        <v>126.62</v>
      </c>
      <c r="AV241">
        <f t="shared" si="39"/>
        <v>0</v>
      </c>
      <c r="AW241">
        <v>-6.95</v>
      </c>
      <c r="AX241" s="1">
        <f t="shared" si="41"/>
        <v>96.073999999999998</v>
      </c>
      <c r="BH241">
        <v>240</v>
      </c>
      <c r="BI241">
        <v>146.86000000000001</v>
      </c>
      <c r="BJ241">
        <f t="shared" si="42"/>
        <v>150.04</v>
      </c>
      <c r="BK241">
        <v>10.039999999999999</v>
      </c>
      <c r="BL241" s="1">
        <f t="shared" si="43"/>
        <v>139.38200000000001</v>
      </c>
      <c r="BT241">
        <v>240</v>
      </c>
      <c r="BU241">
        <v>162.69</v>
      </c>
      <c r="BV241">
        <f t="shared" si="44"/>
        <v>0</v>
      </c>
      <c r="BW241">
        <v>0</v>
      </c>
      <c r="BX241">
        <f t="shared" si="47"/>
        <v>147.82</v>
      </c>
      <c r="BY241" t="s">
        <v>0</v>
      </c>
    </row>
    <row r="242" spans="1:77" x14ac:dyDescent="0.25">
      <c r="A242">
        <v>242</v>
      </c>
      <c r="B242">
        <v>72.14</v>
      </c>
      <c r="C242">
        <v>242</v>
      </c>
      <c r="D242">
        <f t="shared" si="45"/>
        <v>-7.5999999999999091</v>
      </c>
      <c r="E242" s="1">
        <f t="shared" si="46"/>
        <v>-0.1199999999999477</v>
      </c>
      <c r="Q242">
        <v>241</v>
      </c>
      <c r="R242" s="4">
        <v>115.89</v>
      </c>
      <c r="S242" s="4">
        <f t="shared" si="37"/>
        <v>0</v>
      </c>
      <c r="T242" s="4">
        <v>-7.72</v>
      </c>
      <c r="U242" s="4">
        <f t="shared" si="48"/>
        <v>0.15600000000000006</v>
      </c>
      <c r="AF242">
        <v>241</v>
      </c>
      <c r="AG242" s="4">
        <v>154</v>
      </c>
      <c r="AH242" s="4">
        <f t="shared" si="38"/>
        <v>0</v>
      </c>
      <c r="AI242" s="4">
        <v>-10.039999999999999</v>
      </c>
      <c r="AJ242" s="4">
        <f t="shared" si="40"/>
        <v>1.31</v>
      </c>
      <c r="AT242">
        <v>241</v>
      </c>
      <c r="AU242">
        <v>126.05</v>
      </c>
      <c r="AV242">
        <f t="shared" si="39"/>
        <v>0</v>
      </c>
      <c r="AW242">
        <v>-11.58</v>
      </c>
      <c r="AX242" s="1">
        <f t="shared" si="41"/>
        <v>96.073999999999998</v>
      </c>
      <c r="BH242">
        <v>241</v>
      </c>
      <c r="BI242">
        <v>147.47999999999999</v>
      </c>
      <c r="BJ242">
        <f t="shared" si="42"/>
        <v>152.36000000000001</v>
      </c>
      <c r="BK242">
        <v>12.36</v>
      </c>
      <c r="BL242" s="1">
        <f t="shared" si="43"/>
        <v>140.464</v>
      </c>
      <c r="BT242">
        <v>241</v>
      </c>
      <c r="BU242">
        <v>162.31</v>
      </c>
      <c r="BV242">
        <f t="shared" si="44"/>
        <v>0</v>
      </c>
      <c r="BW242">
        <v>-15.45</v>
      </c>
      <c r="BX242">
        <f t="shared" si="47"/>
        <v>147.82</v>
      </c>
      <c r="BY242" t="s">
        <v>0</v>
      </c>
    </row>
    <row r="243" spans="1:77" x14ac:dyDescent="0.25">
      <c r="A243">
        <v>243</v>
      </c>
      <c r="B243">
        <v>71.67</v>
      </c>
      <c r="C243">
        <v>243</v>
      </c>
      <c r="D243">
        <f t="shared" si="45"/>
        <v>-9.3999999999999773</v>
      </c>
      <c r="E243" s="1">
        <f t="shared" si="46"/>
        <v>-0.36000000000001364</v>
      </c>
      <c r="Q243">
        <v>242</v>
      </c>
      <c r="R243" s="4">
        <v>115.5</v>
      </c>
      <c r="S243" s="4">
        <f t="shared" si="37"/>
        <v>0</v>
      </c>
      <c r="T243" s="4">
        <v>-7.72</v>
      </c>
      <c r="U243" s="4">
        <f t="shared" si="48"/>
        <v>0</v>
      </c>
      <c r="AF243">
        <v>242</v>
      </c>
      <c r="AG243" s="4">
        <v>153.38999999999999</v>
      </c>
      <c r="AH243" s="4">
        <f t="shared" si="38"/>
        <v>0</v>
      </c>
      <c r="AI243" s="4">
        <v>-12.36</v>
      </c>
      <c r="AJ243" s="4">
        <f t="shared" si="40"/>
        <v>0.53599999999999992</v>
      </c>
      <c r="AT243">
        <v>242</v>
      </c>
      <c r="AU243">
        <v>125.5</v>
      </c>
      <c r="AV243">
        <f t="shared" si="39"/>
        <v>0</v>
      </c>
      <c r="AW243">
        <v>-10.81</v>
      </c>
      <c r="AX243" s="1">
        <f t="shared" si="41"/>
        <v>97.153999999999996</v>
      </c>
      <c r="BH243">
        <v>242</v>
      </c>
      <c r="BI243">
        <v>148.29</v>
      </c>
      <c r="BJ243">
        <f t="shared" si="42"/>
        <v>156.22</v>
      </c>
      <c r="BK243">
        <v>16.22</v>
      </c>
      <c r="BL243" s="1">
        <f t="shared" si="43"/>
        <v>140.77199999999999</v>
      </c>
      <c r="BT243">
        <v>242</v>
      </c>
      <c r="BU243">
        <v>161.80000000000001</v>
      </c>
      <c r="BV243">
        <f t="shared" si="44"/>
        <v>0</v>
      </c>
      <c r="BW243">
        <v>-20.079999999999998</v>
      </c>
      <c r="BX243">
        <f t="shared" si="47"/>
        <v>152.148</v>
      </c>
      <c r="BY243" t="s">
        <v>0</v>
      </c>
    </row>
    <row r="244" spans="1:77" x14ac:dyDescent="0.25">
      <c r="A244">
        <v>244</v>
      </c>
      <c r="B244">
        <v>71.25</v>
      </c>
      <c r="C244">
        <v>244</v>
      </c>
      <c r="D244">
        <f t="shared" si="45"/>
        <v>-8.4000000000000341</v>
      </c>
      <c r="E244" s="1">
        <f t="shared" si="46"/>
        <v>0.19999999999998863</v>
      </c>
      <c r="Q244">
        <v>243</v>
      </c>
      <c r="R244" s="4">
        <v>115.31</v>
      </c>
      <c r="S244" s="4">
        <f t="shared" si="37"/>
        <v>0</v>
      </c>
      <c r="T244" s="4">
        <v>-3.86</v>
      </c>
      <c r="U244" s="4">
        <f t="shared" si="48"/>
        <v>0.77200000000000002</v>
      </c>
      <c r="AF244">
        <v>243</v>
      </c>
      <c r="AG244" s="4">
        <v>152.91999999999999</v>
      </c>
      <c r="AH244" s="4">
        <f t="shared" si="38"/>
        <v>0</v>
      </c>
      <c r="AI244" s="4">
        <v>-9.27</v>
      </c>
      <c r="AJ244" s="4">
        <f t="shared" si="40"/>
        <v>1.6179999999999999</v>
      </c>
      <c r="AT244">
        <v>243</v>
      </c>
      <c r="AU244">
        <v>125.04</v>
      </c>
      <c r="AV244">
        <f t="shared" si="39"/>
        <v>0</v>
      </c>
      <c r="AW244">
        <v>-9.27</v>
      </c>
      <c r="AX244" s="1">
        <f t="shared" si="41"/>
        <v>97.308000000000007</v>
      </c>
      <c r="BH244">
        <v>243</v>
      </c>
      <c r="BI244">
        <v>149.1</v>
      </c>
      <c r="BJ244">
        <f t="shared" si="42"/>
        <v>156.22</v>
      </c>
      <c r="BK244">
        <v>16.22</v>
      </c>
      <c r="BL244" s="1">
        <f t="shared" si="43"/>
        <v>140</v>
      </c>
      <c r="BT244">
        <v>243</v>
      </c>
      <c r="BU244">
        <v>161.34</v>
      </c>
      <c r="BV244">
        <f t="shared" si="44"/>
        <v>0</v>
      </c>
      <c r="BW244">
        <v>-18.54</v>
      </c>
      <c r="BX244">
        <f t="shared" si="47"/>
        <v>154.61599999999999</v>
      </c>
      <c r="BY244" t="s">
        <v>0</v>
      </c>
    </row>
    <row r="245" spans="1:77" x14ac:dyDescent="0.25">
      <c r="A245">
        <v>245</v>
      </c>
      <c r="B245">
        <v>70.86</v>
      </c>
      <c r="C245">
        <v>245</v>
      </c>
      <c r="D245">
        <f t="shared" si="45"/>
        <v>-7.8000000000000114</v>
      </c>
      <c r="E245" s="1">
        <f t="shared" si="46"/>
        <v>0.12000000000000455</v>
      </c>
      <c r="Q245">
        <v>244</v>
      </c>
      <c r="R245" s="4">
        <v>115.19</v>
      </c>
      <c r="S245" s="4">
        <f t="shared" si="37"/>
        <v>0</v>
      </c>
      <c r="T245" s="4">
        <v>-2.3199999999999998</v>
      </c>
      <c r="U245" s="4">
        <f t="shared" si="48"/>
        <v>0.308</v>
      </c>
      <c r="AF245">
        <v>244</v>
      </c>
      <c r="AG245" s="4">
        <v>152.31</v>
      </c>
      <c r="AH245" s="4">
        <f t="shared" si="38"/>
        <v>0</v>
      </c>
      <c r="AI245" s="4">
        <v>-12.36</v>
      </c>
      <c r="AJ245" s="4">
        <f t="shared" si="40"/>
        <v>0.38200000000000001</v>
      </c>
      <c r="AT245">
        <v>244</v>
      </c>
      <c r="AU245">
        <v>124.5</v>
      </c>
      <c r="AV245">
        <f t="shared" si="39"/>
        <v>0</v>
      </c>
      <c r="AW245">
        <v>-10.81</v>
      </c>
      <c r="AX245" s="1">
        <f t="shared" si="41"/>
        <v>96.691999999999993</v>
      </c>
      <c r="BH245">
        <v>244</v>
      </c>
      <c r="BI245">
        <v>150.30000000000001</v>
      </c>
      <c r="BJ245">
        <f t="shared" si="42"/>
        <v>163.94</v>
      </c>
      <c r="BK245">
        <v>23.94</v>
      </c>
      <c r="BL245" s="1">
        <f t="shared" si="43"/>
        <v>141.54400000000001</v>
      </c>
      <c r="BT245">
        <v>244</v>
      </c>
      <c r="BU245">
        <v>160.76</v>
      </c>
      <c r="BV245">
        <f t="shared" si="44"/>
        <v>0</v>
      </c>
      <c r="BW245">
        <v>-23.17</v>
      </c>
      <c r="BX245">
        <f t="shared" si="47"/>
        <v>152.148</v>
      </c>
      <c r="BY245" t="s">
        <v>0</v>
      </c>
    </row>
    <row r="246" spans="1:77" x14ac:dyDescent="0.25">
      <c r="A246">
        <v>246</v>
      </c>
      <c r="B246">
        <v>70.44</v>
      </c>
      <c r="C246">
        <v>246</v>
      </c>
      <c r="D246">
        <f t="shared" si="45"/>
        <v>-8.4000000000000341</v>
      </c>
      <c r="E246" s="1">
        <f t="shared" si="46"/>
        <v>-0.12000000000000455</v>
      </c>
      <c r="Q246">
        <v>245</v>
      </c>
      <c r="R246" s="4">
        <v>114.85</v>
      </c>
      <c r="S246" s="4">
        <f t="shared" si="37"/>
        <v>0</v>
      </c>
      <c r="T246" s="4">
        <v>-6.95</v>
      </c>
      <c r="U246" s="4">
        <f t="shared" si="48"/>
        <v>-0.92600000000000016</v>
      </c>
      <c r="AF246">
        <v>245</v>
      </c>
      <c r="AG246" s="4">
        <v>151.84</v>
      </c>
      <c r="AH246" s="4">
        <f t="shared" si="38"/>
        <v>0</v>
      </c>
      <c r="AI246" s="4">
        <v>-9.27</v>
      </c>
      <c r="AJ246" s="4">
        <f t="shared" si="40"/>
        <v>1.6179999999999999</v>
      </c>
      <c r="AT246">
        <v>245</v>
      </c>
      <c r="AU246">
        <v>124.11</v>
      </c>
      <c r="AV246">
        <f t="shared" si="39"/>
        <v>0</v>
      </c>
      <c r="AW246">
        <v>-7.72</v>
      </c>
      <c r="AX246" s="1">
        <f t="shared" si="41"/>
        <v>97.617999999999995</v>
      </c>
      <c r="BH246">
        <v>245</v>
      </c>
      <c r="BI246">
        <v>151.03</v>
      </c>
      <c r="BJ246">
        <f t="shared" si="42"/>
        <v>154.66999999999999</v>
      </c>
      <c r="BK246">
        <v>14.67</v>
      </c>
      <c r="BL246" s="1">
        <f t="shared" si="43"/>
        <v>138.14599999999999</v>
      </c>
      <c r="BT246">
        <v>245</v>
      </c>
      <c r="BU246">
        <v>160.61000000000001</v>
      </c>
      <c r="BV246">
        <f t="shared" si="44"/>
        <v>0</v>
      </c>
      <c r="BW246">
        <v>-6.18</v>
      </c>
      <c r="BX246">
        <f t="shared" si="47"/>
        <v>160.79599999999999</v>
      </c>
      <c r="BY246" t="s">
        <v>0</v>
      </c>
    </row>
    <row r="247" spans="1:77" x14ac:dyDescent="0.25">
      <c r="A247">
        <v>247</v>
      </c>
      <c r="B247">
        <v>70.05</v>
      </c>
      <c r="C247">
        <v>247</v>
      </c>
      <c r="D247">
        <f t="shared" si="45"/>
        <v>-7.8000000000000114</v>
      </c>
      <c r="E247" s="1">
        <f t="shared" si="46"/>
        <v>0.12000000000000455</v>
      </c>
      <c r="Q247">
        <v>246</v>
      </c>
      <c r="R247" s="4">
        <v>114.38</v>
      </c>
      <c r="S247" s="4">
        <f t="shared" si="37"/>
        <v>0</v>
      </c>
      <c r="T247" s="4">
        <v>-9.27</v>
      </c>
      <c r="U247" s="4">
        <f t="shared" si="48"/>
        <v>-0.46399999999999986</v>
      </c>
      <c r="AF247">
        <v>246</v>
      </c>
      <c r="AG247" s="4">
        <v>151.41999999999999</v>
      </c>
      <c r="AH247" s="4">
        <f t="shared" si="38"/>
        <v>0</v>
      </c>
      <c r="AI247" s="4">
        <v>-8.5</v>
      </c>
      <c r="AJ247" s="4">
        <f t="shared" si="40"/>
        <v>1.1539999999999999</v>
      </c>
      <c r="AT247">
        <v>246</v>
      </c>
      <c r="AU247">
        <v>123.73</v>
      </c>
      <c r="AV247">
        <f t="shared" si="39"/>
        <v>0</v>
      </c>
      <c r="AW247">
        <v>-7.72</v>
      </c>
      <c r="AX247" s="1">
        <f t="shared" si="41"/>
        <v>97</v>
      </c>
      <c r="BH247">
        <v>246</v>
      </c>
      <c r="BI247">
        <v>151.61000000000001</v>
      </c>
      <c r="BJ247">
        <f t="shared" si="42"/>
        <v>151.58000000000001</v>
      </c>
      <c r="BK247">
        <v>11.58</v>
      </c>
      <c r="BL247" s="1">
        <f t="shared" si="43"/>
        <v>139.38200000000001</v>
      </c>
      <c r="BT247">
        <v>246</v>
      </c>
      <c r="BU247">
        <v>160.44999999999999</v>
      </c>
      <c r="BV247">
        <f t="shared" si="44"/>
        <v>0</v>
      </c>
      <c r="BW247">
        <v>-6.18</v>
      </c>
      <c r="BX247">
        <f t="shared" si="47"/>
        <v>154</v>
      </c>
      <c r="BY247" t="s">
        <v>0</v>
      </c>
    </row>
    <row r="248" spans="1:77" x14ac:dyDescent="0.25">
      <c r="A248">
        <v>248</v>
      </c>
      <c r="B248">
        <v>69.66</v>
      </c>
      <c r="C248">
        <v>248</v>
      </c>
      <c r="D248">
        <f t="shared" si="45"/>
        <v>-7.8000000000000114</v>
      </c>
      <c r="E248" s="1">
        <f t="shared" si="46"/>
        <v>0</v>
      </c>
      <c r="Q248">
        <v>247</v>
      </c>
      <c r="R248" s="4">
        <v>113.73</v>
      </c>
      <c r="S248" s="4">
        <f t="shared" si="37"/>
        <v>0</v>
      </c>
      <c r="T248" s="4">
        <v>-13.13</v>
      </c>
      <c r="U248" s="4">
        <f t="shared" si="48"/>
        <v>-0.77200000000000024</v>
      </c>
      <c r="AF248">
        <v>247</v>
      </c>
      <c r="AG248" s="5">
        <v>150.91</v>
      </c>
      <c r="AH248" s="4">
        <f t="shared" si="38"/>
        <v>0</v>
      </c>
      <c r="AI248" s="4">
        <v>-10.039999999999999</v>
      </c>
      <c r="AJ248" s="4">
        <f t="shared" si="40"/>
        <v>0.69200000000000017</v>
      </c>
      <c r="AT248">
        <v>247</v>
      </c>
      <c r="AU248">
        <v>123.15</v>
      </c>
      <c r="AV248">
        <f t="shared" si="39"/>
        <v>0</v>
      </c>
      <c r="AW248">
        <v>-11.58</v>
      </c>
      <c r="AX248" s="1">
        <f t="shared" si="41"/>
        <v>96.227999999999994</v>
      </c>
      <c r="BH248">
        <v>247</v>
      </c>
      <c r="BI248">
        <v>152.34</v>
      </c>
      <c r="BJ248">
        <f t="shared" si="42"/>
        <v>154.66999999999999</v>
      </c>
      <c r="BK248">
        <v>14.67</v>
      </c>
      <c r="BL248" s="1">
        <f t="shared" si="43"/>
        <v>140.61799999999999</v>
      </c>
      <c r="BT248">
        <v>247</v>
      </c>
      <c r="BU248">
        <v>160.26</v>
      </c>
      <c r="BV248">
        <f t="shared" si="44"/>
        <v>0</v>
      </c>
      <c r="BW248">
        <v>-7.72</v>
      </c>
      <c r="BX248">
        <f t="shared" si="47"/>
        <v>153.38399999999999</v>
      </c>
      <c r="BY248" t="s">
        <v>0</v>
      </c>
    </row>
    <row r="249" spans="1:77" x14ac:dyDescent="0.25">
      <c r="A249">
        <v>249</v>
      </c>
      <c r="B249">
        <v>69.319999999999993</v>
      </c>
      <c r="C249">
        <v>249</v>
      </c>
      <c r="D249">
        <f t="shared" si="45"/>
        <v>-6.8000000000000682</v>
      </c>
      <c r="E249" s="1">
        <f t="shared" si="46"/>
        <v>0.19999999999998863</v>
      </c>
      <c r="Q249">
        <v>248</v>
      </c>
      <c r="R249" s="4">
        <v>113.22</v>
      </c>
      <c r="S249" s="4">
        <f t="shared" si="37"/>
        <v>0</v>
      </c>
      <c r="T249" s="4">
        <v>-10.039999999999999</v>
      </c>
      <c r="U249" s="4">
        <f t="shared" si="48"/>
        <v>0.61800000000000033</v>
      </c>
      <c r="AF249">
        <v>248</v>
      </c>
      <c r="AG249" s="5">
        <v>150.94999999999999</v>
      </c>
      <c r="AH249" s="4">
        <f t="shared" si="38"/>
        <v>1.77</v>
      </c>
      <c r="AI249" s="4">
        <v>0.77</v>
      </c>
      <c r="AJ249" s="4">
        <f t="shared" si="40"/>
        <v>3.1619999999999999</v>
      </c>
      <c r="AT249">
        <v>248</v>
      </c>
      <c r="AU249">
        <v>122.69</v>
      </c>
      <c r="AV249">
        <f t="shared" si="39"/>
        <v>0</v>
      </c>
      <c r="AW249">
        <v>-9.27</v>
      </c>
      <c r="AX249" s="1">
        <f t="shared" si="41"/>
        <v>97.462000000000003</v>
      </c>
      <c r="BH249">
        <v>248</v>
      </c>
      <c r="BI249">
        <v>152.91999999999999</v>
      </c>
      <c r="BJ249">
        <f t="shared" si="42"/>
        <v>151.59</v>
      </c>
      <c r="BK249">
        <v>11.59</v>
      </c>
      <c r="BL249" s="1">
        <f t="shared" si="43"/>
        <v>139.38399999999999</v>
      </c>
      <c r="BT249">
        <v>248</v>
      </c>
      <c r="BU249">
        <v>160.13999999999999</v>
      </c>
      <c r="BV249">
        <f t="shared" si="44"/>
        <v>0</v>
      </c>
      <c r="BW249">
        <v>-4.63</v>
      </c>
      <c r="BX249">
        <f t="shared" si="47"/>
        <v>155.23599999999999</v>
      </c>
      <c r="BY249" t="s">
        <v>0</v>
      </c>
    </row>
    <row r="250" spans="1:77" x14ac:dyDescent="0.25">
      <c r="A250">
        <v>250</v>
      </c>
      <c r="B250">
        <v>69.16</v>
      </c>
      <c r="C250">
        <v>250</v>
      </c>
      <c r="D250">
        <f t="shared" si="45"/>
        <v>-3.1999999999999318</v>
      </c>
      <c r="E250" s="1">
        <f t="shared" si="46"/>
        <v>0.72000000000002728</v>
      </c>
      <c r="Q250">
        <v>249</v>
      </c>
      <c r="R250" s="4">
        <v>112.92</v>
      </c>
      <c r="S250" s="4">
        <f t="shared" si="37"/>
        <v>0</v>
      </c>
      <c r="T250" s="4">
        <v>-6.18</v>
      </c>
      <c r="U250" s="4">
        <f t="shared" si="48"/>
        <v>0.77199999999999991</v>
      </c>
      <c r="AF250">
        <v>249</v>
      </c>
      <c r="AG250" s="5">
        <v>150.99</v>
      </c>
      <c r="AH250" s="4">
        <f t="shared" si="38"/>
        <v>1.77</v>
      </c>
      <c r="AI250" s="4">
        <v>0.77</v>
      </c>
      <c r="AJ250" s="4">
        <f t="shared" si="40"/>
        <v>1</v>
      </c>
      <c r="AT250">
        <v>249</v>
      </c>
      <c r="AU250">
        <v>122.22</v>
      </c>
      <c r="AV250">
        <f t="shared" si="39"/>
        <v>0</v>
      </c>
      <c r="AW250">
        <v>-9.27</v>
      </c>
      <c r="AX250" s="1">
        <f t="shared" si="41"/>
        <v>97</v>
      </c>
      <c r="BH250">
        <v>249</v>
      </c>
      <c r="BI250">
        <v>153.5</v>
      </c>
      <c r="BJ250">
        <f t="shared" si="42"/>
        <v>151.59</v>
      </c>
      <c r="BK250">
        <v>11.59</v>
      </c>
      <c r="BL250" s="1">
        <f t="shared" si="43"/>
        <v>140</v>
      </c>
      <c r="BT250">
        <v>249</v>
      </c>
      <c r="BU250">
        <v>159.94999999999999</v>
      </c>
      <c r="BV250">
        <f t="shared" si="44"/>
        <v>0</v>
      </c>
      <c r="BW250">
        <v>-7.72</v>
      </c>
      <c r="BX250">
        <f t="shared" si="47"/>
        <v>152.76400000000001</v>
      </c>
      <c r="BY250" t="s">
        <v>0</v>
      </c>
    </row>
    <row r="251" spans="1:77" x14ac:dyDescent="0.25">
      <c r="A251">
        <v>251</v>
      </c>
      <c r="B251">
        <v>70.59</v>
      </c>
      <c r="C251">
        <v>251</v>
      </c>
      <c r="D251">
        <f t="shared" si="45"/>
        <v>28.600000000000136</v>
      </c>
      <c r="E251" s="1">
        <f t="shared" si="46"/>
        <v>6.3600000000000136</v>
      </c>
      <c r="Q251">
        <v>250</v>
      </c>
      <c r="R251" s="4">
        <v>112.41</v>
      </c>
      <c r="S251" s="4">
        <f t="shared" si="37"/>
        <v>0</v>
      </c>
      <c r="T251" s="4">
        <v>-10.039999999999999</v>
      </c>
      <c r="U251" s="4">
        <f t="shared" si="48"/>
        <v>-0.77199999999999991</v>
      </c>
      <c r="AF251">
        <v>250</v>
      </c>
      <c r="AG251" s="4">
        <v>150.34</v>
      </c>
      <c r="AH251" s="4">
        <f t="shared" si="38"/>
        <v>0</v>
      </c>
      <c r="AI251" s="4">
        <v>-13.13</v>
      </c>
      <c r="AJ251" s="4">
        <f t="shared" si="40"/>
        <v>-1.7800000000000002</v>
      </c>
      <c r="AT251">
        <v>250</v>
      </c>
      <c r="AU251">
        <v>121.76</v>
      </c>
      <c r="AV251">
        <f t="shared" si="39"/>
        <v>0</v>
      </c>
      <c r="AW251">
        <v>-9.27</v>
      </c>
      <c r="AX251" s="1">
        <f t="shared" si="41"/>
        <v>97</v>
      </c>
      <c r="BH251">
        <v>250</v>
      </c>
      <c r="BI251">
        <v>154.04</v>
      </c>
      <c r="BJ251">
        <f t="shared" si="42"/>
        <v>150.81</v>
      </c>
      <c r="BK251">
        <v>10.81</v>
      </c>
      <c r="BL251" s="1">
        <f t="shared" si="43"/>
        <v>139.84399999999999</v>
      </c>
      <c r="BT251">
        <v>250</v>
      </c>
      <c r="BU251">
        <v>159.63999999999999</v>
      </c>
      <c r="BV251">
        <f t="shared" si="44"/>
        <v>0</v>
      </c>
      <c r="BW251">
        <v>-12.36</v>
      </c>
      <c r="BX251">
        <f t="shared" si="47"/>
        <v>152.14400000000001</v>
      </c>
      <c r="BY251" t="s">
        <v>0</v>
      </c>
    </row>
    <row r="252" spans="1:77" x14ac:dyDescent="0.25">
      <c r="A252">
        <v>252</v>
      </c>
      <c r="B252">
        <v>70.94</v>
      </c>
      <c r="C252">
        <v>252</v>
      </c>
      <c r="D252">
        <f t="shared" si="45"/>
        <v>6.9999999999998863</v>
      </c>
      <c r="E252" s="1">
        <f t="shared" si="46"/>
        <v>-4.32000000000005</v>
      </c>
      <c r="Q252">
        <v>251</v>
      </c>
      <c r="R252" s="4">
        <v>112.03</v>
      </c>
      <c r="S252" s="4">
        <f t="shared" si="37"/>
        <v>0</v>
      </c>
      <c r="T252" s="4">
        <v>-7.72</v>
      </c>
      <c r="U252" s="4">
        <f t="shared" si="48"/>
        <v>0.46399999999999986</v>
      </c>
      <c r="AF252">
        <v>251</v>
      </c>
      <c r="AG252" s="4">
        <v>149.63999999999999</v>
      </c>
      <c r="AH252" s="4">
        <f t="shared" si="38"/>
        <v>0</v>
      </c>
      <c r="AI252" s="4">
        <v>-13.9</v>
      </c>
      <c r="AJ252" s="4">
        <f t="shared" si="40"/>
        <v>0.84600000000000009</v>
      </c>
      <c r="AT252">
        <v>251</v>
      </c>
      <c r="AU252">
        <v>121.37</v>
      </c>
      <c r="AV252">
        <f t="shared" si="39"/>
        <v>0</v>
      </c>
      <c r="AW252">
        <v>-7.72</v>
      </c>
      <c r="AX252" s="1">
        <f t="shared" si="41"/>
        <v>97.31</v>
      </c>
      <c r="BH252">
        <v>251</v>
      </c>
      <c r="BI252">
        <v>154.88999999999999</v>
      </c>
      <c r="BJ252">
        <f t="shared" si="42"/>
        <v>156.99</v>
      </c>
      <c r="BK252">
        <v>16.989999999999998</v>
      </c>
      <c r="BL252" s="1">
        <f t="shared" si="43"/>
        <v>141.23599999999999</v>
      </c>
      <c r="BT252">
        <v>251</v>
      </c>
      <c r="BU252">
        <v>159.37</v>
      </c>
      <c r="BV252">
        <f t="shared" si="44"/>
        <v>0</v>
      </c>
      <c r="BW252">
        <v>-10.81</v>
      </c>
      <c r="BX252">
        <f t="shared" si="47"/>
        <v>154.62</v>
      </c>
      <c r="BY252" t="s">
        <v>0</v>
      </c>
    </row>
    <row r="253" spans="1:77" x14ac:dyDescent="0.25">
      <c r="A253">
        <v>253</v>
      </c>
      <c r="B253">
        <v>70.75</v>
      </c>
      <c r="C253">
        <v>253</v>
      </c>
      <c r="D253">
        <f t="shared" si="45"/>
        <v>-3.7999999999999545</v>
      </c>
      <c r="E253" s="1">
        <f t="shared" si="46"/>
        <v>-2.1599999999999682</v>
      </c>
      <c r="Q253">
        <v>252</v>
      </c>
      <c r="R253" s="4">
        <v>111.6</v>
      </c>
      <c r="S253" s="4">
        <f t="shared" si="37"/>
        <v>0</v>
      </c>
      <c r="T253" s="4">
        <v>-8.5</v>
      </c>
      <c r="U253" s="4">
        <f t="shared" si="48"/>
        <v>-0.15600000000000006</v>
      </c>
      <c r="AF253">
        <v>252</v>
      </c>
      <c r="AG253" s="4">
        <v>148.94999999999999</v>
      </c>
      <c r="AH253" s="4">
        <f t="shared" si="38"/>
        <v>0</v>
      </c>
      <c r="AI253" s="4">
        <v>-13.9</v>
      </c>
      <c r="AJ253" s="4">
        <f t="shared" si="40"/>
        <v>1</v>
      </c>
      <c r="AT253">
        <v>252</v>
      </c>
      <c r="AU253">
        <v>120.87</v>
      </c>
      <c r="AV253">
        <f t="shared" si="39"/>
        <v>0</v>
      </c>
      <c r="AW253">
        <v>-10.039999999999999</v>
      </c>
      <c r="AX253" s="1">
        <f t="shared" si="41"/>
        <v>96.536000000000001</v>
      </c>
      <c r="BH253">
        <v>252</v>
      </c>
      <c r="BI253">
        <v>155.69999999999999</v>
      </c>
      <c r="BJ253">
        <f t="shared" si="42"/>
        <v>156.22</v>
      </c>
      <c r="BK253">
        <v>16.22</v>
      </c>
      <c r="BL253" s="1">
        <f t="shared" si="43"/>
        <v>139.846</v>
      </c>
      <c r="BT253">
        <v>252</v>
      </c>
      <c r="BU253">
        <v>159.18</v>
      </c>
      <c r="BV253">
        <f t="shared" si="44"/>
        <v>0</v>
      </c>
      <c r="BW253">
        <v>-7.72</v>
      </c>
      <c r="BX253">
        <f t="shared" si="47"/>
        <v>155.23599999999999</v>
      </c>
      <c r="BY253" t="s">
        <v>0</v>
      </c>
    </row>
    <row r="254" spans="1:77" x14ac:dyDescent="0.25">
      <c r="A254">
        <v>254</v>
      </c>
      <c r="B254">
        <v>70.44</v>
      </c>
      <c r="C254">
        <v>254</v>
      </c>
      <c r="D254">
        <f t="shared" si="45"/>
        <v>-6.2000000000000455</v>
      </c>
      <c r="E254" s="1">
        <f t="shared" si="46"/>
        <v>-0.48000000000001819</v>
      </c>
      <c r="Q254">
        <v>253</v>
      </c>
      <c r="R254" s="4">
        <v>111.22</v>
      </c>
      <c r="S254" s="4">
        <f t="shared" si="37"/>
        <v>0</v>
      </c>
      <c r="T254" s="4">
        <v>-7.72</v>
      </c>
      <c r="U254" s="4">
        <f t="shared" si="48"/>
        <v>0.15600000000000006</v>
      </c>
      <c r="AF254">
        <v>253</v>
      </c>
      <c r="AG254" s="4">
        <v>148.29</v>
      </c>
      <c r="AH254" s="4">
        <f t="shared" si="38"/>
        <v>0</v>
      </c>
      <c r="AI254" s="4">
        <v>-13.13</v>
      </c>
      <c r="AJ254" s="4">
        <f t="shared" si="40"/>
        <v>1.1539999999999999</v>
      </c>
      <c r="AT254">
        <v>253</v>
      </c>
      <c r="AU254">
        <v>120.41</v>
      </c>
      <c r="AV254">
        <f t="shared" si="39"/>
        <v>0</v>
      </c>
      <c r="AW254">
        <v>-9.27</v>
      </c>
      <c r="AX254" s="1">
        <f t="shared" si="41"/>
        <v>97.153999999999996</v>
      </c>
      <c r="BH254">
        <v>253</v>
      </c>
      <c r="BI254">
        <v>156.28</v>
      </c>
      <c r="BJ254">
        <f t="shared" si="42"/>
        <v>151.59</v>
      </c>
      <c r="BK254">
        <v>11.59</v>
      </c>
      <c r="BL254" s="1">
        <f t="shared" si="43"/>
        <v>139.07400000000001</v>
      </c>
      <c r="BT254">
        <v>253</v>
      </c>
      <c r="BU254">
        <v>159.1</v>
      </c>
      <c r="BV254">
        <f t="shared" si="44"/>
        <v>0</v>
      </c>
      <c r="BW254">
        <v>-3.09</v>
      </c>
      <c r="BX254">
        <f t="shared" si="47"/>
        <v>155.852</v>
      </c>
      <c r="BY254" t="s">
        <v>0</v>
      </c>
    </row>
    <row r="255" spans="1:77" x14ac:dyDescent="0.25">
      <c r="A255">
        <v>255</v>
      </c>
      <c r="B255">
        <v>69.86</v>
      </c>
      <c r="C255">
        <v>255</v>
      </c>
      <c r="D255">
        <f t="shared" si="45"/>
        <v>-11.599999999999966</v>
      </c>
      <c r="E255" s="1">
        <f t="shared" si="46"/>
        <v>-1.0799999999999841</v>
      </c>
      <c r="Q255">
        <v>254</v>
      </c>
      <c r="R255" s="4">
        <v>110.83</v>
      </c>
      <c r="S255" s="4">
        <f t="shared" si="37"/>
        <v>0</v>
      </c>
      <c r="T255" s="4">
        <v>-7.72</v>
      </c>
      <c r="U255" s="4">
        <f t="shared" si="48"/>
        <v>0</v>
      </c>
      <c r="AF255">
        <v>254</v>
      </c>
      <c r="AG255" s="4">
        <v>147.9</v>
      </c>
      <c r="AH255" s="4">
        <f t="shared" si="38"/>
        <v>0</v>
      </c>
      <c r="AI255" s="4">
        <v>-7.72</v>
      </c>
      <c r="AJ255" s="4">
        <f t="shared" si="40"/>
        <v>2.0820000000000003</v>
      </c>
      <c r="AT255">
        <v>254</v>
      </c>
      <c r="AU255">
        <v>119.91</v>
      </c>
      <c r="AV255">
        <f t="shared" si="39"/>
        <v>0</v>
      </c>
      <c r="AW255">
        <v>-10.039999999999999</v>
      </c>
      <c r="AX255" s="1">
        <f t="shared" si="41"/>
        <v>96.846000000000004</v>
      </c>
      <c r="BH255">
        <v>254</v>
      </c>
      <c r="BI255">
        <v>156.94</v>
      </c>
      <c r="BJ255">
        <f t="shared" si="42"/>
        <v>153.13</v>
      </c>
      <c r="BK255">
        <v>13.13</v>
      </c>
      <c r="BL255" s="1">
        <f t="shared" si="43"/>
        <v>140.30799999999999</v>
      </c>
      <c r="BT255">
        <v>254</v>
      </c>
      <c r="BU255">
        <v>158.91</v>
      </c>
      <c r="BV255">
        <f t="shared" si="44"/>
        <v>0</v>
      </c>
      <c r="BW255">
        <v>-7.72</v>
      </c>
      <c r="BX255">
        <f t="shared" si="47"/>
        <v>152.148</v>
      </c>
      <c r="BY255" t="s">
        <v>0</v>
      </c>
    </row>
    <row r="256" spans="1:77" x14ac:dyDescent="0.25">
      <c r="A256">
        <v>256</v>
      </c>
      <c r="B256">
        <v>69.510000000000005</v>
      </c>
      <c r="C256">
        <v>256</v>
      </c>
      <c r="D256">
        <f t="shared" si="45"/>
        <v>-6.9999999999998863</v>
      </c>
      <c r="E256" s="1">
        <f t="shared" si="46"/>
        <v>0.92000000000001592</v>
      </c>
      <c r="Q256">
        <v>255</v>
      </c>
      <c r="R256" s="4">
        <v>110.37</v>
      </c>
      <c r="S256" s="4">
        <f t="shared" si="37"/>
        <v>0</v>
      </c>
      <c r="T256" s="4">
        <v>-9.27</v>
      </c>
      <c r="U256" s="4">
        <f t="shared" si="48"/>
        <v>-0.30999999999999994</v>
      </c>
      <c r="AF256">
        <v>255</v>
      </c>
      <c r="AG256" s="4">
        <v>147.32</v>
      </c>
      <c r="AH256" s="4">
        <f t="shared" si="38"/>
        <v>0</v>
      </c>
      <c r="AI256" s="4">
        <v>-11.59</v>
      </c>
      <c r="AJ256" s="4">
        <f t="shared" si="40"/>
        <v>0.22599999999999998</v>
      </c>
      <c r="AT256">
        <v>255</v>
      </c>
      <c r="AU256">
        <v>119.52</v>
      </c>
      <c r="AV256">
        <f t="shared" si="39"/>
        <v>0</v>
      </c>
      <c r="AW256">
        <v>-7.72</v>
      </c>
      <c r="AX256" s="1">
        <f t="shared" si="41"/>
        <v>97.463999999999999</v>
      </c>
      <c r="BH256">
        <v>255</v>
      </c>
      <c r="BI256">
        <v>157.87</v>
      </c>
      <c r="BJ256">
        <f t="shared" si="42"/>
        <v>158.54</v>
      </c>
      <c r="BK256">
        <v>18.54</v>
      </c>
      <c r="BL256" s="1">
        <f t="shared" si="43"/>
        <v>141.08199999999999</v>
      </c>
      <c r="BT256">
        <v>255</v>
      </c>
      <c r="BU256">
        <v>158.83000000000001</v>
      </c>
      <c r="BV256">
        <f t="shared" si="44"/>
        <v>0</v>
      </c>
      <c r="BW256">
        <v>-3.09</v>
      </c>
      <c r="BX256">
        <f t="shared" si="47"/>
        <v>155.852</v>
      </c>
      <c r="BY256" t="s">
        <v>0</v>
      </c>
    </row>
    <row r="257" spans="1:77" x14ac:dyDescent="0.25">
      <c r="A257">
        <v>257</v>
      </c>
      <c r="B257">
        <v>69.319999999999993</v>
      </c>
      <c r="C257">
        <v>257</v>
      </c>
      <c r="D257">
        <f t="shared" si="45"/>
        <v>-3.8000000000002387</v>
      </c>
      <c r="E257" s="1">
        <f t="shared" si="46"/>
        <v>0.63999999999992951</v>
      </c>
      <c r="Q257">
        <v>256</v>
      </c>
      <c r="R257" s="4">
        <v>109.98</v>
      </c>
      <c r="S257" s="4">
        <f t="shared" si="37"/>
        <v>0</v>
      </c>
      <c r="T257" s="4">
        <v>-7.72</v>
      </c>
      <c r="U257" s="4">
        <f t="shared" si="48"/>
        <v>0.30999999999999994</v>
      </c>
      <c r="AF257">
        <v>256</v>
      </c>
      <c r="AG257" s="4">
        <v>146.86000000000001</v>
      </c>
      <c r="AH257" s="4">
        <f t="shared" si="38"/>
        <v>0</v>
      </c>
      <c r="AI257" s="4">
        <v>-9.27</v>
      </c>
      <c r="AJ257" s="4">
        <f t="shared" si="40"/>
        <v>1.464</v>
      </c>
      <c r="AT257">
        <v>256</v>
      </c>
      <c r="AU257">
        <v>119.06</v>
      </c>
      <c r="AV257">
        <f t="shared" si="39"/>
        <v>0</v>
      </c>
      <c r="AW257">
        <v>-9.27</v>
      </c>
      <c r="AX257" s="1">
        <f t="shared" si="41"/>
        <v>96.69</v>
      </c>
      <c r="BH257">
        <v>256</v>
      </c>
      <c r="BI257">
        <v>158.68</v>
      </c>
      <c r="BJ257">
        <f t="shared" si="42"/>
        <v>156.22</v>
      </c>
      <c r="BK257">
        <v>16.22</v>
      </c>
      <c r="BL257" s="1">
        <f t="shared" si="43"/>
        <v>139.536</v>
      </c>
      <c r="BT257">
        <v>256</v>
      </c>
      <c r="BU257">
        <v>158.68</v>
      </c>
      <c r="BV257">
        <f t="shared" si="44"/>
        <v>0</v>
      </c>
      <c r="BW257">
        <v>-6.18</v>
      </c>
      <c r="BX257">
        <f t="shared" si="47"/>
        <v>152.76400000000001</v>
      </c>
      <c r="BY257" t="s">
        <v>0</v>
      </c>
    </row>
    <row r="258" spans="1:77" x14ac:dyDescent="0.25">
      <c r="A258">
        <v>258</v>
      </c>
      <c r="B258">
        <v>69.09</v>
      </c>
      <c r="C258">
        <v>258</v>
      </c>
      <c r="D258">
        <f t="shared" si="45"/>
        <v>-4.5999999999997954</v>
      </c>
      <c r="E258" s="1">
        <f t="shared" si="46"/>
        <v>-0.15999999999991132</v>
      </c>
      <c r="Q258">
        <v>257</v>
      </c>
      <c r="R258" s="4">
        <v>109.87</v>
      </c>
      <c r="S258" s="4">
        <f t="shared" ref="S258:S321" si="49">IF(T258&gt;0,T258+S$1,0)</f>
        <v>0</v>
      </c>
      <c r="T258" s="4">
        <v>-2.3199999999999998</v>
      </c>
      <c r="U258" s="4">
        <f t="shared" si="48"/>
        <v>1.08</v>
      </c>
      <c r="AF258">
        <v>257</v>
      </c>
      <c r="AG258" s="4">
        <v>146.28</v>
      </c>
      <c r="AH258" s="4">
        <f t="shared" ref="AH258:AH321" si="50">IF(AI258&gt;0,AI258+AH$1,0)</f>
        <v>0</v>
      </c>
      <c r="AI258" s="4">
        <v>-11.59</v>
      </c>
      <c r="AJ258" s="4">
        <f t="shared" si="40"/>
        <v>0.53599999999999992</v>
      </c>
      <c r="AT258">
        <v>257</v>
      </c>
      <c r="AU258">
        <v>118.67</v>
      </c>
      <c r="AV258">
        <f t="shared" ref="AV258:AV321" si="51">IF(AW258&gt;0,AW258+AV$1,0)</f>
        <v>0</v>
      </c>
      <c r="AW258">
        <v>-7.72</v>
      </c>
      <c r="AX258" s="1">
        <f t="shared" si="41"/>
        <v>97.31</v>
      </c>
      <c r="BH258">
        <v>257</v>
      </c>
      <c r="BI258">
        <v>159.49</v>
      </c>
      <c r="BJ258">
        <f t="shared" si="42"/>
        <v>156.22</v>
      </c>
      <c r="BK258">
        <v>16.22</v>
      </c>
      <c r="BL258" s="1">
        <f t="shared" si="43"/>
        <v>140</v>
      </c>
      <c r="BT258">
        <v>257</v>
      </c>
      <c r="BU258" s="2">
        <v>158.52000000000001</v>
      </c>
      <c r="BV258">
        <f t="shared" si="44"/>
        <v>0</v>
      </c>
      <c r="BW258">
        <v>-6.18</v>
      </c>
      <c r="BX258">
        <f t="shared" si="47"/>
        <v>154</v>
      </c>
      <c r="BY258" t="s">
        <v>0</v>
      </c>
    </row>
    <row r="259" spans="1:77" x14ac:dyDescent="0.25">
      <c r="A259">
        <v>259</v>
      </c>
      <c r="B259">
        <v>68.78</v>
      </c>
      <c r="C259">
        <v>259</v>
      </c>
      <c r="D259">
        <f t="shared" si="45"/>
        <v>-6.2000000000000455</v>
      </c>
      <c r="E259" s="1">
        <f t="shared" si="46"/>
        <v>-0.32000000000005002</v>
      </c>
      <c r="Q259">
        <v>258</v>
      </c>
      <c r="R259" s="4">
        <v>109.75</v>
      </c>
      <c r="S259" s="4">
        <f t="shared" si="49"/>
        <v>0</v>
      </c>
      <c r="T259" s="4">
        <v>-2.3199999999999998</v>
      </c>
      <c r="U259" s="4">
        <f t="shared" si="48"/>
        <v>0</v>
      </c>
      <c r="AF259">
        <v>258</v>
      </c>
      <c r="AG259" s="4">
        <v>145.86000000000001</v>
      </c>
      <c r="AH259" s="4">
        <f t="shared" si="50"/>
        <v>0</v>
      </c>
      <c r="AI259" s="4">
        <v>-8.5</v>
      </c>
      <c r="AJ259" s="4">
        <f t="shared" ref="AJ259:AJ322" si="52">(AI259-AI258)/5+AH$1</f>
        <v>1.6179999999999999</v>
      </c>
      <c r="AT259">
        <v>258</v>
      </c>
      <c r="AU259">
        <v>118.21</v>
      </c>
      <c r="AV259">
        <f t="shared" si="51"/>
        <v>0</v>
      </c>
      <c r="AW259">
        <v>-9.27</v>
      </c>
      <c r="AX259" s="1">
        <f t="shared" ref="AX259:AX322" si="53">(AW259-AW258)/5+AV$1</f>
        <v>96.69</v>
      </c>
      <c r="BH259">
        <v>258</v>
      </c>
      <c r="BI259">
        <v>160.65</v>
      </c>
      <c r="BJ259">
        <f t="shared" ref="BJ259:BJ322" si="54">IF(BK259&gt;0,BK259+BJ$1,0)</f>
        <v>163.17000000000002</v>
      </c>
      <c r="BK259">
        <v>23.17</v>
      </c>
      <c r="BL259" s="1">
        <f t="shared" ref="BL259:BL322" si="55">(BK259-BK258)/5+BJ$1</f>
        <v>141.38999999999999</v>
      </c>
      <c r="BT259">
        <v>258</v>
      </c>
      <c r="BU259">
        <v>158.79</v>
      </c>
      <c r="BV259">
        <f t="shared" ref="BV259:BV322" si="56">IF(BW259&gt;0,BW259+BV$1,0)</f>
        <v>164.81</v>
      </c>
      <c r="BW259">
        <v>10.81</v>
      </c>
      <c r="BX259">
        <f t="shared" si="47"/>
        <v>160.79599999999999</v>
      </c>
      <c r="BY259" t="s">
        <v>0</v>
      </c>
    </row>
    <row r="260" spans="1:77" x14ac:dyDescent="0.25">
      <c r="A260">
        <v>260</v>
      </c>
      <c r="B260">
        <v>68.39</v>
      </c>
      <c r="C260">
        <v>260</v>
      </c>
      <c r="D260">
        <f t="shared" ref="D260:D323" si="57">(B260-B259)/0.05</f>
        <v>-7.8000000000000114</v>
      </c>
      <c r="E260" s="1">
        <f t="shared" ref="E260:E323" si="58">(D260-D259)/5</f>
        <v>-0.31999999999999318</v>
      </c>
      <c r="Q260">
        <v>259</v>
      </c>
      <c r="R260" s="4">
        <v>109.48</v>
      </c>
      <c r="S260" s="4">
        <f t="shared" si="49"/>
        <v>0</v>
      </c>
      <c r="T260" s="4">
        <v>-5.41</v>
      </c>
      <c r="U260" s="4">
        <f t="shared" si="48"/>
        <v>-0.6180000000000001</v>
      </c>
      <c r="AF260">
        <v>259</v>
      </c>
      <c r="AG260" s="4">
        <v>145.43</v>
      </c>
      <c r="AH260" s="4">
        <f t="shared" si="50"/>
        <v>0</v>
      </c>
      <c r="AI260" s="4">
        <v>-8.5</v>
      </c>
      <c r="AJ260" s="4">
        <f t="shared" si="52"/>
        <v>1</v>
      </c>
      <c r="AT260">
        <v>259</v>
      </c>
      <c r="AU260">
        <v>117.78</v>
      </c>
      <c r="AV260">
        <f t="shared" si="51"/>
        <v>0</v>
      </c>
      <c r="AW260">
        <v>-8.5</v>
      </c>
      <c r="AX260" s="1">
        <f t="shared" si="53"/>
        <v>97.153999999999996</v>
      </c>
      <c r="BH260">
        <v>259</v>
      </c>
      <c r="BI260">
        <v>161.30000000000001</v>
      </c>
      <c r="BJ260">
        <f t="shared" si="54"/>
        <v>153.13</v>
      </c>
      <c r="BK260">
        <v>13.13</v>
      </c>
      <c r="BL260" s="1">
        <f t="shared" si="55"/>
        <v>137.99199999999999</v>
      </c>
      <c r="BT260">
        <v>259</v>
      </c>
      <c r="BU260">
        <v>159.37</v>
      </c>
      <c r="BV260">
        <f t="shared" si="56"/>
        <v>177.17000000000002</v>
      </c>
      <c r="BW260">
        <v>23.17</v>
      </c>
      <c r="BX260">
        <f t="shared" ref="BX260:BX323" si="59">BV$1+(BW260-BW259)/2.5</f>
        <v>158.94399999999999</v>
      </c>
      <c r="BY260" t="s">
        <v>0</v>
      </c>
    </row>
    <row r="261" spans="1:77" x14ac:dyDescent="0.25">
      <c r="A261">
        <v>261</v>
      </c>
      <c r="B261">
        <v>68.12</v>
      </c>
      <c r="C261">
        <v>261</v>
      </c>
      <c r="D261">
        <f t="shared" si="57"/>
        <v>-5.3999999999999204</v>
      </c>
      <c r="E261" s="1">
        <f t="shared" si="58"/>
        <v>0.48000000000001819</v>
      </c>
      <c r="Q261">
        <v>260</v>
      </c>
      <c r="R261" s="4">
        <v>109.05</v>
      </c>
      <c r="S261" s="4">
        <f t="shared" si="49"/>
        <v>0</v>
      </c>
      <c r="T261" s="4">
        <v>-8.5</v>
      </c>
      <c r="U261" s="4">
        <f t="shared" si="48"/>
        <v>-0.61799999999999999</v>
      </c>
      <c r="AF261">
        <v>260</v>
      </c>
      <c r="AG261" s="4">
        <v>144.97</v>
      </c>
      <c r="AH261" s="4">
        <f t="shared" si="50"/>
        <v>0</v>
      </c>
      <c r="AI261" s="4">
        <v>-9.27</v>
      </c>
      <c r="AJ261" s="4">
        <f t="shared" si="52"/>
        <v>0.84600000000000009</v>
      </c>
      <c r="AT261">
        <v>260</v>
      </c>
      <c r="AU261">
        <v>117.43</v>
      </c>
      <c r="AV261">
        <f t="shared" si="51"/>
        <v>0</v>
      </c>
      <c r="AW261">
        <v>-6.95</v>
      </c>
      <c r="AX261" s="1">
        <f t="shared" si="53"/>
        <v>97.31</v>
      </c>
      <c r="BH261">
        <v>260</v>
      </c>
      <c r="BI261">
        <v>161.72999999999999</v>
      </c>
      <c r="BJ261">
        <f t="shared" si="54"/>
        <v>148.5</v>
      </c>
      <c r="BK261">
        <v>8.5</v>
      </c>
      <c r="BL261" s="1">
        <f t="shared" si="55"/>
        <v>139.07400000000001</v>
      </c>
      <c r="BT261">
        <v>260</v>
      </c>
      <c r="BU261" s="2">
        <v>159.53</v>
      </c>
      <c r="BV261">
        <f t="shared" si="56"/>
        <v>160.18</v>
      </c>
      <c r="BW261">
        <v>6.18</v>
      </c>
      <c r="BX261">
        <f t="shared" si="59"/>
        <v>147.20400000000001</v>
      </c>
      <c r="BY261" t="s">
        <v>0</v>
      </c>
    </row>
    <row r="262" spans="1:77" x14ac:dyDescent="0.25">
      <c r="A262">
        <v>262</v>
      </c>
      <c r="B262">
        <v>67.73</v>
      </c>
      <c r="C262">
        <v>262</v>
      </c>
      <c r="D262">
        <f t="shared" si="57"/>
        <v>-7.8000000000000114</v>
      </c>
      <c r="E262" s="1">
        <f t="shared" si="58"/>
        <v>-0.48000000000001819</v>
      </c>
      <c r="Q262">
        <v>261</v>
      </c>
      <c r="R262" s="4">
        <v>108.4</v>
      </c>
      <c r="S262" s="4">
        <f t="shared" si="49"/>
        <v>0</v>
      </c>
      <c r="T262" s="4">
        <v>-13.13</v>
      </c>
      <c r="U262" s="4">
        <f t="shared" ref="U262:U325" si="60">(T262-T261)/5</f>
        <v>-0.92600000000000016</v>
      </c>
      <c r="AF262">
        <v>261</v>
      </c>
      <c r="AG262" s="4">
        <v>144.5</v>
      </c>
      <c r="AH262" s="4">
        <f t="shared" si="50"/>
        <v>0</v>
      </c>
      <c r="AI262" s="4">
        <v>-9.27</v>
      </c>
      <c r="AJ262" s="4">
        <f t="shared" si="52"/>
        <v>1</v>
      </c>
      <c r="AT262">
        <v>261</v>
      </c>
      <c r="AU262">
        <v>116.97</v>
      </c>
      <c r="AV262">
        <f t="shared" si="51"/>
        <v>0</v>
      </c>
      <c r="AW262">
        <v>-9.27</v>
      </c>
      <c r="AX262" s="1">
        <f t="shared" si="53"/>
        <v>96.536000000000001</v>
      </c>
      <c r="BH262">
        <v>261</v>
      </c>
      <c r="BI262">
        <v>162.27000000000001</v>
      </c>
      <c r="BJ262">
        <f t="shared" si="54"/>
        <v>150.81</v>
      </c>
      <c r="BK262">
        <v>10.81</v>
      </c>
      <c r="BL262" s="1">
        <f t="shared" si="55"/>
        <v>140.46199999999999</v>
      </c>
      <c r="BT262">
        <v>261</v>
      </c>
      <c r="BU262">
        <v>159.44999999999999</v>
      </c>
      <c r="BV262">
        <f t="shared" si="56"/>
        <v>0</v>
      </c>
      <c r="BW262">
        <v>-3.09</v>
      </c>
      <c r="BX262">
        <f t="shared" si="59"/>
        <v>150.292</v>
      </c>
      <c r="BY262" t="s">
        <v>0</v>
      </c>
    </row>
    <row r="263" spans="1:77" x14ac:dyDescent="0.25">
      <c r="A263">
        <v>263</v>
      </c>
      <c r="B263">
        <v>67.459999999999994</v>
      </c>
      <c r="C263">
        <v>263</v>
      </c>
      <c r="D263">
        <f t="shared" si="57"/>
        <v>-5.4000000000002046</v>
      </c>
      <c r="E263" s="1">
        <f t="shared" si="58"/>
        <v>0.47999999999996135</v>
      </c>
      <c r="Q263">
        <v>262</v>
      </c>
      <c r="R263" s="4">
        <v>107.97</v>
      </c>
      <c r="S263" s="4">
        <f t="shared" si="49"/>
        <v>0</v>
      </c>
      <c r="T263" s="4">
        <v>-8.5</v>
      </c>
      <c r="U263" s="4">
        <f t="shared" si="60"/>
        <v>0.92600000000000016</v>
      </c>
      <c r="AF263">
        <v>262</v>
      </c>
      <c r="AG263" s="5">
        <v>144.19999999999999</v>
      </c>
      <c r="AH263" s="4">
        <f t="shared" si="50"/>
        <v>0</v>
      </c>
      <c r="AI263" s="4">
        <v>-6.18</v>
      </c>
      <c r="AJ263" s="4">
        <f t="shared" si="52"/>
        <v>1.6179999999999999</v>
      </c>
      <c r="AT263">
        <v>262</v>
      </c>
      <c r="AU263">
        <v>116.66</v>
      </c>
      <c r="AV263">
        <f t="shared" si="51"/>
        <v>0</v>
      </c>
      <c r="AW263">
        <v>-6.18</v>
      </c>
      <c r="AX263" s="1">
        <f t="shared" si="53"/>
        <v>97.617999999999995</v>
      </c>
      <c r="BH263">
        <v>262</v>
      </c>
      <c r="BI263">
        <v>163.22999999999999</v>
      </c>
      <c r="BJ263">
        <f t="shared" si="54"/>
        <v>159.31</v>
      </c>
      <c r="BK263">
        <v>19.309999999999999</v>
      </c>
      <c r="BL263" s="1">
        <f t="shared" si="55"/>
        <v>141.69999999999999</v>
      </c>
      <c r="BT263">
        <v>262</v>
      </c>
      <c r="BU263">
        <v>159.02000000000001</v>
      </c>
      <c r="BV263">
        <f t="shared" si="56"/>
        <v>0</v>
      </c>
      <c r="BW263">
        <v>-16.989999999999998</v>
      </c>
      <c r="BX263">
        <f t="shared" si="59"/>
        <v>148.44</v>
      </c>
      <c r="BY263" t="s">
        <v>0</v>
      </c>
    </row>
    <row r="264" spans="1:77" x14ac:dyDescent="0.25">
      <c r="A264">
        <v>264</v>
      </c>
      <c r="B264">
        <v>67.040000000000006</v>
      </c>
      <c r="C264">
        <v>264</v>
      </c>
      <c r="D264">
        <f t="shared" si="57"/>
        <v>-8.3999999999997499</v>
      </c>
      <c r="E264" s="1">
        <f t="shared" si="58"/>
        <v>-0.59999999999990905</v>
      </c>
      <c r="Q264">
        <v>263</v>
      </c>
      <c r="R264" s="4">
        <v>107.66</v>
      </c>
      <c r="S264" s="4">
        <f t="shared" si="49"/>
        <v>0</v>
      </c>
      <c r="T264" s="4">
        <v>-6.18</v>
      </c>
      <c r="U264" s="4">
        <f t="shared" si="60"/>
        <v>0.46400000000000008</v>
      </c>
      <c r="AF264">
        <v>263</v>
      </c>
      <c r="AG264" s="5">
        <v>144.54</v>
      </c>
      <c r="AH264" s="4">
        <f t="shared" si="50"/>
        <v>7.95</v>
      </c>
      <c r="AI264" s="4">
        <v>6.95</v>
      </c>
      <c r="AJ264" s="4">
        <f t="shared" si="52"/>
        <v>3.6259999999999999</v>
      </c>
      <c r="AT264">
        <v>263</v>
      </c>
      <c r="AU264">
        <v>116.7</v>
      </c>
      <c r="AV264">
        <f t="shared" si="51"/>
        <v>97.77</v>
      </c>
      <c r="AW264">
        <v>0.77</v>
      </c>
      <c r="AX264" s="1">
        <f t="shared" si="53"/>
        <v>98.39</v>
      </c>
      <c r="BH264">
        <v>263</v>
      </c>
      <c r="BI264">
        <v>163.69999999999999</v>
      </c>
      <c r="BJ264">
        <f t="shared" si="54"/>
        <v>149.27000000000001</v>
      </c>
      <c r="BK264">
        <v>9.27</v>
      </c>
      <c r="BL264" s="1">
        <f t="shared" si="55"/>
        <v>137.99199999999999</v>
      </c>
      <c r="BT264">
        <v>263</v>
      </c>
      <c r="BU264">
        <v>158.52000000000001</v>
      </c>
      <c r="BV264">
        <f t="shared" si="56"/>
        <v>0</v>
      </c>
      <c r="BW264">
        <v>-20.079999999999998</v>
      </c>
      <c r="BX264">
        <f t="shared" si="59"/>
        <v>152.76400000000001</v>
      </c>
      <c r="BY264" t="s">
        <v>0</v>
      </c>
    </row>
    <row r="265" spans="1:77" x14ac:dyDescent="0.25">
      <c r="A265">
        <v>265</v>
      </c>
      <c r="B265">
        <v>66.81</v>
      </c>
      <c r="C265">
        <v>265</v>
      </c>
      <c r="D265">
        <f t="shared" si="57"/>
        <v>-4.6000000000000796</v>
      </c>
      <c r="E265" s="1">
        <f t="shared" si="58"/>
        <v>0.75999999999993406</v>
      </c>
      <c r="Q265">
        <v>264</v>
      </c>
      <c r="R265" s="4">
        <v>107.16</v>
      </c>
      <c r="S265" s="4">
        <f t="shared" si="49"/>
        <v>0</v>
      </c>
      <c r="T265" s="4">
        <v>-10.039999999999999</v>
      </c>
      <c r="U265" s="4">
        <f t="shared" si="60"/>
        <v>-0.77199999999999991</v>
      </c>
      <c r="AF265">
        <v>264</v>
      </c>
      <c r="AG265" s="4">
        <v>144.5</v>
      </c>
      <c r="AH265" s="4">
        <f t="shared" si="50"/>
        <v>0</v>
      </c>
      <c r="AI265" s="4">
        <v>-0.77</v>
      </c>
      <c r="AJ265" s="4">
        <f t="shared" si="52"/>
        <v>-0.54400000000000004</v>
      </c>
      <c r="AT265">
        <v>264</v>
      </c>
      <c r="AU265">
        <v>116.39</v>
      </c>
      <c r="AV265">
        <f t="shared" si="51"/>
        <v>0</v>
      </c>
      <c r="AW265">
        <v>-6.18</v>
      </c>
      <c r="AX265" s="1">
        <f t="shared" si="53"/>
        <v>95.61</v>
      </c>
      <c r="BH265">
        <v>264</v>
      </c>
      <c r="BI265">
        <v>164.35</v>
      </c>
      <c r="BJ265">
        <f t="shared" si="54"/>
        <v>153.13</v>
      </c>
      <c r="BK265">
        <v>13.13</v>
      </c>
      <c r="BL265" s="1">
        <f t="shared" si="55"/>
        <v>140.77199999999999</v>
      </c>
      <c r="BT265">
        <v>264</v>
      </c>
      <c r="BU265">
        <v>157.97999999999999</v>
      </c>
      <c r="BV265">
        <f t="shared" si="56"/>
        <v>0</v>
      </c>
      <c r="BW265">
        <v>-21.63</v>
      </c>
      <c r="BX265">
        <f t="shared" si="59"/>
        <v>153.38</v>
      </c>
      <c r="BY265" t="s">
        <v>0</v>
      </c>
    </row>
    <row r="266" spans="1:77" x14ac:dyDescent="0.25">
      <c r="A266">
        <v>266</v>
      </c>
      <c r="B266">
        <v>66.42</v>
      </c>
      <c r="C266">
        <v>266</v>
      </c>
      <c r="D266">
        <f t="shared" si="57"/>
        <v>-7.8000000000000114</v>
      </c>
      <c r="E266" s="1">
        <f t="shared" si="58"/>
        <v>-0.63999999999998636</v>
      </c>
      <c r="Q266">
        <v>265</v>
      </c>
      <c r="R266" s="4">
        <v>106.81</v>
      </c>
      <c r="S266" s="4">
        <f t="shared" si="49"/>
        <v>0</v>
      </c>
      <c r="T266" s="4">
        <v>-6.95</v>
      </c>
      <c r="U266" s="4">
        <f t="shared" si="60"/>
        <v>0.61799999999999977</v>
      </c>
      <c r="AF266">
        <v>265</v>
      </c>
      <c r="AG266" s="4">
        <v>144</v>
      </c>
      <c r="AH266" s="4">
        <f t="shared" si="50"/>
        <v>0</v>
      </c>
      <c r="AI266" s="4">
        <v>-10.039999999999999</v>
      </c>
      <c r="AJ266" s="4">
        <f t="shared" si="52"/>
        <v>-0.85399999999999987</v>
      </c>
      <c r="AT266">
        <v>265</v>
      </c>
      <c r="AU266">
        <v>115.73</v>
      </c>
      <c r="AV266">
        <f t="shared" si="51"/>
        <v>0</v>
      </c>
      <c r="AW266">
        <v>-13.13</v>
      </c>
      <c r="AX266" s="1">
        <f t="shared" si="53"/>
        <v>95.61</v>
      </c>
      <c r="BH266">
        <v>265</v>
      </c>
      <c r="BI266">
        <v>165.32</v>
      </c>
      <c r="BJ266">
        <f t="shared" si="54"/>
        <v>159.31</v>
      </c>
      <c r="BK266">
        <v>19.309999999999999</v>
      </c>
      <c r="BL266" s="1">
        <f t="shared" si="55"/>
        <v>141.23599999999999</v>
      </c>
      <c r="BT266">
        <v>265</v>
      </c>
      <c r="BU266">
        <v>157.63</v>
      </c>
      <c r="BV266">
        <f t="shared" si="56"/>
        <v>0</v>
      </c>
      <c r="BW266">
        <v>-13.9</v>
      </c>
      <c r="BX266">
        <f t="shared" si="59"/>
        <v>157.09200000000001</v>
      </c>
      <c r="BY266" t="s">
        <v>0</v>
      </c>
    </row>
    <row r="267" spans="1:77" x14ac:dyDescent="0.25">
      <c r="A267">
        <v>267</v>
      </c>
      <c r="B267">
        <v>66.19</v>
      </c>
      <c r="C267">
        <v>267</v>
      </c>
      <c r="D267">
        <f t="shared" si="57"/>
        <v>-4.6000000000000796</v>
      </c>
      <c r="E267" s="1">
        <f t="shared" si="58"/>
        <v>0.63999999999998636</v>
      </c>
      <c r="Q267">
        <v>266</v>
      </c>
      <c r="R267" s="4">
        <v>106.39</v>
      </c>
      <c r="S267" s="4">
        <f t="shared" si="49"/>
        <v>0</v>
      </c>
      <c r="T267" s="4">
        <v>-8.5</v>
      </c>
      <c r="U267" s="4">
        <f t="shared" si="60"/>
        <v>-0.30999999999999994</v>
      </c>
      <c r="AF267">
        <v>266</v>
      </c>
      <c r="AG267" s="4">
        <v>143.19</v>
      </c>
      <c r="AH267" s="4">
        <f t="shared" si="50"/>
        <v>0</v>
      </c>
      <c r="AI267" s="4">
        <v>-16.22</v>
      </c>
      <c r="AJ267" s="4">
        <f t="shared" si="52"/>
        <v>-0.23599999999999999</v>
      </c>
      <c r="AT267">
        <v>266</v>
      </c>
      <c r="AU267">
        <v>115.27</v>
      </c>
      <c r="AV267">
        <f t="shared" si="51"/>
        <v>0</v>
      </c>
      <c r="AW267">
        <v>-9.27</v>
      </c>
      <c r="AX267" s="1">
        <f t="shared" si="53"/>
        <v>97.772000000000006</v>
      </c>
      <c r="BH267">
        <v>266</v>
      </c>
      <c r="BI267">
        <v>165.74</v>
      </c>
      <c r="BJ267">
        <f t="shared" si="54"/>
        <v>148.5</v>
      </c>
      <c r="BK267">
        <v>8.5</v>
      </c>
      <c r="BL267" s="1">
        <f t="shared" si="55"/>
        <v>137.83799999999999</v>
      </c>
      <c r="BT267">
        <v>266</v>
      </c>
      <c r="BU267">
        <v>157.52000000000001</v>
      </c>
      <c r="BV267">
        <f t="shared" si="56"/>
        <v>0</v>
      </c>
      <c r="BW267">
        <v>-4.63</v>
      </c>
      <c r="BX267">
        <f t="shared" si="59"/>
        <v>157.708</v>
      </c>
      <c r="BY267" t="s">
        <v>0</v>
      </c>
    </row>
    <row r="268" spans="1:77" x14ac:dyDescent="0.25">
      <c r="A268">
        <v>268</v>
      </c>
      <c r="B268">
        <v>65.88</v>
      </c>
      <c r="C268">
        <v>268</v>
      </c>
      <c r="D268">
        <f t="shared" si="57"/>
        <v>-6.2000000000000455</v>
      </c>
      <c r="E268" s="1">
        <f t="shared" si="58"/>
        <v>-0.31999999999999318</v>
      </c>
      <c r="Q268">
        <v>267</v>
      </c>
      <c r="R268" s="4">
        <v>105.93</v>
      </c>
      <c r="S268" s="4">
        <f t="shared" si="49"/>
        <v>0</v>
      </c>
      <c r="T268" s="4">
        <v>-9.27</v>
      </c>
      <c r="U268" s="4">
        <f t="shared" si="60"/>
        <v>-0.15399999999999991</v>
      </c>
      <c r="AF268">
        <v>267</v>
      </c>
      <c r="AG268" s="4">
        <v>141.99</v>
      </c>
      <c r="AH268" s="4">
        <f t="shared" si="50"/>
        <v>0</v>
      </c>
      <c r="AI268" s="4">
        <v>-23.94</v>
      </c>
      <c r="AJ268" s="4">
        <f t="shared" si="52"/>
        <v>-0.54400000000000048</v>
      </c>
      <c r="AT268">
        <v>267</v>
      </c>
      <c r="AU268">
        <v>114.77</v>
      </c>
      <c r="AV268">
        <f t="shared" si="51"/>
        <v>0</v>
      </c>
      <c r="AW268">
        <v>-10.039999999999999</v>
      </c>
      <c r="AX268" s="1">
        <f t="shared" si="53"/>
        <v>96.846000000000004</v>
      </c>
      <c r="BH268">
        <v>267</v>
      </c>
      <c r="BI268">
        <v>166.52</v>
      </c>
      <c r="BJ268">
        <f t="shared" si="54"/>
        <v>155.44999999999999</v>
      </c>
      <c r="BK268">
        <v>15.45</v>
      </c>
      <c r="BL268" s="1">
        <f t="shared" si="55"/>
        <v>141.38999999999999</v>
      </c>
      <c r="BT268">
        <v>267</v>
      </c>
      <c r="BU268">
        <v>157.47999999999999</v>
      </c>
      <c r="BV268">
        <f t="shared" si="56"/>
        <v>0</v>
      </c>
      <c r="BW268">
        <v>-1.54</v>
      </c>
      <c r="BX268">
        <f t="shared" si="59"/>
        <v>155.23599999999999</v>
      </c>
      <c r="BY268" t="s">
        <v>0</v>
      </c>
    </row>
    <row r="269" spans="1:77" x14ac:dyDescent="0.25">
      <c r="A269">
        <v>269</v>
      </c>
      <c r="B269">
        <v>66.69</v>
      </c>
      <c r="C269">
        <v>269</v>
      </c>
      <c r="D269">
        <f t="shared" si="57"/>
        <v>16.200000000000045</v>
      </c>
      <c r="E269" s="1">
        <f t="shared" si="58"/>
        <v>4.4800000000000182</v>
      </c>
      <c r="Q269">
        <v>268</v>
      </c>
      <c r="R269" s="4">
        <v>105.58</v>
      </c>
      <c r="S269" s="4">
        <f t="shared" si="49"/>
        <v>0</v>
      </c>
      <c r="T269" s="4">
        <v>-6.95</v>
      </c>
      <c r="U269" s="4">
        <f t="shared" si="60"/>
        <v>0.46399999999999986</v>
      </c>
      <c r="AF269">
        <v>268</v>
      </c>
      <c r="AG269" s="4">
        <v>141.53</v>
      </c>
      <c r="AH269" s="4">
        <f t="shared" si="50"/>
        <v>0</v>
      </c>
      <c r="AI269" s="4">
        <v>-9.27</v>
      </c>
      <c r="AJ269" s="4">
        <f t="shared" si="52"/>
        <v>3.9340000000000002</v>
      </c>
      <c r="AT269">
        <v>268</v>
      </c>
      <c r="AU269">
        <v>114.34</v>
      </c>
      <c r="AV269">
        <f t="shared" si="51"/>
        <v>0</v>
      </c>
      <c r="AW269">
        <v>-8.5</v>
      </c>
      <c r="AX269" s="1">
        <f t="shared" si="53"/>
        <v>97.307999999999993</v>
      </c>
      <c r="BH269">
        <v>268</v>
      </c>
      <c r="BI269">
        <v>167.33</v>
      </c>
      <c r="BJ269">
        <f t="shared" si="54"/>
        <v>156.22</v>
      </c>
      <c r="BK269">
        <v>16.22</v>
      </c>
      <c r="BL269" s="1">
        <f t="shared" si="55"/>
        <v>140.154</v>
      </c>
      <c r="BT269">
        <v>268</v>
      </c>
      <c r="BU269">
        <v>157.29</v>
      </c>
      <c r="BV269">
        <f t="shared" si="56"/>
        <v>0</v>
      </c>
      <c r="BW269">
        <v>-7.72</v>
      </c>
      <c r="BX269">
        <f t="shared" si="59"/>
        <v>151.52799999999999</v>
      </c>
      <c r="BY269" t="s">
        <v>0</v>
      </c>
    </row>
    <row r="270" spans="1:77" x14ac:dyDescent="0.25">
      <c r="A270">
        <v>270</v>
      </c>
      <c r="B270">
        <v>66.959999999999994</v>
      </c>
      <c r="C270">
        <v>270</v>
      </c>
      <c r="D270">
        <f t="shared" si="57"/>
        <v>5.3999999999999204</v>
      </c>
      <c r="E270" s="1">
        <f t="shared" si="58"/>
        <v>-2.160000000000025</v>
      </c>
      <c r="Q270">
        <v>269</v>
      </c>
      <c r="R270" s="4">
        <v>105.19</v>
      </c>
      <c r="S270" s="4">
        <f t="shared" si="49"/>
        <v>0</v>
      </c>
      <c r="T270" s="4">
        <v>-7.72</v>
      </c>
      <c r="U270" s="4">
        <f t="shared" si="60"/>
        <v>-0.15399999999999991</v>
      </c>
      <c r="AF270">
        <v>269</v>
      </c>
      <c r="AG270" s="4">
        <v>141.03</v>
      </c>
      <c r="AH270" s="4">
        <f t="shared" si="50"/>
        <v>0</v>
      </c>
      <c r="AI270" s="4">
        <v>-10.039999999999999</v>
      </c>
      <c r="AJ270" s="4">
        <f t="shared" si="52"/>
        <v>0.84600000000000009</v>
      </c>
      <c r="AT270">
        <v>269</v>
      </c>
      <c r="AU270">
        <v>113.92</v>
      </c>
      <c r="AV270">
        <f t="shared" si="51"/>
        <v>0</v>
      </c>
      <c r="AW270">
        <v>-8.5</v>
      </c>
      <c r="AX270" s="1">
        <f t="shared" si="53"/>
        <v>97</v>
      </c>
      <c r="BH270">
        <v>269</v>
      </c>
      <c r="BI270">
        <v>167.71</v>
      </c>
      <c r="BJ270">
        <f t="shared" si="54"/>
        <v>147.72</v>
      </c>
      <c r="BK270">
        <v>7.72</v>
      </c>
      <c r="BL270" s="1">
        <f t="shared" si="55"/>
        <v>138.30000000000001</v>
      </c>
      <c r="BT270">
        <v>269</v>
      </c>
      <c r="BU270">
        <v>157.05000000000001</v>
      </c>
      <c r="BV270">
        <f t="shared" si="56"/>
        <v>0</v>
      </c>
      <c r="BW270">
        <v>-9.27</v>
      </c>
      <c r="BX270">
        <f t="shared" si="59"/>
        <v>153.38</v>
      </c>
      <c r="BY270" t="s">
        <v>0</v>
      </c>
    </row>
    <row r="271" spans="1:77" x14ac:dyDescent="0.25">
      <c r="A271">
        <v>271</v>
      </c>
      <c r="B271">
        <v>66.73</v>
      </c>
      <c r="C271">
        <v>271</v>
      </c>
      <c r="D271">
        <f t="shared" si="57"/>
        <v>-4.5999999999997954</v>
      </c>
      <c r="E271" s="1">
        <f t="shared" si="58"/>
        <v>-1.9999999999999432</v>
      </c>
      <c r="Q271">
        <v>270</v>
      </c>
      <c r="R271" s="4">
        <v>104.88</v>
      </c>
      <c r="S271" s="4">
        <f t="shared" si="49"/>
        <v>0</v>
      </c>
      <c r="T271" s="4">
        <v>-6.18</v>
      </c>
      <c r="U271" s="4">
        <f t="shared" si="60"/>
        <v>0.308</v>
      </c>
      <c r="AF271">
        <v>270</v>
      </c>
      <c r="AG271" s="4">
        <v>140.57</v>
      </c>
      <c r="AH271" s="4">
        <f t="shared" si="50"/>
        <v>0</v>
      </c>
      <c r="AI271" s="4">
        <v>-9.27</v>
      </c>
      <c r="AJ271" s="4">
        <f t="shared" si="52"/>
        <v>1.1539999999999999</v>
      </c>
      <c r="AT271">
        <v>270</v>
      </c>
      <c r="AU271">
        <v>113.5</v>
      </c>
      <c r="AV271">
        <f t="shared" si="51"/>
        <v>0</v>
      </c>
      <c r="AW271">
        <v>-8.5</v>
      </c>
      <c r="AX271" s="1">
        <f t="shared" si="53"/>
        <v>97</v>
      </c>
      <c r="BH271">
        <v>270</v>
      </c>
      <c r="BI271">
        <v>168.64</v>
      </c>
      <c r="BJ271">
        <f t="shared" si="54"/>
        <v>158.54</v>
      </c>
      <c r="BK271">
        <v>18.54</v>
      </c>
      <c r="BL271" s="1">
        <f t="shared" si="55"/>
        <v>142.16399999999999</v>
      </c>
      <c r="BT271">
        <v>270</v>
      </c>
      <c r="BU271">
        <v>156.86000000000001</v>
      </c>
      <c r="BV271">
        <f t="shared" si="56"/>
        <v>0</v>
      </c>
      <c r="BW271">
        <v>-7.72</v>
      </c>
      <c r="BX271">
        <f t="shared" si="59"/>
        <v>154.62</v>
      </c>
      <c r="BY271" t="s">
        <v>0</v>
      </c>
    </row>
    <row r="272" spans="1:77" x14ac:dyDescent="0.25">
      <c r="A272">
        <v>272</v>
      </c>
      <c r="B272">
        <v>66.42</v>
      </c>
      <c r="C272">
        <v>272</v>
      </c>
      <c r="D272">
        <f t="shared" si="57"/>
        <v>-6.2000000000000455</v>
      </c>
      <c r="E272" s="1">
        <f t="shared" si="58"/>
        <v>-0.32000000000005002</v>
      </c>
      <c r="Q272">
        <v>271</v>
      </c>
      <c r="R272" s="4">
        <v>104.84</v>
      </c>
      <c r="S272" s="4">
        <f t="shared" si="49"/>
        <v>0</v>
      </c>
      <c r="T272" s="4">
        <v>-0.77</v>
      </c>
      <c r="U272" s="4">
        <f t="shared" si="60"/>
        <v>1.0820000000000001</v>
      </c>
      <c r="AF272">
        <v>271</v>
      </c>
      <c r="AG272" s="4">
        <v>140.1</v>
      </c>
      <c r="AH272" s="4">
        <f t="shared" si="50"/>
        <v>0</v>
      </c>
      <c r="AI272" s="4">
        <v>-9.27</v>
      </c>
      <c r="AJ272" s="4">
        <f t="shared" si="52"/>
        <v>1</v>
      </c>
      <c r="AT272">
        <v>271</v>
      </c>
      <c r="AU272">
        <v>113.03</v>
      </c>
      <c r="AV272">
        <f t="shared" si="51"/>
        <v>0</v>
      </c>
      <c r="AW272">
        <v>-9.27</v>
      </c>
      <c r="AX272" s="1">
        <f t="shared" si="53"/>
        <v>96.846000000000004</v>
      </c>
      <c r="BH272">
        <v>271</v>
      </c>
      <c r="BI272">
        <v>168.72</v>
      </c>
      <c r="BJ272">
        <f t="shared" si="54"/>
        <v>141.54</v>
      </c>
      <c r="BK272">
        <v>1.54</v>
      </c>
      <c r="BL272" s="1">
        <f t="shared" si="55"/>
        <v>136.6</v>
      </c>
      <c r="BT272">
        <v>271</v>
      </c>
      <c r="BU272">
        <v>156.59</v>
      </c>
      <c r="BV272">
        <f t="shared" si="56"/>
        <v>0</v>
      </c>
      <c r="BW272">
        <v>-10.81</v>
      </c>
      <c r="BX272">
        <f t="shared" si="59"/>
        <v>152.76400000000001</v>
      </c>
      <c r="BY272" t="s">
        <v>0</v>
      </c>
    </row>
    <row r="273" spans="1:77" x14ac:dyDescent="0.25">
      <c r="A273">
        <v>273</v>
      </c>
      <c r="B273">
        <v>66.19</v>
      </c>
      <c r="C273">
        <v>273</v>
      </c>
      <c r="D273">
        <f t="shared" si="57"/>
        <v>-4.6000000000000796</v>
      </c>
      <c r="E273" s="1">
        <f t="shared" si="58"/>
        <v>0.31999999999999318</v>
      </c>
      <c r="Q273">
        <v>272</v>
      </c>
      <c r="R273" s="4">
        <v>104.88</v>
      </c>
      <c r="S273" s="4">
        <f t="shared" si="49"/>
        <v>0.77</v>
      </c>
      <c r="T273" s="4">
        <v>0.77</v>
      </c>
      <c r="U273" s="4">
        <f t="shared" si="60"/>
        <v>0.308</v>
      </c>
      <c r="AF273">
        <v>272</v>
      </c>
      <c r="AG273" s="4">
        <v>139.68</v>
      </c>
      <c r="AH273" s="4">
        <f t="shared" si="50"/>
        <v>0</v>
      </c>
      <c r="AI273" s="4">
        <v>-8.5</v>
      </c>
      <c r="AJ273" s="4">
        <f t="shared" si="52"/>
        <v>1.1539999999999999</v>
      </c>
      <c r="AT273">
        <v>272</v>
      </c>
      <c r="AU273">
        <v>112.65</v>
      </c>
      <c r="AV273">
        <f t="shared" si="51"/>
        <v>0</v>
      </c>
      <c r="AW273">
        <v>-7.72</v>
      </c>
      <c r="AX273" s="1">
        <f t="shared" si="53"/>
        <v>97.31</v>
      </c>
      <c r="BH273">
        <v>272</v>
      </c>
      <c r="BI273">
        <v>168.02</v>
      </c>
      <c r="BJ273">
        <f t="shared" si="54"/>
        <v>0</v>
      </c>
      <c r="BK273">
        <v>-13.9</v>
      </c>
      <c r="BL273" s="1">
        <f t="shared" si="55"/>
        <v>136.91200000000001</v>
      </c>
      <c r="BT273">
        <v>272</v>
      </c>
      <c r="BU273">
        <v>156.32</v>
      </c>
      <c r="BV273">
        <f t="shared" si="56"/>
        <v>0</v>
      </c>
      <c r="BW273">
        <v>-10.81</v>
      </c>
      <c r="BX273">
        <f t="shared" si="59"/>
        <v>154</v>
      </c>
      <c r="BY273" t="s">
        <v>0</v>
      </c>
    </row>
    <row r="274" spans="1:77" x14ac:dyDescent="0.25">
      <c r="A274">
        <v>274</v>
      </c>
      <c r="B274">
        <v>65.760000000000005</v>
      </c>
      <c r="C274">
        <v>274</v>
      </c>
      <c r="D274">
        <f t="shared" si="57"/>
        <v>-8.5999999999998522</v>
      </c>
      <c r="E274" s="1">
        <f t="shared" si="58"/>
        <v>-0.79999999999995453</v>
      </c>
      <c r="Q274">
        <v>273</v>
      </c>
      <c r="R274" s="4">
        <v>104.73</v>
      </c>
      <c r="S274" s="4">
        <f t="shared" si="49"/>
        <v>0</v>
      </c>
      <c r="T274" s="4">
        <v>-3.09</v>
      </c>
      <c r="U274" s="4">
        <f t="shared" si="60"/>
        <v>-0.77200000000000002</v>
      </c>
      <c r="AF274">
        <v>273</v>
      </c>
      <c r="AG274" s="4">
        <v>139.13999999999999</v>
      </c>
      <c r="AH274" s="4">
        <f t="shared" si="50"/>
        <v>0</v>
      </c>
      <c r="AI274" s="4">
        <v>-10.81</v>
      </c>
      <c r="AJ274" s="4">
        <f t="shared" si="52"/>
        <v>0.53799999999999992</v>
      </c>
      <c r="AT274">
        <v>273</v>
      </c>
      <c r="AU274">
        <v>112.22</v>
      </c>
      <c r="AV274">
        <f t="shared" si="51"/>
        <v>0</v>
      </c>
      <c r="AW274">
        <v>-8.5</v>
      </c>
      <c r="AX274" s="1">
        <f t="shared" si="53"/>
        <v>96.843999999999994</v>
      </c>
      <c r="BH274">
        <v>273</v>
      </c>
      <c r="BI274">
        <v>167.21</v>
      </c>
      <c r="BJ274">
        <f t="shared" si="54"/>
        <v>0</v>
      </c>
      <c r="BK274">
        <v>-16.22</v>
      </c>
      <c r="BL274" s="1">
        <f t="shared" si="55"/>
        <v>139.536</v>
      </c>
      <c r="BT274">
        <v>273</v>
      </c>
      <c r="BU274">
        <v>156.16999999999999</v>
      </c>
      <c r="BV274">
        <f t="shared" si="56"/>
        <v>0</v>
      </c>
      <c r="BW274">
        <v>-6.18</v>
      </c>
      <c r="BX274">
        <f t="shared" si="59"/>
        <v>155.852</v>
      </c>
      <c r="BY274" t="s">
        <v>0</v>
      </c>
    </row>
    <row r="275" spans="1:77" x14ac:dyDescent="0.25">
      <c r="A275">
        <v>275</v>
      </c>
      <c r="B275">
        <v>65.569999999999993</v>
      </c>
      <c r="C275">
        <v>275</v>
      </c>
      <c r="D275">
        <f t="shared" si="57"/>
        <v>-3.8000000000002387</v>
      </c>
      <c r="E275" s="1">
        <f t="shared" si="58"/>
        <v>0.95999999999992269</v>
      </c>
      <c r="Q275">
        <v>274</v>
      </c>
      <c r="R275" s="4">
        <v>104.34</v>
      </c>
      <c r="S275" s="4">
        <f t="shared" si="49"/>
        <v>0</v>
      </c>
      <c r="T275" s="4">
        <v>-7.72</v>
      </c>
      <c r="U275" s="4">
        <f t="shared" si="60"/>
        <v>-0.92599999999999993</v>
      </c>
      <c r="AF275">
        <v>274</v>
      </c>
      <c r="AG275" s="4">
        <v>138.63</v>
      </c>
      <c r="AH275" s="4">
        <f t="shared" si="50"/>
        <v>0</v>
      </c>
      <c r="AI275" s="4">
        <v>-10.039999999999999</v>
      </c>
      <c r="AJ275" s="4">
        <f t="shared" si="52"/>
        <v>1.1540000000000004</v>
      </c>
      <c r="AT275">
        <v>274</v>
      </c>
      <c r="AU275">
        <v>111.8</v>
      </c>
      <c r="AV275">
        <f t="shared" si="51"/>
        <v>0</v>
      </c>
      <c r="AW275">
        <v>-8.5</v>
      </c>
      <c r="AX275" s="1">
        <f t="shared" si="53"/>
        <v>97</v>
      </c>
      <c r="BH275">
        <v>274</v>
      </c>
      <c r="BI275">
        <v>166.25</v>
      </c>
      <c r="BJ275">
        <f t="shared" si="54"/>
        <v>0</v>
      </c>
      <c r="BK275">
        <v>-19.309999999999999</v>
      </c>
      <c r="BL275" s="1">
        <f t="shared" si="55"/>
        <v>139.38200000000001</v>
      </c>
      <c r="BT275">
        <v>274</v>
      </c>
      <c r="BU275">
        <v>156.05000000000001</v>
      </c>
      <c r="BV275">
        <f t="shared" si="56"/>
        <v>0</v>
      </c>
      <c r="BW275">
        <v>-4.63</v>
      </c>
      <c r="BX275">
        <f t="shared" si="59"/>
        <v>154.62</v>
      </c>
      <c r="BY275" t="s">
        <v>0</v>
      </c>
    </row>
    <row r="276" spans="1:77" x14ac:dyDescent="0.25">
      <c r="A276">
        <v>276</v>
      </c>
      <c r="B276">
        <v>65.459999999999994</v>
      </c>
      <c r="C276">
        <v>276</v>
      </c>
      <c r="D276">
        <f t="shared" si="57"/>
        <v>-2.1999999999999886</v>
      </c>
      <c r="E276" s="1">
        <f t="shared" si="58"/>
        <v>0.32000000000005002</v>
      </c>
      <c r="Q276">
        <v>275</v>
      </c>
      <c r="R276" s="4">
        <v>103.72</v>
      </c>
      <c r="S276" s="4">
        <f t="shared" si="49"/>
        <v>0</v>
      </c>
      <c r="T276" s="4">
        <v>-12.36</v>
      </c>
      <c r="U276" s="4">
        <f t="shared" si="60"/>
        <v>-0.92799999999999994</v>
      </c>
      <c r="AF276">
        <v>275</v>
      </c>
      <c r="AG276" s="4">
        <v>138.21</v>
      </c>
      <c r="AH276" s="4">
        <f t="shared" si="50"/>
        <v>0</v>
      </c>
      <c r="AI276" s="4">
        <v>-8.5</v>
      </c>
      <c r="AJ276" s="4">
        <f t="shared" si="52"/>
        <v>1.3079999999999998</v>
      </c>
      <c r="AT276">
        <v>275</v>
      </c>
      <c r="AU276">
        <v>111.41</v>
      </c>
      <c r="AV276">
        <f t="shared" si="51"/>
        <v>0</v>
      </c>
      <c r="AW276">
        <v>-7.72</v>
      </c>
      <c r="AX276" s="1">
        <f t="shared" si="53"/>
        <v>97.156000000000006</v>
      </c>
      <c r="BH276">
        <v>275</v>
      </c>
      <c r="BI276">
        <v>165.67</v>
      </c>
      <c r="BJ276">
        <f t="shared" si="54"/>
        <v>0</v>
      </c>
      <c r="BK276">
        <v>-11.59</v>
      </c>
      <c r="BL276" s="1">
        <f t="shared" si="55"/>
        <v>141.54400000000001</v>
      </c>
      <c r="BT276">
        <v>275</v>
      </c>
      <c r="BU276">
        <v>155.9</v>
      </c>
      <c r="BV276">
        <f t="shared" si="56"/>
        <v>0</v>
      </c>
      <c r="BW276">
        <v>-6.18</v>
      </c>
      <c r="BX276">
        <f t="shared" si="59"/>
        <v>153.38</v>
      </c>
      <c r="BY276" t="s">
        <v>0</v>
      </c>
    </row>
    <row r="277" spans="1:77" x14ac:dyDescent="0.25">
      <c r="A277">
        <v>277</v>
      </c>
      <c r="B277">
        <v>65.11</v>
      </c>
      <c r="C277">
        <v>277</v>
      </c>
      <c r="D277">
        <f t="shared" si="57"/>
        <v>-6.9999999999998863</v>
      </c>
      <c r="E277" s="1">
        <f t="shared" si="58"/>
        <v>-0.95999999999997954</v>
      </c>
      <c r="Q277">
        <v>276</v>
      </c>
      <c r="R277" s="4">
        <v>103.18</v>
      </c>
      <c r="S277" s="4">
        <f t="shared" si="49"/>
        <v>0</v>
      </c>
      <c r="T277" s="4">
        <v>-10.81</v>
      </c>
      <c r="U277" s="4">
        <f t="shared" si="60"/>
        <v>0.30999999999999978</v>
      </c>
      <c r="AF277">
        <v>276</v>
      </c>
      <c r="AG277" s="5">
        <v>137.97999999999999</v>
      </c>
      <c r="AH277" s="4">
        <f t="shared" si="50"/>
        <v>0</v>
      </c>
      <c r="AI277" s="4">
        <v>-4.63</v>
      </c>
      <c r="AJ277" s="4">
        <f t="shared" si="52"/>
        <v>1.774</v>
      </c>
      <c r="AT277">
        <v>276</v>
      </c>
      <c r="AU277">
        <v>110.95</v>
      </c>
      <c r="AV277">
        <f t="shared" si="51"/>
        <v>0</v>
      </c>
      <c r="AW277">
        <v>-9.27</v>
      </c>
      <c r="AX277" s="1">
        <f t="shared" si="53"/>
        <v>96.69</v>
      </c>
      <c r="BH277">
        <v>276</v>
      </c>
      <c r="BI277">
        <v>164.93</v>
      </c>
      <c r="BJ277">
        <f t="shared" si="54"/>
        <v>0</v>
      </c>
      <c r="BK277">
        <v>-14.67</v>
      </c>
      <c r="BL277" s="1">
        <f t="shared" si="55"/>
        <v>139.38399999999999</v>
      </c>
      <c r="BT277">
        <v>276</v>
      </c>
      <c r="BU277">
        <v>155.66</v>
      </c>
      <c r="BV277">
        <f t="shared" si="56"/>
        <v>0</v>
      </c>
      <c r="BW277">
        <v>-9.27</v>
      </c>
      <c r="BX277">
        <f t="shared" si="59"/>
        <v>152.76400000000001</v>
      </c>
      <c r="BY277" t="s">
        <v>0</v>
      </c>
    </row>
    <row r="278" spans="1:77" x14ac:dyDescent="0.25">
      <c r="A278">
        <v>278</v>
      </c>
      <c r="B278">
        <v>64.84</v>
      </c>
      <c r="C278">
        <v>278</v>
      </c>
      <c r="D278">
        <f t="shared" si="57"/>
        <v>-5.3999999999999204</v>
      </c>
      <c r="E278" s="1">
        <f t="shared" si="58"/>
        <v>0.31999999999999318</v>
      </c>
      <c r="Q278">
        <v>277</v>
      </c>
      <c r="R278" s="4">
        <v>102.76</v>
      </c>
      <c r="S278" s="4">
        <f t="shared" si="49"/>
        <v>0</v>
      </c>
      <c r="T278" s="4">
        <v>-8.5</v>
      </c>
      <c r="U278" s="4">
        <f t="shared" si="60"/>
        <v>0.46200000000000008</v>
      </c>
      <c r="AF278">
        <v>277</v>
      </c>
      <c r="AG278" s="5">
        <v>138.52000000000001</v>
      </c>
      <c r="AH278" s="4">
        <f t="shared" si="50"/>
        <v>11.81</v>
      </c>
      <c r="AI278" s="4">
        <v>10.81</v>
      </c>
      <c r="AJ278" s="4">
        <f t="shared" si="52"/>
        <v>4.0880000000000001</v>
      </c>
      <c r="AT278">
        <v>277</v>
      </c>
      <c r="AU278">
        <v>110.52</v>
      </c>
      <c r="AV278">
        <f t="shared" si="51"/>
        <v>0</v>
      </c>
      <c r="AW278">
        <v>-8.5</v>
      </c>
      <c r="AX278" s="1">
        <f t="shared" si="53"/>
        <v>97.153999999999996</v>
      </c>
      <c r="BH278">
        <v>277</v>
      </c>
      <c r="BI278">
        <v>164.28</v>
      </c>
      <c r="BJ278">
        <f t="shared" si="54"/>
        <v>0</v>
      </c>
      <c r="BK278">
        <v>-13.13</v>
      </c>
      <c r="BL278" s="1">
        <f t="shared" si="55"/>
        <v>140.30799999999999</v>
      </c>
      <c r="BT278">
        <v>277</v>
      </c>
      <c r="BU278" s="2">
        <v>155.55000000000001</v>
      </c>
      <c r="BV278">
        <f t="shared" si="56"/>
        <v>0</v>
      </c>
      <c r="BW278">
        <v>-4.63</v>
      </c>
      <c r="BX278">
        <f t="shared" si="59"/>
        <v>155.85599999999999</v>
      </c>
      <c r="BY278" t="s">
        <v>0</v>
      </c>
    </row>
    <row r="279" spans="1:77" x14ac:dyDescent="0.25">
      <c r="A279">
        <v>279</v>
      </c>
      <c r="B279">
        <v>64.53</v>
      </c>
      <c r="C279">
        <v>279</v>
      </c>
      <c r="D279">
        <f t="shared" si="57"/>
        <v>-6.2000000000000455</v>
      </c>
      <c r="E279" s="1">
        <f t="shared" si="58"/>
        <v>-0.16000000000002501</v>
      </c>
      <c r="Q279">
        <v>278</v>
      </c>
      <c r="R279" s="4">
        <v>102.3</v>
      </c>
      <c r="S279" s="4">
        <f t="shared" si="49"/>
        <v>0</v>
      </c>
      <c r="T279" s="4">
        <v>-9.27</v>
      </c>
      <c r="U279" s="4">
        <f t="shared" si="60"/>
        <v>-0.15399999999999991</v>
      </c>
      <c r="AF279">
        <v>278</v>
      </c>
      <c r="AG279" s="5">
        <v>138.66999999999999</v>
      </c>
      <c r="AH279" s="4">
        <f t="shared" si="50"/>
        <v>4.09</v>
      </c>
      <c r="AI279" s="4">
        <v>3.09</v>
      </c>
      <c r="AJ279" s="4">
        <f t="shared" si="52"/>
        <v>-0.54400000000000004</v>
      </c>
      <c r="AT279">
        <v>278</v>
      </c>
      <c r="AU279">
        <v>110.17</v>
      </c>
      <c r="AV279">
        <f t="shared" si="51"/>
        <v>0</v>
      </c>
      <c r="AW279">
        <v>-6.95</v>
      </c>
      <c r="AX279" s="1">
        <f t="shared" si="53"/>
        <v>97.31</v>
      </c>
      <c r="BH279">
        <v>278</v>
      </c>
      <c r="BI279">
        <v>163.66</v>
      </c>
      <c r="BJ279">
        <f t="shared" si="54"/>
        <v>0</v>
      </c>
      <c r="BK279">
        <v>-12.36</v>
      </c>
      <c r="BL279" s="1">
        <f t="shared" si="55"/>
        <v>140.154</v>
      </c>
      <c r="BT279">
        <v>278</v>
      </c>
      <c r="BU279" s="2">
        <v>155.69999999999999</v>
      </c>
      <c r="BV279">
        <f t="shared" si="56"/>
        <v>160.18</v>
      </c>
      <c r="BW279">
        <v>6.18</v>
      </c>
      <c r="BX279">
        <f t="shared" si="59"/>
        <v>158.32400000000001</v>
      </c>
      <c r="BY279" t="s">
        <v>0</v>
      </c>
    </row>
    <row r="280" spans="1:77" x14ac:dyDescent="0.25">
      <c r="A280">
        <v>280</v>
      </c>
      <c r="B280">
        <v>64.3</v>
      </c>
      <c r="C280">
        <v>280</v>
      </c>
      <c r="D280">
        <f t="shared" si="57"/>
        <v>-4.6000000000000796</v>
      </c>
      <c r="E280" s="1">
        <f t="shared" si="58"/>
        <v>0.31999999999999318</v>
      </c>
      <c r="Q280">
        <v>279</v>
      </c>
      <c r="R280" s="4">
        <v>101.95</v>
      </c>
      <c r="S280" s="4">
        <f t="shared" si="49"/>
        <v>0</v>
      </c>
      <c r="T280" s="4">
        <v>-6.95</v>
      </c>
      <c r="U280" s="4">
        <f t="shared" si="60"/>
        <v>0.46399999999999986</v>
      </c>
      <c r="AF280">
        <v>279</v>
      </c>
      <c r="AG280" s="4">
        <v>138.29</v>
      </c>
      <c r="AH280" s="4">
        <f t="shared" si="50"/>
        <v>0</v>
      </c>
      <c r="AI280" s="4">
        <v>-7.72</v>
      </c>
      <c r="AJ280" s="4">
        <f t="shared" si="52"/>
        <v>-1.1619999999999999</v>
      </c>
      <c r="AT280">
        <v>279</v>
      </c>
      <c r="AU280">
        <v>109.75</v>
      </c>
      <c r="AV280">
        <f t="shared" si="51"/>
        <v>0</v>
      </c>
      <c r="AW280">
        <v>-8.5</v>
      </c>
      <c r="AX280" s="1">
        <f t="shared" si="53"/>
        <v>96.69</v>
      </c>
      <c r="BH280">
        <v>279</v>
      </c>
      <c r="BI280">
        <v>163.08000000000001</v>
      </c>
      <c r="BJ280">
        <f t="shared" si="54"/>
        <v>0</v>
      </c>
      <c r="BK280">
        <v>-11.59</v>
      </c>
      <c r="BL280" s="1">
        <f t="shared" si="55"/>
        <v>140.154</v>
      </c>
      <c r="BT280">
        <v>279</v>
      </c>
      <c r="BU280" s="2">
        <v>156.28</v>
      </c>
      <c r="BV280">
        <f t="shared" si="56"/>
        <v>177.17000000000002</v>
      </c>
      <c r="BW280">
        <v>23.17</v>
      </c>
      <c r="BX280">
        <f t="shared" si="59"/>
        <v>160.79599999999999</v>
      </c>
      <c r="BY280" t="s">
        <v>0</v>
      </c>
    </row>
    <row r="281" spans="1:77" x14ac:dyDescent="0.25">
      <c r="A281">
        <v>281</v>
      </c>
      <c r="B281">
        <v>64.03</v>
      </c>
      <c r="C281">
        <v>281</v>
      </c>
      <c r="D281">
        <f t="shared" si="57"/>
        <v>-5.3999999999999204</v>
      </c>
      <c r="E281" s="1">
        <f t="shared" si="58"/>
        <v>-0.15999999999996817</v>
      </c>
      <c r="Q281">
        <v>280</v>
      </c>
      <c r="R281" s="4">
        <v>101.6</v>
      </c>
      <c r="S281" s="4">
        <f t="shared" si="49"/>
        <v>0</v>
      </c>
      <c r="T281" s="4">
        <v>-6.95</v>
      </c>
      <c r="U281" s="4">
        <f t="shared" si="60"/>
        <v>0</v>
      </c>
      <c r="AF281">
        <v>280</v>
      </c>
      <c r="AG281" s="4">
        <v>137.47999999999999</v>
      </c>
      <c r="AH281" s="4">
        <f t="shared" si="50"/>
        <v>0</v>
      </c>
      <c r="AI281" s="4">
        <v>-16.22</v>
      </c>
      <c r="AJ281" s="4">
        <f t="shared" si="52"/>
        <v>-0.7</v>
      </c>
      <c r="AT281">
        <v>280</v>
      </c>
      <c r="AU281">
        <v>109.4</v>
      </c>
      <c r="AV281">
        <f t="shared" si="51"/>
        <v>0</v>
      </c>
      <c r="AW281">
        <v>-6.95</v>
      </c>
      <c r="AX281" s="1">
        <f t="shared" si="53"/>
        <v>97.31</v>
      </c>
      <c r="BH281">
        <v>280</v>
      </c>
      <c r="BI281">
        <v>162.46</v>
      </c>
      <c r="BJ281">
        <f t="shared" si="54"/>
        <v>0</v>
      </c>
      <c r="BK281">
        <v>-12.36</v>
      </c>
      <c r="BL281" s="1">
        <f t="shared" si="55"/>
        <v>139.846</v>
      </c>
      <c r="BT281">
        <v>280</v>
      </c>
      <c r="BU281" s="2">
        <v>156.75</v>
      </c>
      <c r="BV281">
        <f t="shared" si="56"/>
        <v>172.54</v>
      </c>
      <c r="BW281">
        <v>18.54</v>
      </c>
      <c r="BX281">
        <f t="shared" si="59"/>
        <v>152.148</v>
      </c>
      <c r="BY281" t="s">
        <v>0</v>
      </c>
    </row>
    <row r="282" spans="1:77" x14ac:dyDescent="0.25">
      <c r="A282">
        <v>282</v>
      </c>
      <c r="B282">
        <v>63.68</v>
      </c>
      <c r="C282">
        <v>282</v>
      </c>
      <c r="D282">
        <f t="shared" si="57"/>
        <v>-7.0000000000000284</v>
      </c>
      <c r="E282" s="1">
        <f t="shared" si="58"/>
        <v>-0.3200000000000216</v>
      </c>
      <c r="Q282">
        <v>281</v>
      </c>
      <c r="R282" s="4">
        <v>101.18</v>
      </c>
      <c r="S282" s="4">
        <f t="shared" si="49"/>
        <v>0</v>
      </c>
      <c r="T282" s="4">
        <v>-8.5</v>
      </c>
      <c r="U282" s="4">
        <f t="shared" si="60"/>
        <v>-0.30999999999999994</v>
      </c>
      <c r="AF282">
        <v>281</v>
      </c>
      <c r="AG282" s="4">
        <v>136.12</v>
      </c>
      <c r="AH282" s="4">
        <f t="shared" si="50"/>
        <v>0</v>
      </c>
      <c r="AI282" s="4">
        <v>-27.03</v>
      </c>
      <c r="AJ282" s="4">
        <f t="shared" si="52"/>
        <v>-1.1620000000000004</v>
      </c>
      <c r="AT282">
        <v>281</v>
      </c>
      <c r="AU282">
        <v>109.05</v>
      </c>
      <c r="AV282">
        <f t="shared" si="51"/>
        <v>0</v>
      </c>
      <c r="AW282">
        <v>-6.95</v>
      </c>
      <c r="AX282" s="1">
        <f t="shared" si="53"/>
        <v>97</v>
      </c>
      <c r="BH282">
        <v>281</v>
      </c>
      <c r="BI282">
        <v>161.91999999999999</v>
      </c>
      <c r="BJ282">
        <f t="shared" si="54"/>
        <v>0</v>
      </c>
      <c r="BK282">
        <v>-10.81</v>
      </c>
      <c r="BL282" s="1">
        <f t="shared" si="55"/>
        <v>140.31</v>
      </c>
      <c r="BT282">
        <v>281</v>
      </c>
      <c r="BU282">
        <v>156.75</v>
      </c>
      <c r="BV282">
        <f t="shared" si="56"/>
        <v>0</v>
      </c>
      <c r="BW282">
        <v>0</v>
      </c>
      <c r="BX282">
        <f t="shared" si="59"/>
        <v>146.584</v>
      </c>
      <c r="BY282" t="s">
        <v>0</v>
      </c>
    </row>
    <row r="283" spans="1:77" x14ac:dyDescent="0.25">
      <c r="A283">
        <v>283</v>
      </c>
      <c r="B283">
        <v>63.49</v>
      </c>
      <c r="C283">
        <v>283</v>
      </c>
      <c r="D283">
        <f t="shared" si="57"/>
        <v>-3.7999999999999545</v>
      </c>
      <c r="E283" s="1">
        <f t="shared" si="58"/>
        <v>0.64000000000001478</v>
      </c>
      <c r="Q283">
        <v>282</v>
      </c>
      <c r="R283" s="4">
        <v>100.83</v>
      </c>
      <c r="S283" s="4">
        <f t="shared" si="49"/>
        <v>0</v>
      </c>
      <c r="T283" s="4">
        <v>-6.95</v>
      </c>
      <c r="U283" s="4">
        <f t="shared" si="60"/>
        <v>0.30999999999999994</v>
      </c>
      <c r="AF283">
        <v>282</v>
      </c>
      <c r="AG283" s="4">
        <v>135.66</v>
      </c>
      <c r="AH283" s="4">
        <f t="shared" si="50"/>
        <v>0</v>
      </c>
      <c r="AI283" s="4">
        <v>-9.27</v>
      </c>
      <c r="AJ283" s="4">
        <f t="shared" si="52"/>
        <v>4.5520000000000005</v>
      </c>
      <c r="AT283">
        <v>282</v>
      </c>
      <c r="AU283">
        <v>108.59</v>
      </c>
      <c r="AV283">
        <f t="shared" si="51"/>
        <v>0</v>
      </c>
      <c r="AW283">
        <v>-9.27</v>
      </c>
      <c r="AX283" s="1">
        <f t="shared" si="53"/>
        <v>96.536000000000001</v>
      </c>
      <c r="BH283">
        <v>282</v>
      </c>
      <c r="BI283">
        <v>161.34</v>
      </c>
      <c r="BJ283">
        <f t="shared" si="54"/>
        <v>0</v>
      </c>
      <c r="BK283">
        <v>-11.59</v>
      </c>
      <c r="BL283" s="1">
        <f t="shared" si="55"/>
        <v>139.84399999999999</v>
      </c>
      <c r="BT283">
        <v>282</v>
      </c>
      <c r="BU283">
        <v>156.51</v>
      </c>
      <c r="BV283">
        <f t="shared" si="56"/>
        <v>0</v>
      </c>
      <c r="BW283">
        <v>-9.27</v>
      </c>
      <c r="BX283">
        <f t="shared" si="59"/>
        <v>150.292</v>
      </c>
      <c r="BY283" t="s">
        <v>0</v>
      </c>
    </row>
    <row r="284" spans="1:77" x14ac:dyDescent="0.25">
      <c r="A284">
        <v>284</v>
      </c>
      <c r="B284">
        <v>63.18</v>
      </c>
      <c r="C284">
        <v>284</v>
      </c>
      <c r="D284">
        <f t="shared" si="57"/>
        <v>-6.2000000000000455</v>
      </c>
      <c r="E284" s="1">
        <f t="shared" si="58"/>
        <v>-0.48000000000001819</v>
      </c>
      <c r="Q284">
        <v>283</v>
      </c>
      <c r="R284" s="4">
        <v>100.44</v>
      </c>
      <c r="S284" s="4">
        <f t="shared" si="49"/>
        <v>0</v>
      </c>
      <c r="T284" s="4">
        <v>-7.72</v>
      </c>
      <c r="U284" s="4">
        <f t="shared" si="60"/>
        <v>-0.15399999999999991</v>
      </c>
      <c r="AF284">
        <v>283</v>
      </c>
      <c r="AG284" s="4">
        <v>135.12</v>
      </c>
      <c r="AH284" s="4">
        <f t="shared" si="50"/>
        <v>0</v>
      </c>
      <c r="AI284" s="4">
        <v>-10.81</v>
      </c>
      <c r="AJ284" s="4">
        <f t="shared" si="52"/>
        <v>0.69199999999999984</v>
      </c>
      <c r="AT284">
        <v>283</v>
      </c>
      <c r="AU284">
        <v>108.24</v>
      </c>
      <c r="AV284">
        <f t="shared" si="51"/>
        <v>0</v>
      </c>
      <c r="AW284">
        <v>-6.95</v>
      </c>
      <c r="AX284" s="1">
        <f t="shared" si="53"/>
        <v>97.463999999999999</v>
      </c>
      <c r="BH284">
        <v>283</v>
      </c>
      <c r="BI284">
        <v>161.26</v>
      </c>
      <c r="BJ284">
        <f t="shared" si="54"/>
        <v>0</v>
      </c>
      <c r="BK284">
        <v>-1.54</v>
      </c>
      <c r="BL284" s="1">
        <f t="shared" si="55"/>
        <v>142.01</v>
      </c>
      <c r="BT284">
        <v>283</v>
      </c>
      <c r="BU284">
        <v>156.01</v>
      </c>
      <c r="BV284">
        <f t="shared" si="56"/>
        <v>0</v>
      </c>
      <c r="BW284">
        <v>-20.079999999999998</v>
      </c>
      <c r="BX284">
        <f t="shared" si="59"/>
        <v>149.67599999999999</v>
      </c>
      <c r="BY284" t="s">
        <v>0</v>
      </c>
    </row>
    <row r="285" spans="1:77" x14ac:dyDescent="0.25">
      <c r="A285">
        <v>285</v>
      </c>
      <c r="B285">
        <v>62.95</v>
      </c>
      <c r="C285">
        <v>285</v>
      </c>
      <c r="D285">
        <f t="shared" si="57"/>
        <v>-4.5999999999999375</v>
      </c>
      <c r="E285" s="1">
        <f t="shared" si="58"/>
        <v>0.3200000000000216</v>
      </c>
      <c r="Q285">
        <v>284</v>
      </c>
      <c r="R285" s="4">
        <v>100.21</v>
      </c>
      <c r="S285" s="4">
        <f t="shared" si="49"/>
        <v>0</v>
      </c>
      <c r="T285" s="4">
        <v>-4.63</v>
      </c>
      <c r="U285" s="4">
        <f t="shared" si="60"/>
        <v>0.61799999999999999</v>
      </c>
      <c r="AF285">
        <v>284</v>
      </c>
      <c r="AG285" s="4">
        <v>134.62</v>
      </c>
      <c r="AH285" s="4">
        <f t="shared" si="50"/>
        <v>0</v>
      </c>
      <c r="AI285" s="4">
        <v>-10.039999999999999</v>
      </c>
      <c r="AJ285" s="4">
        <f t="shared" si="52"/>
        <v>1.1540000000000004</v>
      </c>
      <c r="AT285">
        <v>284</v>
      </c>
      <c r="AU285">
        <v>108.01</v>
      </c>
      <c r="AV285">
        <f t="shared" si="51"/>
        <v>0</v>
      </c>
      <c r="AW285">
        <v>-4.63</v>
      </c>
      <c r="AX285" s="1">
        <f t="shared" si="53"/>
        <v>97.463999999999999</v>
      </c>
      <c r="BH285">
        <v>284</v>
      </c>
      <c r="BI285">
        <v>160.88</v>
      </c>
      <c r="BJ285">
        <f t="shared" si="54"/>
        <v>0</v>
      </c>
      <c r="BK285">
        <v>-7.72</v>
      </c>
      <c r="BL285" s="1">
        <f t="shared" si="55"/>
        <v>138.76400000000001</v>
      </c>
      <c r="BT285">
        <v>284</v>
      </c>
      <c r="BU285">
        <v>155.38999999999999</v>
      </c>
      <c r="BV285">
        <f t="shared" si="56"/>
        <v>0</v>
      </c>
      <c r="BW285">
        <v>-24.71</v>
      </c>
      <c r="BX285">
        <f t="shared" si="59"/>
        <v>152.148</v>
      </c>
      <c r="BY285" t="s">
        <v>0</v>
      </c>
    </row>
    <row r="286" spans="1:77" x14ac:dyDescent="0.25">
      <c r="A286">
        <v>286</v>
      </c>
      <c r="B286">
        <v>62.68</v>
      </c>
      <c r="C286">
        <v>286</v>
      </c>
      <c r="D286">
        <f t="shared" si="57"/>
        <v>-5.4000000000000625</v>
      </c>
      <c r="E286" s="1">
        <f t="shared" si="58"/>
        <v>-0.16000000000002501</v>
      </c>
      <c r="Q286">
        <v>285</v>
      </c>
      <c r="R286" s="4">
        <v>100.13</v>
      </c>
      <c r="S286" s="4">
        <f t="shared" si="49"/>
        <v>0</v>
      </c>
      <c r="T286" s="4">
        <v>-1.54</v>
      </c>
      <c r="U286" s="4">
        <f t="shared" si="60"/>
        <v>0.61799999999999999</v>
      </c>
      <c r="AF286">
        <v>285</v>
      </c>
      <c r="AG286" s="4">
        <v>134.22999999999999</v>
      </c>
      <c r="AH286" s="4">
        <f t="shared" si="50"/>
        <v>0</v>
      </c>
      <c r="AI286" s="4">
        <v>-7.72</v>
      </c>
      <c r="AJ286" s="4">
        <f t="shared" si="52"/>
        <v>1.464</v>
      </c>
      <c r="AT286">
        <v>285</v>
      </c>
      <c r="AU286">
        <v>108.17</v>
      </c>
      <c r="AV286">
        <f t="shared" si="51"/>
        <v>100.09</v>
      </c>
      <c r="AW286">
        <v>3.09</v>
      </c>
      <c r="AX286" s="1">
        <f t="shared" si="53"/>
        <v>98.543999999999997</v>
      </c>
      <c r="BH286">
        <v>285</v>
      </c>
      <c r="BI286">
        <v>160.26</v>
      </c>
      <c r="BJ286">
        <f t="shared" si="54"/>
        <v>0</v>
      </c>
      <c r="BK286">
        <v>-12.36</v>
      </c>
      <c r="BL286" s="1">
        <f t="shared" si="55"/>
        <v>139.072</v>
      </c>
      <c r="BT286">
        <v>285</v>
      </c>
      <c r="BU286">
        <v>154.82</v>
      </c>
      <c r="BV286">
        <f t="shared" si="56"/>
        <v>0</v>
      </c>
      <c r="BW286">
        <v>-23.17</v>
      </c>
      <c r="BX286">
        <f t="shared" si="59"/>
        <v>154.61599999999999</v>
      </c>
      <c r="BY286" t="s">
        <v>0</v>
      </c>
    </row>
    <row r="287" spans="1:77" x14ac:dyDescent="0.25">
      <c r="A287">
        <v>287</v>
      </c>
      <c r="B287">
        <v>62.37</v>
      </c>
      <c r="C287">
        <v>287</v>
      </c>
      <c r="D287">
        <f t="shared" si="57"/>
        <v>-6.2000000000000455</v>
      </c>
      <c r="E287" s="1">
        <f t="shared" si="58"/>
        <v>-0.15999999999999659</v>
      </c>
      <c r="Q287">
        <v>286</v>
      </c>
      <c r="R287" s="4">
        <v>100.25</v>
      </c>
      <c r="S287" s="4">
        <f t="shared" si="49"/>
        <v>2.3199999999999998</v>
      </c>
      <c r="T287" s="4">
        <v>2.3199999999999998</v>
      </c>
      <c r="U287" s="4">
        <f t="shared" si="60"/>
        <v>0.77200000000000002</v>
      </c>
      <c r="AF287">
        <v>286</v>
      </c>
      <c r="AG287" s="4">
        <v>133.72999999999999</v>
      </c>
      <c r="AH287" s="4">
        <f t="shared" si="50"/>
        <v>0</v>
      </c>
      <c r="AI287" s="4">
        <v>-10.039999999999999</v>
      </c>
      <c r="AJ287" s="4">
        <f t="shared" si="52"/>
        <v>0.53600000000000014</v>
      </c>
      <c r="AT287">
        <v>286</v>
      </c>
      <c r="AU287">
        <v>107.9</v>
      </c>
      <c r="AV287">
        <f t="shared" si="51"/>
        <v>0</v>
      </c>
      <c r="AW287">
        <v>-5.41</v>
      </c>
      <c r="AX287" s="1">
        <f t="shared" si="53"/>
        <v>95.3</v>
      </c>
      <c r="BH287">
        <v>286</v>
      </c>
      <c r="BI287">
        <v>159.76</v>
      </c>
      <c r="BJ287">
        <f t="shared" si="54"/>
        <v>0</v>
      </c>
      <c r="BK287">
        <v>-10.039999999999999</v>
      </c>
      <c r="BL287" s="1">
        <f t="shared" si="55"/>
        <v>140.464</v>
      </c>
      <c r="BT287">
        <v>286</v>
      </c>
      <c r="BU287">
        <v>154.54</v>
      </c>
      <c r="BV287">
        <f t="shared" si="56"/>
        <v>0</v>
      </c>
      <c r="BW287">
        <v>-10.81</v>
      </c>
      <c r="BX287">
        <f t="shared" si="59"/>
        <v>158.94399999999999</v>
      </c>
      <c r="BY287" t="s">
        <v>0</v>
      </c>
    </row>
    <row r="288" spans="1:77" x14ac:dyDescent="0.25">
      <c r="A288">
        <v>288</v>
      </c>
      <c r="B288">
        <v>62.79</v>
      </c>
      <c r="C288">
        <v>288</v>
      </c>
      <c r="D288">
        <f t="shared" si="57"/>
        <v>8.4000000000000341</v>
      </c>
      <c r="E288" s="1">
        <f t="shared" si="58"/>
        <v>2.9200000000000159</v>
      </c>
      <c r="Q288">
        <v>287</v>
      </c>
      <c r="R288" s="4">
        <v>100.21</v>
      </c>
      <c r="S288" s="4">
        <f t="shared" si="49"/>
        <v>0</v>
      </c>
      <c r="T288" s="4">
        <v>-0.77</v>
      </c>
      <c r="U288" s="4">
        <f t="shared" si="60"/>
        <v>-0.61799999999999999</v>
      </c>
      <c r="AF288">
        <v>287</v>
      </c>
      <c r="AG288" s="4">
        <v>133.34</v>
      </c>
      <c r="AH288" s="4">
        <f t="shared" si="50"/>
        <v>0</v>
      </c>
      <c r="AI288" s="4">
        <v>-7.72</v>
      </c>
      <c r="AJ288" s="4">
        <f t="shared" si="52"/>
        <v>1.464</v>
      </c>
      <c r="AT288">
        <v>287</v>
      </c>
      <c r="AU288">
        <v>107.12</v>
      </c>
      <c r="AV288">
        <f t="shared" si="51"/>
        <v>0</v>
      </c>
      <c r="AW288">
        <v>-15.45</v>
      </c>
      <c r="AX288" s="1">
        <f t="shared" si="53"/>
        <v>94.992000000000004</v>
      </c>
      <c r="BH288">
        <v>287</v>
      </c>
      <c r="BI288">
        <v>159.13999999999999</v>
      </c>
      <c r="BJ288">
        <f t="shared" si="54"/>
        <v>0</v>
      </c>
      <c r="BK288">
        <v>-12.36</v>
      </c>
      <c r="BL288" s="1">
        <f t="shared" si="55"/>
        <v>139.536</v>
      </c>
      <c r="BT288">
        <v>287</v>
      </c>
      <c r="BU288">
        <v>154.43</v>
      </c>
      <c r="BV288">
        <f t="shared" si="56"/>
        <v>0</v>
      </c>
      <c r="BW288">
        <v>-4.63</v>
      </c>
      <c r="BX288">
        <f t="shared" si="59"/>
        <v>156.47200000000001</v>
      </c>
      <c r="BY288" t="s">
        <v>0</v>
      </c>
    </row>
    <row r="289" spans="1:77" x14ac:dyDescent="0.25">
      <c r="A289">
        <v>289</v>
      </c>
      <c r="B289">
        <v>63.14</v>
      </c>
      <c r="C289">
        <v>289</v>
      </c>
      <c r="D289">
        <f t="shared" si="57"/>
        <v>7.0000000000000284</v>
      </c>
      <c r="E289" s="1">
        <f t="shared" si="58"/>
        <v>-0.28000000000000114</v>
      </c>
      <c r="Q289">
        <v>288</v>
      </c>
      <c r="R289" s="4">
        <v>99.9</v>
      </c>
      <c r="S289" s="4">
        <f t="shared" si="49"/>
        <v>0</v>
      </c>
      <c r="T289" s="4">
        <v>-6.18</v>
      </c>
      <c r="U289" s="4">
        <f t="shared" si="60"/>
        <v>-1.0820000000000001</v>
      </c>
      <c r="AF289">
        <v>288</v>
      </c>
      <c r="AG289" s="4">
        <v>132.96</v>
      </c>
      <c r="AH289" s="4">
        <f t="shared" si="50"/>
        <v>0</v>
      </c>
      <c r="AI289" s="4">
        <v>-7.72</v>
      </c>
      <c r="AJ289" s="4">
        <f t="shared" si="52"/>
        <v>1</v>
      </c>
      <c r="AT289">
        <v>288</v>
      </c>
      <c r="AU289">
        <v>106.7</v>
      </c>
      <c r="AV289">
        <f t="shared" si="51"/>
        <v>0</v>
      </c>
      <c r="AW289">
        <v>-8.5</v>
      </c>
      <c r="AX289" s="1">
        <f t="shared" si="53"/>
        <v>98.39</v>
      </c>
      <c r="BH289">
        <v>288</v>
      </c>
      <c r="BI289">
        <v>158.72</v>
      </c>
      <c r="BJ289">
        <f t="shared" si="54"/>
        <v>0</v>
      </c>
      <c r="BK289">
        <v>-8.5</v>
      </c>
      <c r="BL289" s="1">
        <f t="shared" si="55"/>
        <v>140.77199999999999</v>
      </c>
      <c r="BT289">
        <v>288</v>
      </c>
      <c r="BU289">
        <v>154.24</v>
      </c>
      <c r="BV289">
        <f t="shared" si="56"/>
        <v>0</v>
      </c>
      <c r="BW289">
        <v>-7.72</v>
      </c>
      <c r="BX289">
        <f t="shared" si="59"/>
        <v>152.76400000000001</v>
      </c>
      <c r="BY289" t="s">
        <v>0</v>
      </c>
    </row>
    <row r="290" spans="1:77" x14ac:dyDescent="0.25">
      <c r="A290">
        <v>290</v>
      </c>
      <c r="B290">
        <v>63.06</v>
      </c>
      <c r="C290">
        <v>290</v>
      </c>
      <c r="D290">
        <f t="shared" si="57"/>
        <v>-1.5999999999999659</v>
      </c>
      <c r="E290" s="1">
        <f t="shared" si="58"/>
        <v>-1.7199999999999989</v>
      </c>
      <c r="Q290">
        <v>289</v>
      </c>
      <c r="R290" s="4">
        <v>99.17</v>
      </c>
      <c r="S290" s="4">
        <f t="shared" si="49"/>
        <v>0</v>
      </c>
      <c r="T290" s="4">
        <v>-14.67</v>
      </c>
      <c r="U290" s="4">
        <f t="shared" si="60"/>
        <v>-1.698</v>
      </c>
      <c r="AF290">
        <v>289</v>
      </c>
      <c r="AG290" s="4">
        <v>132.41999999999999</v>
      </c>
      <c r="AH290" s="4">
        <f t="shared" si="50"/>
        <v>0</v>
      </c>
      <c r="AI290" s="4">
        <v>-10.81</v>
      </c>
      <c r="AJ290" s="4">
        <f t="shared" si="52"/>
        <v>0.3819999999999999</v>
      </c>
      <c r="AT290">
        <v>289</v>
      </c>
      <c r="AU290">
        <v>106.24</v>
      </c>
      <c r="AV290">
        <f t="shared" si="51"/>
        <v>0</v>
      </c>
      <c r="AW290">
        <v>-9.27</v>
      </c>
      <c r="AX290" s="1">
        <f t="shared" si="53"/>
        <v>96.846000000000004</v>
      </c>
      <c r="BH290">
        <v>289</v>
      </c>
      <c r="BI290">
        <v>158.16999999999999</v>
      </c>
      <c r="BJ290">
        <f t="shared" si="54"/>
        <v>0</v>
      </c>
      <c r="BK290">
        <v>-10.81</v>
      </c>
      <c r="BL290" s="1">
        <f t="shared" si="55"/>
        <v>139.53800000000001</v>
      </c>
      <c r="BT290">
        <v>289</v>
      </c>
      <c r="BU290">
        <v>154.16</v>
      </c>
      <c r="BV290">
        <f t="shared" si="56"/>
        <v>0</v>
      </c>
      <c r="BW290">
        <v>-3.09</v>
      </c>
      <c r="BX290">
        <f t="shared" si="59"/>
        <v>155.852</v>
      </c>
      <c r="BY290" t="s">
        <v>0</v>
      </c>
    </row>
    <row r="291" spans="1:77" x14ac:dyDescent="0.25">
      <c r="A291">
        <v>291</v>
      </c>
      <c r="B291">
        <v>62.87</v>
      </c>
      <c r="C291">
        <v>291</v>
      </c>
      <c r="D291">
        <f t="shared" si="57"/>
        <v>-3.8000000000000966</v>
      </c>
      <c r="E291" s="1">
        <f t="shared" si="58"/>
        <v>-0.44000000000002615</v>
      </c>
      <c r="Q291">
        <v>290</v>
      </c>
      <c r="R291" s="4">
        <v>98.59</v>
      </c>
      <c r="S291" s="4">
        <f t="shared" si="49"/>
        <v>0</v>
      </c>
      <c r="T291" s="4">
        <v>-11.58</v>
      </c>
      <c r="U291" s="4">
        <f t="shared" si="60"/>
        <v>0.61799999999999999</v>
      </c>
      <c r="AF291">
        <v>290</v>
      </c>
      <c r="AG291" s="5">
        <v>132.11000000000001</v>
      </c>
      <c r="AH291" s="4">
        <f t="shared" si="50"/>
        <v>0</v>
      </c>
      <c r="AI291" s="4">
        <v>-6.18</v>
      </c>
      <c r="AJ291" s="4">
        <f t="shared" si="52"/>
        <v>1.9260000000000002</v>
      </c>
      <c r="AT291">
        <v>290</v>
      </c>
      <c r="AU291">
        <v>105.81</v>
      </c>
      <c r="AV291">
        <f t="shared" si="51"/>
        <v>0</v>
      </c>
      <c r="AW291">
        <v>-8.5</v>
      </c>
      <c r="AX291" s="1">
        <f t="shared" si="53"/>
        <v>97.153999999999996</v>
      </c>
      <c r="BH291">
        <v>290</v>
      </c>
      <c r="BI291">
        <v>157.63</v>
      </c>
      <c r="BJ291">
        <f t="shared" si="54"/>
        <v>0</v>
      </c>
      <c r="BK291">
        <v>-10.81</v>
      </c>
      <c r="BL291" s="1">
        <f t="shared" si="55"/>
        <v>140</v>
      </c>
      <c r="BT291">
        <v>290</v>
      </c>
      <c r="BU291">
        <v>153.93</v>
      </c>
      <c r="BV291">
        <f t="shared" si="56"/>
        <v>0</v>
      </c>
      <c r="BW291">
        <v>-9.27</v>
      </c>
      <c r="BX291">
        <f t="shared" si="59"/>
        <v>151.52799999999999</v>
      </c>
      <c r="BY291" t="s">
        <v>0</v>
      </c>
    </row>
    <row r="292" spans="1:77" x14ac:dyDescent="0.25">
      <c r="A292">
        <v>292</v>
      </c>
      <c r="B292">
        <v>62.68</v>
      </c>
      <c r="C292">
        <v>292</v>
      </c>
      <c r="D292">
        <f t="shared" si="57"/>
        <v>-3.7999999999999545</v>
      </c>
      <c r="E292" s="1">
        <f t="shared" si="58"/>
        <v>2.8421709430404007E-14</v>
      </c>
      <c r="Q292">
        <v>291</v>
      </c>
      <c r="R292" s="4">
        <v>98.13</v>
      </c>
      <c r="S292" s="4">
        <f t="shared" si="49"/>
        <v>0</v>
      </c>
      <c r="T292" s="4">
        <v>-9.27</v>
      </c>
      <c r="U292" s="4">
        <f t="shared" si="60"/>
        <v>0.46200000000000008</v>
      </c>
      <c r="AF292">
        <v>291</v>
      </c>
      <c r="AG292" s="5">
        <v>132.22</v>
      </c>
      <c r="AH292" s="4">
        <f t="shared" si="50"/>
        <v>3.32</v>
      </c>
      <c r="AI292" s="4">
        <v>2.3199999999999998</v>
      </c>
      <c r="AJ292" s="4">
        <f t="shared" si="52"/>
        <v>2.7</v>
      </c>
      <c r="AT292">
        <v>291</v>
      </c>
      <c r="AU292">
        <v>105.58</v>
      </c>
      <c r="AV292">
        <f t="shared" si="51"/>
        <v>0</v>
      </c>
      <c r="AW292">
        <v>-4.63</v>
      </c>
      <c r="AX292" s="1">
        <f t="shared" si="53"/>
        <v>97.774000000000001</v>
      </c>
      <c r="BH292">
        <v>291</v>
      </c>
      <c r="BI292">
        <v>157.25</v>
      </c>
      <c r="BJ292">
        <f t="shared" si="54"/>
        <v>0</v>
      </c>
      <c r="BK292">
        <v>-7.72</v>
      </c>
      <c r="BL292" s="1">
        <f t="shared" si="55"/>
        <v>140.61799999999999</v>
      </c>
      <c r="BT292">
        <v>291</v>
      </c>
      <c r="BU292">
        <v>153.69999999999999</v>
      </c>
      <c r="BV292">
        <f t="shared" si="56"/>
        <v>0</v>
      </c>
      <c r="BW292">
        <v>-9.27</v>
      </c>
      <c r="BX292">
        <f t="shared" si="59"/>
        <v>154</v>
      </c>
      <c r="BY292" t="s">
        <v>0</v>
      </c>
    </row>
    <row r="293" spans="1:77" x14ac:dyDescent="0.25">
      <c r="A293">
        <v>293</v>
      </c>
      <c r="B293">
        <v>62.29</v>
      </c>
      <c r="C293">
        <v>293</v>
      </c>
      <c r="D293">
        <f t="shared" si="57"/>
        <v>-7.8000000000000114</v>
      </c>
      <c r="E293" s="1">
        <f t="shared" si="58"/>
        <v>-0.80000000000001137</v>
      </c>
      <c r="Q293">
        <v>292</v>
      </c>
      <c r="R293" s="4">
        <v>97.7</v>
      </c>
      <c r="S293" s="4">
        <f t="shared" si="49"/>
        <v>0</v>
      </c>
      <c r="T293" s="4">
        <v>-8.5</v>
      </c>
      <c r="U293" s="4">
        <f t="shared" si="60"/>
        <v>0.15399999999999991</v>
      </c>
      <c r="AF293">
        <v>292</v>
      </c>
      <c r="AG293" s="5">
        <v>133</v>
      </c>
      <c r="AH293" s="4">
        <f t="shared" si="50"/>
        <v>16.45</v>
      </c>
      <c r="AI293" s="4">
        <v>15.45</v>
      </c>
      <c r="AJ293" s="4">
        <f t="shared" si="52"/>
        <v>3.6259999999999999</v>
      </c>
      <c r="AT293">
        <v>292</v>
      </c>
      <c r="AU293">
        <v>105.12</v>
      </c>
      <c r="AV293">
        <f t="shared" si="51"/>
        <v>0</v>
      </c>
      <c r="AW293">
        <v>-9.27</v>
      </c>
      <c r="AX293" s="1">
        <f t="shared" si="53"/>
        <v>96.072000000000003</v>
      </c>
      <c r="BH293">
        <v>292</v>
      </c>
      <c r="BI293">
        <v>156.66999999999999</v>
      </c>
      <c r="BJ293">
        <f t="shared" si="54"/>
        <v>0</v>
      </c>
      <c r="BK293">
        <v>-11.59</v>
      </c>
      <c r="BL293" s="1">
        <f t="shared" si="55"/>
        <v>139.226</v>
      </c>
      <c r="BT293">
        <v>292</v>
      </c>
      <c r="BU293">
        <v>153.5</v>
      </c>
      <c r="BV293">
        <f t="shared" si="56"/>
        <v>0</v>
      </c>
      <c r="BW293">
        <v>-7.72</v>
      </c>
      <c r="BX293">
        <f t="shared" si="59"/>
        <v>154.62</v>
      </c>
      <c r="BY293" t="s">
        <v>0</v>
      </c>
    </row>
    <row r="294" spans="1:77" x14ac:dyDescent="0.25">
      <c r="A294">
        <v>294</v>
      </c>
      <c r="B294">
        <v>62.1</v>
      </c>
      <c r="C294">
        <v>294</v>
      </c>
      <c r="D294">
        <f t="shared" si="57"/>
        <v>-3.7999999999999545</v>
      </c>
      <c r="E294" s="1">
        <f t="shared" si="58"/>
        <v>0.80000000000001137</v>
      </c>
      <c r="Q294">
        <v>293</v>
      </c>
      <c r="R294" s="4">
        <v>97.35</v>
      </c>
      <c r="S294" s="4">
        <f t="shared" si="49"/>
        <v>0</v>
      </c>
      <c r="T294" s="4">
        <v>-6.95</v>
      </c>
      <c r="U294" s="4">
        <f t="shared" si="60"/>
        <v>0.30999999999999994</v>
      </c>
      <c r="AF294">
        <v>293</v>
      </c>
      <c r="AG294" s="4">
        <v>132.76</v>
      </c>
      <c r="AH294" s="4">
        <f t="shared" si="50"/>
        <v>0</v>
      </c>
      <c r="AI294" s="4">
        <v>-4.63</v>
      </c>
      <c r="AJ294" s="4">
        <f t="shared" si="52"/>
        <v>-3.016</v>
      </c>
      <c r="AT294">
        <v>293</v>
      </c>
      <c r="AU294">
        <v>104.73</v>
      </c>
      <c r="AV294">
        <f t="shared" si="51"/>
        <v>0</v>
      </c>
      <c r="AW294">
        <v>-7.72</v>
      </c>
      <c r="AX294" s="1">
        <f t="shared" si="53"/>
        <v>97.31</v>
      </c>
      <c r="BH294">
        <v>293</v>
      </c>
      <c r="BI294">
        <v>156.21</v>
      </c>
      <c r="BJ294">
        <f t="shared" si="54"/>
        <v>0</v>
      </c>
      <c r="BK294">
        <v>-9.27</v>
      </c>
      <c r="BL294" s="1">
        <f t="shared" si="55"/>
        <v>140.464</v>
      </c>
      <c r="BT294">
        <v>293</v>
      </c>
      <c r="BU294">
        <v>153.22999999999999</v>
      </c>
      <c r="BV294">
        <f t="shared" si="56"/>
        <v>0</v>
      </c>
      <c r="BW294">
        <v>-10.81</v>
      </c>
      <c r="BX294">
        <f t="shared" si="59"/>
        <v>152.76400000000001</v>
      </c>
      <c r="BY294" t="s">
        <v>0</v>
      </c>
    </row>
    <row r="295" spans="1:77" x14ac:dyDescent="0.25">
      <c r="A295">
        <v>295</v>
      </c>
      <c r="B295">
        <v>61.86</v>
      </c>
      <c r="C295">
        <v>295</v>
      </c>
      <c r="D295">
        <f t="shared" si="57"/>
        <v>-4.8000000000000398</v>
      </c>
      <c r="E295" s="1">
        <f t="shared" si="58"/>
        <v>-0.20000000000001705</v>
      </c>
      <c r="Q295">
        <v>294</v>
      </c>
      <c r="R295" s="4">
        <v>96.97</v>
      </c>
      <c r="S295" s="4">
        <f t="shared" si="49"/>
        <v>0</v>
      </c>
      <c r="T295" s="4">
        <v>-7.72</v>
      </c>
      <c r="U295" s="4">
        <f t="shared" si="60"/>
        <v>-0.15399999999999991</v>
      </c>
      <c r="AF295">
        <v>294</v>
      </c>
      <c r="AG295" s="4">
        <v>132.34</v>
      </c>
      <c r="AH295" s="4">
        <f t="shared" si="50"/>
        <v>0</v>
      </c>
      <c r="AI295" s="4">
        <v>-8.5</v>
      </c>
      <c r="AJ295" s="4">
        <f t="shared" si="52"/>
        <v>0.22599999999999998</v>
      </c>
      <c r="AT295">
        <v>294</v>
      </c>
      <c r="AU295">
        <v>104.3</v>
      </c>
      <c r="AV295">
        <f t="shared" si="51"/>
        <v>0</v>
      </c>
      <c r="AW295">
        <v>-8.5</v>
      </c>
      <c r="AX295" s="1">
        <f t="shared" si="53"/>
        <v>96.843999999999994</v>
      </c>
      <c r="BH295">
        <v>294</v>
      </c>
      <c r="BI295">
        <v>155.82</v>
      </c>
      <c r="BJ295">
        <f t="shared" si="54"/>
        <v>0</v>
      </c>
      <c r="BK295">
        <v>-7.72</v>
      </c>
      <c r="BL295" s="1">
        <f t="shared" si="55"/>
        <v>140.31</v>
      </c>
      <c r="BT295">
        <v>294</v>
      </c>
      <c r="BU295">
        <v>152.96</v>
      </c>
      <c r="BV295">
        <f t="shared" si="56"/>
        <v>0</v>
      </c>
      <c r="BW295">
        <v>-10.81</v>
      </c>
      <c r="BX295">
        <f t="shared" si="59"/>
        <v>154</v>
      </c>
      <c r="BY295" t="s">
        <v>0</v>
      </c>
    </row>
    <row r="296" spans="1:77" x14ac:dyDescent="0.25">
      <c r="A296">
        <v>296</v>
      </c>
      <c r="B296">
        <v>61.67</v>
      </c>
      <c r="C296">
        <v>296</v>
      </c>
      <c r="D296">
        <f t="shared" si="57"/>
        <v>-3.7999999999999545</v>
      </c>
      <c r="E296" s="1">
        <f t="shared" si="58"/>
        <v>0.20000000000001705</v>
      </c>
      <c r="Q296">
        <v>295</v>
      </c>
      <c r="R296" s="4">
        <v>96.74</v>
      </c>
      <c r="S296" s="4">
        <f t="shared" si="49"/>
        <v>0</v>
      </c>
      <c r="T296" s="4">
        <v>-4.63</v>
      </c>
      <c r="U296" s="4">
        <f t="shared" si="60"/>
        <v>0.61799999999999999</v>
      </c>
      <c r="AF296">
        <v>295</v>
      </c>
      <c r="AG296" s="4">
        <v>131.30000000000001</v>
      </c>
      <c r="AH296" s="4">
        <f t="shared" si="50"/>
        <v>0</v>
      </c>
      <c r="AI296" s="4">
        <v>-20.85</v>
      </c>
      <c r="AJ296" s="4">
        <f t="shared" si="52"/>
        <v>-1.4700000000000002</v>
      </c>
      <c r="AT296">
        <v>295</v>
      </c>
      <c r="AU296">
        <v>103.96</v>
      </c>
      <c r="AV296">
        <f t="shared" si="51"/>
        <v>0</v>
      </c>
      <c r="AW296">
        <v>-6.95</v>
      </c>
      <c r="AX296" s="1">
        <f t="shared" si="53"/>
        <v>97.31</v>
      </c>
      <c r="BH296">
        <v>295</v>
      </c>
      <c r="BI296">
        <v>155.43</v>
      </c>
      <c r="BJ296">
        <f t="shared" si="54"/>
        <v>0</v>
      </c>
      <c r="BK296">
        <v>-7.72</v>
      </c>
      <c r="BL296" s="1">
        <f t="shared" si="55"/>
        <v>140</v>
      </c>
      <c r="BT296">
        <v>295</v>
      </c>
      <c r="BU296">
        <v>152.81</v>
      </c>
      <c r="BV296">
        <f t="shared" si="56"/>
        <v>0</v>
      </c>
      <c r="BW296">
        <v>-6.18</v>
      </c>
      <c r="BX296">
        <f t="shared" si="59"/>
        <v>155.852</v>
      </c>
      <c r="BY296" t="s">
        <v>0</v>
      </c>
    </row>
    <row r="297" spans="1:77" x14ac:dyDescent="0.25">
      <c r="A297">
        <v>297</v>
      </c>
      <c r="B297">
        <v>61.48</v>
      </c>
      <c r="C297">
        <v>297</v>
      </c>
      <c r="D297">
        <f t="shared" si="57"/>
        <v>-3.8000000000000966</v>
      </c>
      <c r="E297" s="1">
        <f t="shared" si="58"/>
        <v>-2.8421709430404007E-14</v>
      </c>
      <c r="Q297">
        <v>296</v>
      </c>
      <c r="R297" s="4">
        <v>96.35</v>
      </c>
      <c r="S297" s="4">
        <f t="shared" si="49"/>
        <v>0</v>
      </c>
      <c r="T297" s="4">
        <v>-7.72</v>
      </c>
      <c r="U297" s="4">
        <f t="shared" si="60"/>
        <v>-0.61799999999999999</v>
      </c>
      <c r="AF297">
        <v>296</v>
      </c>
      <c r="AG297" s="4">
        <v>130.06</v>
      </c>
      <c r="AH297" s="4">
        <f t="shared" si="50"/>
        <v>0</v>
      </c>
      <c r="AI297" s="4">
        <v>-24.71</v>
      </c>
      <c r="AJ297" s="4">
        <f t="shared" si="52"/>
        <v>0.22800000000000009</v>
      </c>
      <c r="AT297">
        <v>296</v>
      </c>
      <c r="AU297">
        <v>103.57</v>
      </c>
      <c r="AV297">
        <f t="shared" si="51"/>
        <v>0</v>
      </c>
      <c r="AW297">
        <v>-7.72</v>
      </c>
      <c r="AX297" s="1">
        <f t="shared" si="53"/>
        <v>96.846000000000004</v>
      </c>
      <c r="BH297">
        <v>296</v>
      </c>
      <c r="BI297">
        <v>155.47</v>
      </c>
      <c r="BJ297">
        <f t="shared" si="54"/>
        <v>140.77000000000001</v>
      </c>
      <c r="BK297">
        <v>0.77</v>
      </c>
      <c r="BL297" s="1">
        <f t="shared" si="55"/>
        <v>141.69800000000001</v>
      </c>
      <c r="BT297">
        <v>296</v>
      </c>
      <c r="BU297">
        <v>152.69</v>
      </c>
      <c r="BV297">
        <f t="shared" si="56"/>
        <v>0</v>
      </c>
      <c r="BW297">
        <v>-4.63</v>
      </c>
      <c r="BX297">
        <f t="shared" si="59"/>
        <v>154.62</v>
      </c>
      <c r="BY297" t="s">
        <v>0</v>
      </c>
    </row>
    <row r="298" spans="1:77" x14ac:dyDescent="0.25">
      <c r="A298">
        <v>298</v>
      </c>
      <c r="B298">
        <v>61.13</v>
      </c>
      <c r="C298">
        <v>298</v>
      </c>
      <c r="D298">
        <f t="shared" si="57"/>
        <v>-6.9999999999998863</v>
      </c>
      <c r="E298" s="1">
        <f t="shared" si="58"/>
        <v>-0.63999999999995794</v>
      </c>
      <c r="Q298">
        <v>297</v>
      </c>
      <c r="R298" s="4">
        <v>96</v>
      </c>
      <c r="S298" s="4">
        <f t="shared" si="49"/>
        <v>0</v>
      </c>
      <c r="T298" s="4">
        <v>-6.95</v>
      </c>
      <c r="U298" s="4">
        <f t="shared" si="60"/>
        <v>0.15399999999999991</v>
      </c>
      <c r="AF298">
        <v>297</v>
      </c>
      <c r="AG298" s="4">
        <v>129.52000000000001</v>
      </c>
      <c r="AH298" s="4">
        <f t="shared" si="50"/>
        <v>0</v>
      </c>
      <c r="AI298" s="4">
        <v>-10.81</v>
      </c>
      <c r="AJ298" s="4">
        <f t="shared" si="52"/>
        <v>3.7800000000000002</v>
      </c>
      <c r="AT298">
        <v>297</v>
      </c>
      <c r="AU298">
        <v>103.18</v>
      </c>
      <c r="AV298">
        <f t="shared" si="51"/>
        <v>0</v>
      </c>
      <c r="AW298">
        <v>-7.72</v>
      </c>
      <c r="AX298" s="1">
        <f t="shared" si="53"/>
        <v>97</v>
      </c>
      <c r="BH298">
        <v>297</v>
      </c>
      <c r="BI298">
        <v>155.19999999999999</v>
      </c>
      <c r="BJ298">
        <f t="shared" si="54"/>
        <v>0</v>
      </c>
      <c r="BK298">
        <v>-5.41</v>
      </c>
      <c r="BL298" s="1">
        <f t="shared" si="55"/>
        <v>138.76400000000001</v>
      </c>
      <c r="BT298">
        <v>297</v>
      </c>
      <c r="BU298" s="2">
        <v>152.5</v>
      </c>
      <c r="BV298">
        <f t="shared" si="56"/>
        <v>0</v>
      </c>
      <c r="BW298">
        <v>-7.72</v>
      </c>
      <c r="BX298">
        <f t="shared" si="59"/>
        <v>152.76400000000001</v>
      </c>
      <c r="BY298" t="s">
        <v>0</v>
      </c>
    </row>
    <row r="299" spans="1:77" x14ac:dyDescent="0.25">
      <c r="A299">
        <v>299</v>
      </c>
      <c r="B299">
        <v>60.9</v>
      </c>
      <c r="C299">
        <v>299</v>
      </c>
      <c r="D299">
        <f t="shared" si="57"/>
        <v>-4.6000000000000796</v>
      </c>
      <c r="E299" s="1">
        <f t="shared" si="58"/>
        <v>0.47999999999996135</v>
      </c>
      <c r="Q299">
        <v>298</v>
      </c>
      <c r="R299" s="4">
        <v>95.62</v>
      </c>
      <c r="S299" s="4">
        <f t="shared" si="49"/>
        <v>0</v>
      </c>
      <c r="T299" s="4">
        <v>-7.72</v>
      </c>
      <c r="U299" s="4">
        <f t="shared" si="60"/>
        <v>-0.15399999999999991</v>
      </c>
      <c r="AF299">
        <v>298</v>
      </c>
      <c r="AG299" s="4">
        <v>129.1</v>
      </c>
      <c r="AH299" s="4">
        <f t="shared" si="50"/>
        <v>0</v>
      </c>
      <c r="AI299" s="4">
        <v>-8.5</v>
      </c>
      <c r="AJ299" s="4">
        <f t="shared" si="52"/>
        <v>1.4620000000000002</v>
      </c>
      <c r="AT299">
        <v>298</v>
      </c>
      <c r="AU299">
        <v>102.88</v>
      </c>
      <c r="AV299">
        <f t="shared" si="51"/>
        <v>0</v>
      </c>
      <c r="AW299">
        <v>-6.18</v>
      </c>
      <c r="AX299" s="1">
        <f t="shared" si="53"/>
        <v>97.308000000000007</v>
      </c>
      <c r="BH299">
        <v>298</v>
      </c>
      <c r="BI299">
        <v>154.69999999999999</v>
      </c>
      <c r="BJ299">
        <f t="shared" si="54"/>
        <v>0</v>
      </c>
      <c r="BK299">
        <v>-10.039999999999999</v>
      </c>
      <c r="BL299" s="1">
        <f t="shared" si="55"/>
        <v>139.07400000000001</v>
      </c>
      <c r="BT299">
        <v>298</v>
      </c>
      <c r="BU299" s="2">
        <v>152.65</v>
      </c>
      <c r="BV299">
        <f t="shared" si="56"/>
        <v>160.18</v>
      </c>
      <c r="BW299">
        <v>6.18</v>
      </c>
      <c r="BX299">
        <f t="shared" si="59"/>
        <v>159.56</v>
      </c>
      <c r="BY299" t="s">
        <v>0</v>
      </c>
    </row>
    <row r="300" spans="1:77" x14ac:dyDescent="0.25">
      <c r="A300">
        <v>300</v>
      </c>
      <c r="B300">
        <v>60.71</v>
      </c>
      <c r="C300">
        <v>300</v>
      </c>
      <c r="D300">
        <f t="shared" si="57"/>
        <v>-3.7999999999999545</v>
      </c>
      <c r="E300" s="1">
        <f t="shared" si="58"/>
        <v>0.16000000000002501</v>
      </c>
      <c r="Q300">
        <v>299</v>
      </c>
      <c r="R300" s="4">
        <v>95.62</v>
      </c>
      <c r="S300" s="4">
        <f t="shared" si="49"/>
        <v>0</v>
      </c>
      <c r="T300" s="4">
        <v>0</v>
      </c>
      <c r="U300" s="4">
        <f t="shared" si="60"/>
        <v>1.544</v>
      </c>
      <c r="AF300">
        <v>299</v>
      </c>
      <c r="AG300" s="4">
        <v>128.63</v>
      </c>
      <c r="AH300" s="4">
        <f t="shared" si="50"/>
        <v>0</v>
      </c>
      <c r="AI300" s="4">
        <v>-9.27</v>
      </c>
      <c r="AJ300" s="4">
        <f t="shared" si="52"/>
        <v>0.84600000000000009</v>
      </c>
      <c r="AT300">
        <v>299</v>
      </c>
      <c r="AU300">
        <v>102.41</v>
      </c>
      <c r="AV300">
        <f t="shared" si="51"/>
        <v>0</v>
      </c>
      <c r="AW300">
        <v>-9.27</v>
      </c>
      <c r="AX300" s="1">
        <f t="shared" si="53"/>
        <v>96.382000000000005</v>
      </c>
      <c r="BH300">
        <v>299</v>
      </c>
      <c r="BI300">
        <v>154.19999999999999</v>
      </c>
      <c r="BJ300">
        <f t="shared" si="54"/>
        <v>0</v>
      </c>
      <c r="BK300">
        <v>-10.039999999999999</v>
      </c>
      <c r="BL300" s="1">
        <f t="shared" si="55"/>
        <v>140</v>
      </c>
      <c r="BT300">
        <v>299</v>
      </c>
      <c r="BU300" s="2">
        <v>153.22999999999999</v>
      </c>
      <c r="BV300">
        <f t="shared" si="56"/>
        <v>177.17000000000002</v>
      </c>
      <c r="BW300">
        <v>23.17</v>
      </c>
      <c r="BX300">
        <f t="shared" si="59"/>
        <v>160.79599999999999</v>
      </c>
      <c r="BY300" t="s">
        <v>0</v>
      </c>
    </row>
    <row r="301" spans="1:77" x14ac:dyDescent="0.25">
      <c r="A301">
        <v>301</v>
      </c>
      <c r="B301">
        <v>60.51</v>
      </c>
      <c r="C301">
        <v>301</v>
      </c>
      <c r="D301">
        <f t="shared" si="57"/>
        <v>-4.0000000000000568</v>
      </c>
      <c r="E301" s="1">
        <f t="shared" si="58"/>
        <v>-4.0000000000020464E-2</v>
      </c>
      <c r="Q301">
        <v>300</v>
      </c>
      <c r="R301" s="4">
        <v>95.96</v>
      </c>
      <c r="S301" s="4">
        <f t="shared" si="49"/>
        <v>6.95</v>
      </c>
      <c r="T301" s="4">
        <v>6.95</v>
      </c>
      <c r="U301" s="4">
        <f t="shared" si="60"/>
        <v>1.3900000000000001</v>
      </c>
      <c r="AF301">
        <v>300</v>
      </c>
      <c r="AG301" s="4">
        <v>128.13</v>
      </c>
      <c r="AH301" s="4">
        <f t="shared" si="50"/>
        <v>0</v>
      </c>
      <c r="AI301" s="4">
        <v>-10.039999999999999</v>
      </c>
      <c r="AJ301" s="4">
        <f t="shared" si="52"/>
        <v>0.84600000000000009</v>
      </c>
      <c r="AT301">
        <v>300</v>
      </c>
      <c r="AU301">
        <v>102.14</v>
      </c>
      <c r="AV301">
        <f t="shared" si="51"/>
        <v>0</v>
      </c>
      <c r="AW301">
        <v>-5.41</v>
      </c>
      <c r="AX301" s="1">
        <f t="shared" si="53"/>
        <v>97.772000000000006</v>
      </c>
      <c r="BH301">
        <v>300</v>
      </c>
      <c r="BI301">
        <v>153.54</v>
      </c>
      <c r="BJ301">
        <f t="shared" si="54"/>
        <v>0</v>
      </c>
      <c r="BK301">
        <v>-13.13</v>
      </c>
      <c r="BL301" s="1">
        <f t="shared" si="55"/>
        <v>139.38200000000001</v>
      </c>
      <c r="BT301">
        <v>300</v>
      </c>
      <c r="BU301" s="2">
        <v>153.69999999999999</v>
      </c>
      <c r="BV301">
        <f t="shared" si="56"/>
        <v>172.54</v>
      </c>
      <c r="BW301">
        <v>18.54</v>
      </c>
      <c r="BX301">
        <f t="shared" si="59"/>
        <v>152.148</v>
      </c>
      <c r="BY301" t="s">
        <v>0</v>
      </c>
    </row>
    <row r="302" spans="1:77" x14ac:dyDescent="0.25">
      <c r="A302">
        <v>302</v>
      </c>
      <c r="B302">
        <v>60.24</v>
      </c>
      <c r="C302">
        <v>302</v>
      </c>
      <c r="D302">
        <f t="shared" si="57"/>
        <v>-5.3999999999999204</v>
      </c>
      <c r="E302" s="1">
        <f t="shared" si="58"/>
        <v>-0.27999999999997272</v>
      </c>
      <c r="Q302">
        <v>301</v>
      </c>
      <c r="R302" s="4">
        <v>95.96</v>
      </c>
      <c r="S302" s="4">
        <f t="shared" si="49"/>
        <v>0</v>
      </c>
      <c r="T302" s="4">
        <v>0</v>
      </c>
      <c r="U302" s="4">
        <f t="shared" si="60"/>
        <v>-1.3900000000000001</v>
      </c>
      <c r="AF302">
        <v>301</v>
      </c>
      <c r="AG302" s="4">
        <v>127.71</v>
      </c>
      <c r="AH302" s="4">
        <f t="shared" si="50"/>
        <v>0</v>
      </c>
      <c r="AI302" s="4">
        <v>-8.5</v>
      </c>
      <c r="AJ302" s="4">
        <f t="shared" si="52"/>
        <v>1.3079999999999998</v>
      </c>
      <c r="AT302">
        <v>301</v>
      </c>
      <c r="AU302">
        <v>101.79</v>
      </c>
      <c r="AV302">
        <f t="shared" si="51"/>
        <v>0</v>
      </c>
      <c r="AW302">
        <v>-6.95</v>
      </c>
      <c r="AX302" s="1">
        <f t="shared" si="53"/>
        <v>96.691999999999993</v>
      </c>
      <c r="BH302">
        <v>301</v>
      </c>
      <c r="BI302">
        <v>153.12</v>
      </c>
      <c r="BJ302">
        <f t="shared" si="54"/>
        <v>0</v>
      </c>
      <c r="BK302">
        <v>-8.5</v>
      </c>
      <c r="BL302" s="1">
        <f t="shared" si="55"/>
        <v>140.92599999999999</v>
      </c>
      <c r="BT302">
        <v>301</v>
      </c>
      <c r="BU302" s="2">
        <v>153.81</v>
      </c>
      <c r="BV302">
        <f t="shared" si="56"/>
        <v>158.63</v>
      </c>
      <c r="BW302">
        <v>4.63</v>
      </c>
      <c r="BX302">
        <f t="shared" si="59"/>
        <v>148.43600000000001</v>
      </c>
      <c r="BY302" t="s">
        <v>0</v>
      </c>
    </row>
    <row r="303" spans="1:77" x14ac:dyDescent="0.25">
      <c r="A303">
        <v>303</v>
      </c>
      <c r="B303">
        <v>60.09</v>
      </c>
      <c r="C303">
        <v>303</v>
      </c>
      <c r="D303">
        <f t="shared" si="57"/>
        <v>-2.9999999999999716</v>
      </c>
      <c r="E303" s="1">
        <f t="shared" si="58"/>
        <v>0.47999999999998977</v>
      </c>
      <c r="Q303">
        <v>302</v>
      </c>
      <c r="R303" s="4">
        <v>95.62</v>
      </c>
      <c r="S303" s="4">
        <f t="shared" si="49"/>
        <v>0</v>
      </c>
      <c r="T303" s="4">
        <v>-6.95</v>
      </c>
      <c r="U303" s="4">
        <f t="shared" si="60"/>
        <v>-1.3900000000000001</v>
      </c>
      <c r="AF303">
        <v>302</v>
      </c>
      <c r="AG303" s="4">
        <v>127.28</v>
      </c>
      <c r="AH303" s="4">
        <f t="shared" si="50"/>
        <v>0</v>
      </c>
      <c r="AI303" s="4">
        <v>-8.5</v>
      </c>
      <c r="AJ303" s="4">
        <f t="shared" si="52"/>
        <v>1</v>
      </c>
      <c r="AT303">
        <v>302</v>
      </c>
      <c r="AU303">
        <v>101.33</v>
      </c>
      <c r="AV303">
        <f t="shared" si="51"/>
        <v>0</v>
      </c>
      <c r="AW303">
        <v>-9.27</v>
      </c>
      <c r="AX303" s="1">
        <f t="shared" si="53"/>
        <v>96.536000000000001</v>
      </c>
      <c r="BH303">
        <v>302</v>
      </c>
      <c r="BI303">
        <v>152.69</v>
      </c>
      <c r="BJ303">
        <f t="shared" si="54"/>
        <v>0</v>
      </c>
      <c r="BK303">
        <v>-8.5</v>
      </c>
      <c r="BL303" s="1">
        <f t="shared" si="55"/>
        <v>140</v>
      </c>
      <c r="BT303">
        <v>302</v>
      </c>
      <c r="BU303">
        <v>153.58000000000001</v>
      </c>
      <c r="BV303">
        <f t="shared" si="56"/>
        <v>0</v>
      </c>
      <c r="BW303">
        <v>-9.27</v>
      </c>
      <c r="BX303">
        <f t="shared" si="59"/>
        <v>148.44</v>
      </c>
      <c r="BY303" t="s">
        <v>0</v>
      </c>
    </row>
    <row r="304" spans="1:77" x14ac:dyDescent="0.25">
      <c r="A304">
        <v>304</v>
      </c>
      <c r="B304">
        <v>59.78</v>
      </c>
      <c r="C304">
        <v>304</v>
      </c>
      <c r="D304">
        <f t="shared" si="57"/>
        <v>-6.2000000000000455</v>
      </c>
      <c r="E304" s="1">
        <f t="shared" si="58"/>
        <v>-0.64000000000001478</v>
      </c>
      <c r="Q304">
        <v>303</v>
      </c>
      <c r="R304" s="4">
        <v>95.19</v>
      </c>
      <c r="S304" s="4">
        <f t="shared" si="49"/>
        <v>0</v>
      </c>
      <c r="T304" s="4">
        <v>-8.5</v>
      </c>
      <c r="U304" s="4">
        <f t="shared" si="60"/>
        <v>-0.30999999999999994</v>
      </c>
      <c r="AF304">
        <v>303</v>
      </c>
      <c r="AG304" s="4">
        <v>126.86</v>
      </c>
      <c r="AH304" s="4">
        <f t="shared" si="50"/>
        <v>0</v>
      </c>
      <c r="AI304" s="4">
        <v>-8.5</v>
      </c>
      <c r="AJ304" s="4">
        <f t="shared" si="52"/>
        <v>1</v>
      </c>
      <c r="AT304">
        <v>303</v>
      </c>
      <c r="AU304">
        <v>100.94</v>
      </c>
      <c r="AV304">
        <f t="shared" si="51"/>
        <v>0</v>
      </c>
      <c r="AW304">
        <v>-7.72</v>
      </c>
      <c r="AX304" s="1">
        <f t="shared" si="53"/>
        <v>97.31</v>
      </c>
      <c r="BH304">
        <v>303</v>
      </c>
      <c r="BI304">
        <v>152.27000000000001</v>
      </c>
      <c r="BJ304">
        <f t="shared" si="54"/>
        <v>0</v>
      </c>
      <c r="BK304">
        <v>-8.5</v>
      </c>
      <c r="BL304" s="1">
        <f t="shared" si="55"/>
        <v>140</v>
      </c>
      <c r="BT304">
        <v>303</v>
      </c>
      <c r="BU304">
        <v>153</v>
      </c>
      <c r="BV304">
        <f t="shared" si="56"/>
        <v>0</v>
      </c>
      <c r="BW304">
        <v>-23.17</v>
      </c>
      <c r="BX304">
        <f t="shared" si="59"/>
        <v>148.44</v>
      </c>
      <c r="BY304" t="s">
        <v>0</v>
      </c>
    </row>
    <row r="305" spans="1:77" x14ac:dyDescent="0.25">
      <c r="A305">
        <v>305</v>
      </c>
      <c r="B305">
        <v>59.59</v>
      </c>
      <c r="C305">
        <v>305</v>
      </c>
      <c r="D305">
        <f t="shared" si="57"/>
        <v>-3.7999999999999545</v>
      </c>
      <c r="E305" s="1">
        <f t="shared" si="58"/>
        <v>0.48000000000001819</v>
      </c>
      <c r="Q305">
        <v>304</v>
      </c>
      <c r="R305" s="4">
        <v>94.61</v>
      </c>
      <c r="S305" s="4">
        <f t="shared" si="49"/>
        <v>0</v>
      </c>
      <c r="T305" s="4">
        <v>-11.58</v>
      </c>
      <c r="U305" s="4">
        <f t="shared" si="60"/>
        <v>-0.61599999999999999</v>
      </c>
      <c r="AF305">
        <v>304</v>
      </c>
      <c r="AG305" s="4">
        <v>126.39</v>
      </c>
      <c r="AH305" s="4">
        <f t="shared" si="50"/>
        <v>0</v>
      </c>
      <c r="AI305" s="4">
        <v>-9.27</v>
      </c>
      <c r="AJ305" s="4">
        <f t="shared" si="52"/>
        <v>0.84600000000000009</v>
      </c>
      <c r="AT305">
        <v>304</v>
      </c>
      <c r="AU305">
        <v>100.67</v>
      </c>
      <c r="AV305">
        <f t="shared" si="51"/>
        <v>0</v>
      </c>
      <c r="AW305">
        <v>-5.41</v>
      </c>
      <c r="AX305" s="1">
        <f t="shared" si="53"/>
        <v>97.462000000000003</v>
      </c>
      <c r="BH305">
        <v>304</v>
      </c>
      <c r="BI305">
        <v>151.72999999999999</v>
      </c>
      <c r="BJ305">
        <f t="shared" si="54"/>
        <v>0</v>
      </c>
      <c r="BK305">
        <v>-10.81</v>
      </c>
      <c r="BL305" s="1">
        <f t="shared" si="55"/>
        <v>139.53800000000001</v>
      </c>
      <c r="BT305">
        <v>304</v>
      </c>
      <c r="BU305">
        <v>152.41999999999999</v>
      </c>
      <c r="BV305">
        <f t="shared" si="56"/>
        <v>0</v>
      </c>
      <c r="BW305">
        <v>-23.17</v>
      </c>
      <c r="BX305">
        <f t="shared" si="59"/>
        <v>154</v>
      </c>
      <c r="BY305" t="s">
        <v>0</v>
      </c>
    </row>
    <row r="306" spans="1:77" x14ac:dyDescent="0.25">
      <c r="A306">
        <v>306</v>
      </c>
      <c r="B306">
        <v>59.39</v>
      </c>
      <c r="C306">
        <v>306</v>
      </c>
      <c r="D306">
        <f t="shared" si="57"/>
        <v>-4.0000000000000568</v>
      </c>
      <c r="E306" s="1">
        <f t="shared" si="58"/>
        <v>-4.0000000000020464E-2</v>
      </c>
      <c r="Q306">
        <v>305</v>
      </c>
      <c r="R306" s="4">
        <v>94.07</v>
      </c>
      <c r="S306" s="4">
        <f t="shared" si="49"/>
        <v>0</v>
      </c>
      <c r="T306" s="4">
        <v>-10.81</v>
      </c>
      <c r="U306" s="4">
        <f t="shared" si="60"/>
        <v>0.15399999999999991</v>
      </c>
      <c r="AF306">
        <v>305</v>
      </c>
      <c r="AG306" s="6">
        <v>126.16</v>
      </c>
      <c r="AH306" s="4">
        <f t="shared" si="50"/>
        <v>0</v>
      </c>
      <c r="AI306" s="4">
        <v>-4.63</v>
      </c>
      <c r="AJ306" s="4">
        <f t="shared" si="52"/>
        <v>1.9279999999999999</v>
      </c>
      <c r="AT306">
        <v>305</v>
      </c>
      <c r="AU306">
        <v>100.91</v>
      </c>
      <c r="AV306">
        <f t="shared" si="51"/>
        <v>101.63</v>
      </c>
      <c r="AW306">
        <v>4.63</v>
      </c>
      <c r="AX306" s="1">
        <f t="shared" si="53"/>
        <v>99.007999999999996</v>
      </c>
      <c r="BH306">
        <v>305</v>
      </c>
      <c r="BI306">
        <v>151.34</v>
      </c>
      <c r="BJ306">
        <f t="shared" si="54"/>
        <v>0</v>
      </c>
      <c r="BK306">
        <v>-7.72</v>
      </c>
      <c r="BL306" s="1">
        <f t="shared" si="55"/>
        <v>140.61799999999999</v>
      </c>
      <c r="BT306">
        <v>305</v>
      </c>
      <c r="BU306">
        <v>151.76</v>
      </c>
      <c r="BV306">
        <f t="shared" si="56"/>
        <v>0</v>
      </c>
      <c r="BW306">
        <v>-26.26</v>
      </c>
      <c r="BX306">
        <f t="shared" si="59"/>
        <v>152.76400000000001</v>
      </c>
      <c r="BY306" t="s">
        <v>0</v>
      </c>
    </row>
    <row r="307" spans="1:77" x14ac:dyDescent="0.25">
      <c r="A307">
        <v>307</v>
      </c>
      <c r="B307">
        <v>59.16</v>
      </c>
      <c r="C307">
        <v>307</v>
      </c>
      <c r="D307">
        <f t="shared" si="57"/>
        <v>-4.6000000000000796</v>
      </c>
      <c r="E307" s="1">
        <f t="shared" si="58"/>
        <v>-0.12000000000000455</v>
      </c>
      <c r="Q307">
        <v>306</v>
      </c>
      <c r="R307" s="4">
        <v>93.61</v>
      </c>
      <c r="S307" s="4">
        <f t="shared" si="49"/>
        <v>0</v>
      </c>
      <c r="T307" s="4">
        <v>-9.27</v>
      </c>
      <c r="U307" s="4">
        <f t="shared" si="60"/>
        <v>0.30800000000000016</v>
      </c>
      <c r="AF307">
        <v>306</v>
      </c>
      <c r="AG307" s="6">
        <v>126.97</v>
      </c>
      <c r="AH307" s="4">
        <f t="shared" si="50"/>
        <v>17.22</v>
      </c>
      <c r="AI307" s="4">
        <v>16.22</v>
      </c>
      <c r="AJ307" s="4">
        <f t="shared" si="52"/>
        <v>5.17</v>
      </c>
      <c r="AT307">
        <v>306</v>
      </c>
      <c r="AU307">
        <v>101.18</v>
      </c>
      <c r="AV307">
        <f t="shared" si="51"/>
        <v>102.41</v>
      </c>
      <c r="AW307">
        <v>5.41</v>
      </c>
      <c r="AX307" s="1">
        <f t="shared" si="53"/>
        <v>97.156000000000006</v>
      </c>
      <c r="BH307">
        <v>306</v>
      </c>
      <c r="BI307">
        <v>150.91</v>
      </c>
      <c r="BJ307">
        <f t="shared" si="54"/>
        <v>0</v>
      </c>
      <c r="BK307">
        <v>-8.5</v>
      </c>
      <c r="BL307" s="1">
        <f t="shared" si="55"/>
        <v>139.84399999999999</v>
      </c>
      <c r="BT307">
        <v>306</v>
      </c>
      <c r="BU307">
        <v>151.46</v>
      </c>
      <c r="BV307">
        <f t="shared" si="56"/>
        <v>0</v>
      </c>
      <c r="BW307">
        <v>-12.36</v>
      </c>
      <c r="BX307">
        <f t="shared" si="59"/>
        <v>159.56</v>
      </c>
      <c r="BY307" t="s">
        <v>0</v>
      </c>
    </row>
    <row r="308" spans="1:77" x14ac:dyDescent="0.25">
      <c r="A308">
        <v>308</v>
      </c>
      <c r="B308">
        <v>58.85</v>
      </c>
      <c r="C308">
        <v>308</v>
      </c>
      <c r="D308">
        <f t="shared" si="57"/>
        <v>-6.1999999999999034</v>
      </c>
      <c r="E308" s="1">
        <f t="shared" si="58"/>
        <v>-0.31999999999996476</v>
      </c>
      <c r="Q308">
        <v>307</v>
      </c>
      <c r="R308" s="4">
        <v>93.22</v>
      </c>
      <c r="S308" s="4">
        <f t="shared" si="49"/>
        <v>0</v>
      </c>
      <c r="T308" s="4">
        <v>-7.72</v>
      </c>
      <c r="U308" s="4">
        <f t="shared" si="60"/>
        <v>0.30999999999999994</v>
      </c>
      <c r="AF308">
        <v>307</v>
      </c>
      <c r="AG308" s="6">
        <v>127.4</v>
      </c>
      <c r="AH308" s="4">
        <f t="shared" si="50"/>
        <v>9.5</v>
      </c>
      <c r="AI308" s="4">
        <v>8.5</v>
      </c>
      <c r="AJ308" s="4">
        <f t="shared" si="52"/>
        <v>-0.54399999999999982</v>
      </c>
      <c r="AT308">
        <v>307</v>
      </c>
      <c r="AU308">
        <v>100.83</v>
      </c>
      <c r="AV308">
        <f t="shared" si="51"/>
        <v>0</v>
      </c>
      <c r="AW308">
        <v>-6.95</v>
      </c>
      <c r="AX308" s="1">
        <f t="shared" si="53"/>
        <v>94.528000000000006</v>
      </c>
      <c r="BH308">
        <v>307</v>
      </c>
      <c r="BI308">
        <v>150.49</v>
      </c>
      <c r="BJ308">
        <f t="shared" si="54"/>
        <v>0</v>
      </c>
      <c r="BK308">
        <v>-8.5</v>
      </c>
      <c r="BL308" s="1">
        <f t="shared" si="55"/>
        <v>140</v>
      </c>
      <c r="BT308">
        <v>307</v>
      </c>
      <c r="BU308">
        <v>151.30000000000001</v>
      </c>
      <c r="BV308">
        <f t="shared" si="56"/>
        <v>0</v>
      </c>
      <c r="BW308">
        <v>-6.18</v>
      </c>
      <c r="BX308">
        <f t="shared" si="59"/>
        <v>156.47200000000001</v>
      </c>
      <c r="BY308" t="s">
        <v>0</v>
      </c>
    </row>
    <row r="309" spans="1:77" x14ac:dyDescent="0.25">
      <c r="A309">
        <v>309</v>
      </c>
      <c r="B309">
        <v>59.39</v>
      </c>
      <c r="C309">
        <v>309</v>
      </c>
      <c r="D309">
        <f t="shared" si="57"/>
        <v>10.799999999999983</v>
      </c>
      <c r="E309" s="1">
        <f t="shared" si="58"/>
        <v>3.3999999999999773</v>
      </c>
      <c r="Q309">
        <v>308</v>
      </c>
      <c r="R309" s="4">
        <v>92.8</v>
      </c>
      <c r="S309" s="4">
        <f t="shared" si="49"/>
        <v>0</v>
      </c>
      <c r="T309" s="4">
        <v>-8.5</v>
      </c>
      <c r="U309" s="4">
        <f t="shared" si="60"/>
        <v>-0.15600000000000006</v>
      </c>
      <c r="AF309">
        <v>308</v>
      </c>
      <c r="AG309" s="4">
        <v>126.9</v>
      </c>
      <c r="AH309" s="4">
        <f t="shared" si="50"/>
        <v>0</v>
      </c>
      <c r="AI309" s="4">
        <v>-10.039999999999999</v>
      </c>
      <c r="AJ309" s="4">
        <f t="shared" si="52"/>
        <v>-2.7079999999999997</v>
      </c>
      <c r="AT309">
        <v>308</v>
      </c>
      <c r="AU309">
        <v>100.13</v>
      </c>
      <c r="AV309">
        <f t="shared" si="51"/>
        <v>0</v>
      </c>
      <c r="AW309">
        <v>-13.9</v>
      </c>
      <c r="AX309" s="1">
        <f t="shared" si="53"/>
        <v>95.61</v>
      </c>
      <c r="BH309">
        <v>308</v>
      </c>
      <c r="BI309">
        <v>150.13999999999999</v>
      </c>
      <c r="BJ309">
        <f t="shared" si="54"/>
        <v>0</v>
      </c>
      <c r="BK309">
        <v>-6.95</v>
      </c>
      <c r="BL309" s="1">
        <f t="shared" si="55"/>
        <v>140.31</v>
      </c>
      <c r="BT309">
        <v>308</v>
      </c>
      <c r="BU309">
        <v>151.15</v>
      </c>
      <c r="BV309">
        <f t="shared" si="56"/>
        <v>0</v>
      </c>
      <c r="BW309">
        <v>-6.18</v>
      </c>
      <c r="BX309">
        <f t="shared" si="59"/>
        <v>154</v>
      </c>
      <c r="BY309" t="s">
        <v>0</v>
      </c>
    </row>
    <row r="310" spans="1:77" x14ac:dyDescent="0.25">
      <c r="A310">
        <v>310</v>
      </c>
      <c r="B310">
        <v>59.59</v>
      </c>
      <c r="C310">
        <v>310</v>
      </c>
      <c r="D310">
        <f t="shared" si="57"/>
        <v>4.0000000000000568</v>
      </c>
      <c r="E310" s="1">
        <f t="shared" si="58"/>
        <v>-1.3599999999999852</v>
      </c>
      <c r="Q310">
        <v>309</v>
      </c>
      <c r="R310" s="4">
        <v>92.49</v>
      </c>
      <c r="S310" s="4">
        <f t="shared" si="49"/>
        <v>0</v>
      </c>
      <c r="T310" s="4">
        <v>-6.18</v>
      </c>
      <c r="U310" s="4">
        <f t="shared" si="60"/>
        <v>0.46400000000000008</v>
      </c>
      <c r="AF310">
        <v>309</v>
      </c>
      <c r="AG310" s="4">
        <v>126.2</v>
      </c>
      <c r="AH310" s="4">
        <f t="shared" si="50"/>
        <v>0</v>
      </c>
      <c r="AI310" s="4">
        <v>-13.9</v>
      </c>
      <c r="AJ310" s="4">
        <f t="shared" si="52"/>
        <v>0.22799999999999976</v>
      </c>
      <c r="AT310">
        <v>309</v>
      </c>
      <c r="AU310">
        <v>99.63</v>
      </c>
      <c r="AV310">
        <f t="shared" si="51"/>
        <v>0</v>
      </c>
      <c r="AW310">
        <v>-10.039999999999999</v>
      </c>
      <c r="AX310" s="1">
        <f t="shared" si="53"/>
        <v>97.772000000000006</v>
      </c>
      <c r="BH310">
        <v>309</v>
      </c>
      <c r="BI310">
        <v>150.30000000000001</v>
      </c>
      <c r="BJ310">
        <f t="shared" si="54"/>
        <v>143.09</v>
      </c>
      <c r="BK310">
        <v>3.09</v>
      </c>
      <c r="BL310" s="1">
        <f t="shared" si="55"/>
        <v>142.00800000000001</v>
      </c>
      <c r="BT310">
        <v>309</v>
      </c>
      <c r="BU310">
        <v>151.03</v>
      </c>
      <c r="BV310">
        <f t="shared" si="56"/>
        <v>0</v>
      </c>
      <c r="BW310">
        <v>-4.63</v>
      </c>
      <c r="BX310">
        <f t="shared" si="59"/>
        <v>154.62</v>
      </c>
      <c r="BY310" t="s">
        <v>0</v>
      </c>
    </row>
    <row r="311" spans="1:77" x14ac:dyDescent="0.25">
      <c r="A311">
        <v>311</v>
      </c>
      <c r="B311">
        <v>59.51</v>
      </c>
      <c r="C311">
        <v>311</v>
      </c>
      <c r="D311">
        <f t="shared" si="57"/>
        <v>-1.600000000000108</v>
      </c>
      <c r="E311" s="1">
        <f t="shared" si="58"/>
        <v>-1.120000000000033</v>
      </c>
      <c r="Q311">
        <v>310</v>
      </c>
      <c r="R311" s="4">
        <v>92.18</v>
      </c>
      <c r="S311" s="4">
        <f t="shared" si="49"/>
        <v>0</v>
      </c>
      <c r="T311" s="4">
        <v>-6.18</v>
      </c>
      <c r="U311" s="4">
        <f t="shared" si="60"/>
        <v>0</v>
      </c>
      <c r="AF311">
        <v>310</v>
      </c>
      <c r="AG311" s="4">
        <v>124.85</v>
      </c>
      <c r="AH311" s="4">
        <f t="shared" si="50"/>
        <v>0</v>
      </c>
      <c r="AI311" s="4">
        <v>-27.03</v>
      </c>
      <c r="AJ311" s="4">
        <f t="shared" si="52"/>
        <v>-1.6260000000000003</v>
      </c>
      <c r="AT311">
        <v>310</v>
      </c>
      <c r="AU311">
        <v>98.98</v>
      </c>
      <c r="AV311">
        <f t="shared" si="51"/>
        <v>0</v>
      </c>
      <c r="AW311">
        <v>-13.13</v>
      </c>
      <c r="AX311" s="1">
        <f t="shared" si="53"/>
        <v>96.382000000000005</v>
      </c>
      <c r="BH311">
        <v>310</v>
      </c>
      <c r="BI311">
        <v>150.1</v>
      </c>
      <c r="BJ311">
        <f t="shared" si="54"/>
        <v>0</v>
      </c>
      <c r="BK311">
        <v>-3.86</v>
      </c>
      <c r="BL311" s="1">
        <f t="shared" si="55"/>
        <v>138.61000000000001</v>
      </c>
      <c r="BT311">
        <v>310</v>
      </c>
      <c r="BU311">
        <v>150.84</v>
      </c>
      <c r="BV311">
        <f t="shared" si="56"/>
        <v>0</v>
      </c>
      <c r="BW311">
        <v>-7.72</v>
      </c>
      <c r="BX311">
        <f t="shared" si="59"/>
        <v>152.76400000000001</v>
      </c>
      <c r="BY311" t="s">
        <v>0</v>
      </c>
    </row>
    <row r="312" spans="1:77" x14ac:dyDescent="0.25">
      <c r="A312">
        <v>312</v>
      </c>
      <c r="B312">
        <v>59.28</v>
      </c>
      <c r="C312">
        <v>312</v>
      </c>
      <c r="D312">
        <f t="shared" si="57"/>
        <v>-4.5999999999999375</v>
      </c>
      <c r="E312" s="1">
        <f t="shared" si="58"/>
        <v>-0.59999999999996589</v>
      </c>
      <c r="Q312">
        <v>311</v>
      </c>
      <c r="R312" s="4">
        <v>91.83</v>
      </c>
      <c r="S312" s="4">
        <f t="shared" si="49"/>
        <v>0</v>
      </c>
      <c r="T312" s="4">
        <v>-6.95</v>
      </c>
      <c r="U312" s="4">
        <f t="shared" si="60"/>
        <v>-0.15400000000000008</v>
      </c>
      <c r="AF312">
        <v>311</v>
      </c>
      <c r="AG312" s="4">
        <v>124.27</v>
      </c>
      <c r="AH312" s="4">
        <f t="shared" si="50"/>
        <v>0</v>
      </c>
      <c r="AI312" s="4">
        <v>-11.59</v>
      </c>
      <c r="AJ312" s="4">
        <f t="shared" si="52"/>
        <v>4.0880000000000001</v>
      </c>
      <c r="AT312">
        <v>311</v>
      </c>
      <c r="AU312">
        <v>98.63</v>
      </c>
      <c r="AV312">
        <f t="shared" si="51"/>
        <v>0</v>
      </c>
      <c r="AW312">
        <v>-6.95</v>
      </c>
      <c r="AX312" s="1">
        <f t="shared" si="53"/>
        <v>98.236000000000004</v>
      </c>
      <c r="BH312">
        <v>311</v>
      </c>
      <c r="BI312">
        <v>149.6</v>
      </c>
      <c r="BJ312">
        <f t="shared" si="54"/>
        <v>0</v>
      </c>
      <c r="BK312">
        <v>-10.039999999999999</v>
      </c>
      <c r="BL312" s="1">
        <f t="shared" si="55"/>
        <v>138.76400000000001</v>
      </c>
      <c r="BT312">
        <v>311</v>
      </c>
      <c r="BU312">
        <v>150.53</v>
      </c>
      <c r="BV312">
        <f t="shared" si="56"/>
        <v>0</v>
      </c>
      <c r="BW312">
        <v>-12.36</v>
      </c>
      <c r="BX312">
        <f t="shared" si="59"/>
        <v>152.14400000000001</v>
      </c>
      <c r="BY312" t="s">
        <v>0</v>
      </c>
    </row>
    <row r="313" spans="1:77" x14ac:dyDescent="0.25">
      <c r="A313">
        <v>313</v>
      </c>
      <c r="B313">
        <v>59.08</v>
      </c>
      <c r="C313">
        <v>313</v>
      </c>
      <c r="D313">
        <f t="shared" si="57"/>
        <v>-4.0000000000000568</v>
      </c>
      <c r="E313" s="1">
        <f t="shared" si="58"/>
        <v>0.11999999999997613</v>
      </c>
      <c r="Q313">
        <v>312</v>
      </c>
      <c r="R313" s="4">
        <v>91.48</v>
      </c>
      <c r="S313" s="4">
        <f t="shared" si="49"/>
        <v>0</v>
      </c>
      <c r="T313" s="4">
        <v>-6.95</v>
      </c>
      <c r="U313" s="4">
        <f t="shared" si="60"/>
        <v>0</v>
      </c>
      <c r="AF313">
        <v>312</v>
      </c>
      <c r="AG313" s="4">
        <v>123.77</v>
      </c>
      <c r="AH313" s="4">
        <f t="shared" si="50"/>
        <v>0</v>
      </c>
      <c r="AI313" s="4">
        <v>-10.039999999999999</v>
      </c>
      <c r="AJ313" s="4">
        <f t="shared" si="52"/>
        <v>1.31</v>
      </c>
      <c r="AT313">
        <v>312</v>
      </c>
      <c r="AU313">
        <v>98.4</v>
      </c>
      <c r="AV313">
        <f t="shared" si="51"/>
        <v>0</v>
      </c>
      <c r="AW313">
        <v>-4.63</v>
      </c>
      <c r="AX313" s="1">
        <f t="shared" si="53"/>
        <v>97.463999999999999</v>
      </c>
      <c r="BH313">
        <v>312</v>
      </c>
      <c r="BI313">
        <v>148.94999999999999</v>
      </c>
      <c r="BJ313">
        <f t="shared" si="54"/>
        <v>0</v>
      </c>
      <c r="BK313">
        <v>-13.13</v>
      </c>
      <c r="BL313" s="1">
        <f t="shared" si="55"/>
        <v>139.38200000000001</v>
      </c>
      <c r="BT313">
        <v>312</v>
      </c>
      <c r="BU313">
        <v>150.26</v>
      </c>
      <c r="BV313">
        <f t="shared" si="56"/>
        <v>0</v>
      </c>
      <c r="BW313">
        <v>-10.81</v>
      </c>
      <c r="BX313">
        <f t="shared" si="59"/>
        <v>154.62</v>
      </c>
      <c r="BY313" t="s">
        <v>0</v>
      </c>
    </row>
    <row r="314" spans="1:77" x14ac:dyDescent="0.25">
      <c r="A314">
        <v>314</v>
      </c>
      <c r="B314">
        <v>58.81</v>
      </c>
      <c r="C314">
        <v>314</v>
      </c>
      <c r="D314">
        <f t="shared" si="57"/>
        <v>-5.3999999999999204</v>
      </c>
      <c r="E314" s="1">
        <f t="shared" si="58"/>
        <v>-0.27999999999997272</v>
      </c>
      <c r="Q314">
        <v>313</v>
      </c>
      <c r="R314" s="5">
        <v>91.48</v>
      </c>
      <c r="S314" s="4">
        <f t="shared" si="49"/>
        <v>0</v>
      </c>
      <c r="T314" s="4">
        <v>0</v>
      </c>
      <c r="U314" s="4">
        <f t="shared" si="60"/>
        <v>1.3900000000000001</v>
      </c>
      <c r="AF314">
        <v>313</v>
      </c>
      <c r="AG314" s="4">
        <v>123.27</v>
      </c>
      <c r="AH314" s="4">
        <f t="shared" si="50"/>
        <v>0</v>
      </c>
      <c r="AI314" s="4">
        <v>-10.039999999999999</v>
      </c>
      <c r="AJ314" s="4">
        <f t="shared" si="52"/>
        <v>1</v>
      </c>
      <c r="AT314">
        <v>313</v>
      </c>
      <c r="AU314">
        <v>97.97</v>
      </c>
      <c r="AV314">
        <f t="shared" si="51"/>
        <v>0</v>
      </c>
      <c r="AW314">
        <v>-8.5</v>
      </c>
      <c r="AX314" s="1">
        <f t="shared" si="53"/>
        <v>96.225999999999999</v>
      </c>
      <c r="BH314">
        <v>313</v>
      </c>
      <c r="BI314">
        <v>148.29</v>
      </c>
      <c r="BJ314">
        <f t="shared" si="54"/>
        <v>0</v>
      </c>
      <c r="BK314">
        <v>-13.13</v>
      </c>
      <c r="BL314" s="1">
        <f t="shared" si="55"/>
        <v>140</v>
      </c>
      <c r="BT314">
        <v>313</v>
      </c>
      <c r="BU314">
        <v>150.07</v>
      </c>
      <c r="BV314">
        <f t="shared" si="56"/>
        <v>0</v>
      </c>
      <c r="BW314">
        <v>-7.72</v>
      </c>
      <c r="BX314">
        <f t="shared" si="59"/>
        <v>155.23599999999999</v>
      </c>
      <c r="BY314" t="s">
        <v>0</v>
      </c>
    </row>
    <row r="315" spans="1:77" x14ac:dyDescent="0.25">
      <c r="A315">
        <v>315</v>
      </c>
      <c r="B315">
        <v>58.66</v>
      </c>
      <c r="C315">
        <v>315</v>
      </c>
      <c r="D315">
        <f t="shared" si="57"/>
        <v>-3.0000000000001137</v>
      </c>
      <c r="E315" s="1">
        <f t="shared" si="58"/>
        <v>0.47999999999996135</v>
      </c>
      <c r="Q315">
        <v>314</v>
      </c>
      <c r="R315" s="5">
        <v>91.75</v>
      </c>
      <c r="S315" s="4">
        <f t="shared" si="49"/>
        <v>5.41</v>
      </c>
      <c r="T315" s="4">
        <v>5.41</v>
      </c>
      <c r="U315" s="4">
        <f t="shared" si="60"/>
        <v>1.0820000000000001</v>
      </c>
      <c r="AF315">
        <v>314</v>
      </c>
      <c r="AG315" s="4">
        <v>122.8</v>
      </c>
      <c r="AH315" s="4">
        <f t="shared" si="50"/>
        <v>0</v>
      </c>
      <c r="AI315" s="4">
        <v>-9.27</v>
      </c>
      <c r="AJ315" s="4">
        <f t="shared" si="52"/>
        <v>1.1539999999999999</v>
      </c>
      <c r="AT315">
        <v>314</v>
      </c>
      <c r="AU315">
        <v>97.47</v>
      </c>
      <c r="AV315">
        <f t="shared" si="51"/>
        <v>0</v>
      </c>
      <c r="AW315">
        <v>-10.039999999999999</v>
      </c>
      <c r="AX315" s="1">
        <f t="shared" si="53"/>
        <v>96.692000000000007</v>
      </c>
      <c r="BH315">
        <v>314</v>
      </c>
      <c r="BI315">
        <v>148.1</v>
      </c>
      <c r="BJ315">
        <f t="shared" si="54"/>
        <v>0</v>
      </c>
      <c r="BK315">
        <v>-3.86</v>
      </c>
      <c r="BL315" s="1">
        <f t="shared" si="55"/>
        <v>141.85400000000001</v>
      </c>
      <c r="BT315">
        <v>314</v>
      </c>
      <c r="BU315">
        <v>149.87</v>
      </c>
      <c r="BV315">
        <f t="shared" si="56"/>
        <v>0</v>
      </c>
      <c r="BW315">
        <v>-7.72</v>
      </c>
      <c r="BX315">
        <f t="shared" si="59"/>
        <v>154</v>
      </c>
      <c r="BY315" t="s">
        <v>0</v>
      </c>
    </row>
    <row r="316" spans="1:77" x14ac:dyDescent="0.25">
      <c r="A316">
        <v>316</v>
      </c>
      <c r="B316">
        <v>58.39</v>
      </c>
      <c r="C316">
        <v>316</v>
      </c>
      <c r="D316">
        <f t="shared" si="57"/>
        <v>-5.3999999999999204</v>
      </c>
      <c r="E316" s="1">
        <f t="shared" si="58"/>
        <v>-0.47999999999996135</v>
      </c>
      <c r="Q316">
        <v>315</v>
      </c>
      <c r="R316" s="5">
        <v>92.02</v>
      </c>
      <c r="S316" s="4">
        <f t="shared" si="49"/>
        <v>5.41</v>
      </c>
      <c r="T316" s="4">
        <v>5.41</v>
      </c>
      <c r="U316" s="4">
        <f t="shared" si="60"/>
        <v>0</v>
      </c>
      <c r="AF316">
        <v>315</v>
      </c>
      <c r="AG316" s="4">
        <v>122.38</v>
      </c>
      <c r="AH316" s="4">
        <f t="shared" si="50"/>
        <v>0</v>
      </c>
      <c r="AI316" s="4">
        <v>-8.5</v>
      </c>
      <c r="AJ316" s="4">
        <f t="shared" si="52"/>
        <v>1.1539999999999999</v>
      </c>
      <c r="AT316">
        <v>315</v>
      </c>
      <c r="AU316">
        <v>97.04</v>
      </c>
      <c r="AV316">
        <f t="shared" si="51"/>
        <v>0</v>
      </c>
      <c r="AW316">
        <v>-8.5</v>
      </c>
      <c r="AX316" s="1">
        <f t="shared" si="53"/>
        <v>97.307999999999993</v>
      </c>
      <c r="BH316">
        <v>315</v>
      </c>
      <c r="BI316">
        <v>147.63</v>
      </c>
      <c r="BJ316">
        <f t="shared" si="54"/>
        <v>0</v>
      </c>
      <c r="BK316">
        <v>-9.27</v>
      </c>
      <c r="BL316" s="1">
        <f t="shared" si="55"/>
        <v>138.91800000000001</v>
      </c>
      <c r="BT316">
        <v>315</v>
      </c>
      <c r="BU316">
        <v>149.72</v>
      </c>
      <c r="BV316">
        <f t="shared" si="56"/>
        <v>0</v>
      </c>
      <c r="BW316">
        <v>-6.18</v>
      </c>
      <c r="BX316">
        <f t="shared" si="59"/>
        <v>154.61600000000001</v>
      </c>
      <c r="BY316" t="s">
        <v>0</v>
      </c>
    </row>
    <row r="317" spans="1:77" x14ac:dyDescent="0.25">
      <c r="A317">
        <v>317</v>
      </c>
      <c r="B317">
        <v>58.23</v>
      </c>
      <c r="C317">
        <v>317</v>
      </c>
      <c r="D317">
        <f t="shared" si="57"/>
        <v>-3.2000000000000739</v>
      </c>
      <c r="E317" s="1">
        <f t="shared" si="58"/>
        <v>0.4399999999999693</v>
      </c>
      <c r="Q317">
        <v>316</v>
      </c>
      <c r="R317" s="4">
        <v>91.64</v>
      </c>
      <c r="S317" s="4">
        <f t="shared" si="49"/>
        <v>0</v>
      </c>
      <c r="T317" s="4">
        <v>-7.72</v>
      </c>
      <c r="U317" s="4">
        <f t="shared" si="60"/>
        <v>-2.6259999999999999</v>
      </c>
      <c r="AF317">
        <v>316</v>
      </c>
      <c r="AG317" s="4">
        <v>121.91</v>
      </c>
      <c r="AH317" s="4">
        <f t="shared" si="50"/>
        <v>0</v>
      </c>
      <c r="AI317" s="4">
        <v>-9.27</v>
      </c>
      <c r="AJ317" s="4">
        <f t="shared" si="52"/>
        <v>0.84600000000000009</v>
      </c>
      <c r="AT317">
        <v>316</v>
      </c>
      <c r="AU317">
        <v>96.74</v>
      </c>
      <c r="AV317">
        <f t="shared" si="51"/>
        <v>0</v>
      </c>
      <c r="AW317">
        <v>-6.18</v>
      </c>
      <c r="AX317" s="1">
        <f t="shared" si="53"/>
        <v>97.463999999999999</v>
      </c>
      <c r="BH317">
        <v>316</v>
      </c>
      <c r="BI317">
        <v>147.13</v>
      </c>
      <c r="BJ317">
        <f t="shared" si="54"/>
        <v>0</v>
      </c>
      <c r="BK317">
        <v>-10.039999999999999</v>
      </c>
      <c r="BL317" s="1">
        <f t="shared" si="55"/>
        <v>139.846</v>
      </c>
      <c r="BT317">
        <v>316</v>
      </c>
      <c r="BU317">
        <v>149.6</v>
      </c>
      <c r="BV317">
        <f t="shared" si="56"/>
        <v>0</v>
      </c>
      <c r="BW317">
        <v>-4.63</v>
      </c>
      <c r="BX317">
        <f t="shared" si="59"/>
        <v>154.62</v>
      </c>
      <c r="BY317" t="s">
        <v>0</v>
      </c>
    </row>
    <row r="318" spans="1:77" x14ac:dyDescent="0.25">
      <c r="A318">
        <v>318</v>
      </c>
      <c r="B318">
        <v>58.08</v>
      </c>
      <c r="C318">
        <v>318</v>
      </c>
      <c r="D318">
        <f t="shared" si="57"/>
        <v>-2.9999999999999716</v>
      </c>
      <c r="E318" s="1">
        <f t="shared" si="58"/>
        <v>4.0000000000020464E-2</v>
      </c>
      <c r="Q318">
        <v>317</v>
      </c>
      <c r="R318" s="4">
        <v>91.21</v>
      </c>
      <c r="S318" s="4">
        <f t="shared" si="49"/>
        <v>0</v>
      </c>
      <c r="T318" s="4">
        <v>-8.5</v>
      </c>
      <c r="U318" s="4">
        <f t="shared" si="60"/>
        <v>-0.15600000000000006</v>
      </c>
      <c r="AF318">
        <v>317</v>
      </c>
      <c r="AG318" s="4">
        <v>121.53</v>
      </c>
      <c r="AH318" s="4">
        <f t="shared" si="50"/>
        <v>0</v>
      </c>
      <c r="AI318" s="4">
        <v>-7.72</v>
      </c>
      <c r="AJ318" s="4">
        <f t="shared" si="52"/>
        <v>1.31</v>
      </c>
      <c r="AT318">
        <v>317</v>
      </c>
      <c r="AU318">
        <v>96.39</v>
      </c>
      <c r="AV318">
        <f t="shared" si="51"/>
        <v>0</v>
      </c>
      <c r="AW318">
        <v>-6.95</v>
      </c>
      <c r="AX318" s="1">
        <f t="shared" si="53"/>
        <v>96.846000000000004</v>
      </c>
      <c r="BH318">
        <v>317</v>
      </c>
      <c r="BI318">
        <v>146.78</v>
      </c>
      <c r="BJ318">
        <f t="shared" si="54"/>
        <v>0</v>
      </c>
      <c r="BK318">
        <v>-6.95</v>
      </c>
      <c r="BL318" s="1">
        <f t="shared" si="55"/>
        <v>140.61799999999999</v>
      </c>
      <c r="BT318">
        <v>317</v>
      </c>
      <c r="BU318">
        <v>149.49</v>
      </c>
      <c r="BV318">
        <f t="shared" si="56"/>
        <v>0</v>
      </c>
      <c r="BW318">
        <v>-4.63</v>
      </c>
      <c r="BX318">
        <f t="shared" si="59"/>
        <v>154</v>
      </c>
      <c r="BY318" t="s">
        <v>0</v>
      </c>
    </row>
    <row r="319" spans="1:77" x14ac:dyDescent="0.25">
      <c r="A319">
        <v>319</v>
      </c>
      <c r="B319">
        <v>57.85</v>
      </c>
      <c r="C319">
        <v>319</v>
      </c>
      <c r="D319">
        <f t="shared" si="57"/>
        <v>-4.5999999999999375</v>
      </c>
      <c r="E319" s="1">
        <f t="shared" si="58"/>
        <v>-0.31999999999999318</v>
      </c>
      <c r="Q319">
        <v>318</v>
      </c>
      <c r="R319" s="4">
        <v>90.71</v>
      </c>
      <c r="S319" s="4">
        <f t="shared" si="49"/>
        <v>0</v>
      </c>
      <c r="T319" s="4">
        <v>-10.039999999999999</v>
      </c>
      <c r="U319" s="4">
        <f t="shared" si="60"/>
        <v>-0.30799999999999983</v>
      </c>
      <c r="AF319">
        <v>318</v>
      </c>
      <c r="AG319" s="4">
        <v>121.14</v>
      </c>
      <c r="AH319" s="4">
        <f t="shared" si="50"/>
        <v>0</v>
      </c>
      <c r="AI319" s="4">
        <v>-7.72</v>
      </c>
      <c r="AJ319" s="4">
        <f t="shared" si="52"/>
        <v>1</v>
      </c>
      <c r="AT319">
        <v>318</v>
      </c>
      <c r="AU319">
        <v>95.96</v>
      </c>
      <c r="AV319">
        <f t="shared" si="51"/>
        <v>0</v>
      </c>
      <c r="AW319">
        <v>-8.5</v>
      </c>
      <c r="AX319" s="1">
        <f t="shared" si="53"/>
        <v>96.69</v>
      </c>
      <c r="BH319">
        <v>318</v>
      </c>
      <c r="BI319">
        <v>146.44</v>
      </c>
      <c r="BJ319">
        <f t="shared" si="54"/>
        <v>0</v>
      </c>
      <c r="BK319">
        <v>-6.95</v>
      </c>
      <c r="BL319" s="1">
        <f t="shared" si="55"/>
        <v>140</v>
      </c>
      <c r="BT319">
        <v>318</v>
      </c>
      <c r="BU319" s="2">
        <v>149.33000000000001</v>
      </c>
      <c r="BV319">
        <f t="shared" si="56"/>
        <v>0</v>
      </c>
      <c r="BW319">
        <v>-6.18</v>
      </c>
      <c r="BX319">
        <f t="shared" si="59"/>
        <v>153.38</v>
      </c>
      <c r="BY319" t="s">
        <v>0</v>
      </c>
    </row>
    <row r="320" spans="1:77" x14ac:dyDescent="0.25">
      <c r="A320">
        <v>320</v>
      </c>
      <c r="B320">
        <v>57.66</v>
      </c>
      <c r="C320">
        <v>320</v>
      </c>
      <c r="D320">
        <f t="shared" si="57"/>
        <v>-3.8000000000000966</v>
      </c>
      <c r="E320" s="1">
        <f t="shared" si="58"/>
        <v>0.15999999999996817</v>
      </c>
      <c r="Q320">
        <v>319</v>
      </c>
      <c r="R320" s="4">
        <v>90.21</v>
      </c>
      <c r="S320" s="4">
        <f t="shared" si="49"/>
        <v>0</v>
      </c>
      <c r="T320" s="4">
        <v>-10.039999999999999</v>
      </c>
      <c r="U320" s="4">
        <f t="shared" si="60"/>
        <v>0</v>
      </c>
      <c r="AF320">
        <v>319</v>
      </c>
      <c r="AG320" s="6">
        <v>120.79</v>
      </c>
      <c r="AH320" s="4">
        <f t="shared" si="50"/>
        <v>0</v>
      </c>
      <c r="AI320" s="4">
        <v>-6.95</v>
      </c>
      <c r="AJ320" s="4">
        <f t="shared" si="52"/>
        <v>1.1539999999999999</v>
      </c>
      <c r="AT320">
        <v>319</v>
      </c>
      <c r="AU320">
        <v>95.62</v>
      </c>
      <c r="AV320">
        <f t="shared" si="51"/>
        <v>0</v>
      </c>
      <c r="AW320">
        <v>-6.95</v>
      </c>
      <c r="AX320" s="1">
        <f t="shared" si="53"/>
        <v>97.31</v>
      </c>
      <c r="BH320">
        <v>319</v>
      </c>
      <c r="BI320">
        <v>146.16</v>
      </c>
      <c r="BJ320">
        <f t="shared" si="54"/>
        <v>0</v>
      </c>
      <c r="BK320">
        <v>-5.41</v>
      </c>
      <c r="BL320" s="1">
        <f t="shared" si="55"/>
        <v>140.30799999999999</v>
      </c>
      <c r="BT320">
        <v>319</v>
      </c>
      <c r="BU320" s="2">
        <v>149.72</v>
      </c>
      <c r="BV320">
        <f t="shared" si="56"/>
        <v>169.45</v>
      </c>
      <c r="BW320">
        <v>15.45</v>
      </c>
      <c r="BX320">
        <f t="shared" si="59"/>
        <v>162.65199999999999</v>
      </c>
      <c r="BY320" t="s">
        <v>0</v>
      </c>
    </row>
    <row r="321" spans="1:77" x14ac:dyDescent="0.25">
      <c r="A321">
        <v>321</v>
      </c>
      <c r="B321">
        <v>57.46</v>
      </c>
      <c r="C321">
        <v>321</v>
      </c>
      <c r="D321">
        <f t="shared" si="57"/>
        <v>-3.9999999999999147</v>
      </c>
      <c r="E321" s="1">
        <f t="shared" si="58"/>
        <v>-3.999999999996362E-2</v>
      </c>
      <c r="Q321">
        <v>320</v>
      </c>
      <c r="R321" s="4">
        <v>89.82</v>
      </c>
      <c r="S321" s="4">
        <f t="shared" si="49"/>
        <v>0</v>
      </c>
      <c r="T321" s="4">
        <v>-7.72</v>
      </c>
      <c r="U321" s="4">
        <f t="shared" si="60"/>
        <v>0.46399999999999986</v>
      </c>
      <c r="AF321">
        <v>320</v>
      </c>
      <c r="AG321" s="6">
        <v>121.37</v>
      </c>
      <c r="AH321" s="4">
        <f t="shared" si="50"/>
        <v>12.58</v>
      </c>
      <c r="AI321" s="4">
        <v>11.58</v>
      </c>
      <c r="AJ321" s="4">
        <f t="shared" si="52"/>
        <v>4.7060000000000004</v>
      </c>
      <c r="AT321">
        <v>320</v>
      </c>
      <c r="AU321">
        <v>95.31</v>
      </c>
      <c r="AV321">
        <f t="shared" si="51"/>
        <v>0</v>
      </c>
      <c r="AW321">
        <v>-6.18</v>
      </c>
      <c r="AX321" s="1">
        <f t="shared" si="53"/>
        <v>97.153999999999996</v>
      </c>
      <c r="BH321">
        <v>320</v>
      </c>
      <c r="BI321">
        <v>145.69999999999999</v>
      </c>
      <c r="BJ321">
        <f t="shared" si="54"/>
        <v>0</v>
      </c>
      <c r="BK321">
        <v>-9.27</v>
      </c>
      <c r="BL321" s="1">
        <f t="shared" si="55"/>
        <v>139.22800000000001</v>
      </c>
      <c r="BT321">
        <v>320</v>
      </c>
      <c r="BU321" s="2">
        <v>150.37</v>
      </c>
      <c r="BV321">
        <f t="shared" si="56"/>
        <v>180.26</v>
      </c>
      <c r="BW321">
        <v>26.26</v>
      </c>
      <c r="BX321">
        <f t="shared" si="59"/>
        <v>158.32400000000001</v>
      </c>
      <c r="BY321" t="s">
        <v>0</v>
      </c>
    </row>
    <row r="322" spans="1:77" x14ac:dyDescent="0.25">
      <c r="A322">
        <v>322</v>
      </c>
      <c r="B322">
        <v>57.23</v>
      </c>
      <c r="C322">
        <v>322</v>
      </c>
      <c r="D322">
        <f t="shared" si="57"/>
        <v>-4.6000000000000796</v>
      </c>
      <c r="E322" s="1">
        <f t="shared" si="58"/>
        <v>-0.12000000000003297</v>
      </c>
      <c r="Q322">
        <v>321</v>
      </c>
      <c r="R322" s="4">
        <v>89.28</v>
      </c>
      <c r="S322" s="4">
        <f t="shared" ref="S322:S385" si="61">IF(T322&gt;0,T322+S$1,0)</f>
        <v>0</v>
      </c>
      <c r="T322" s="4">
        <v>-10.81</v>
      </c>
      <c r="U322" s="4">
        <f t="shared" si="60"/>
        <v>-0.6180000000000001</v>
      </c>
      <c r="AF322">
        <v>321</v>
      </c>
      <c r="AG322" s="6">
        <v>122.26</v>
      </c>
      <c r="AH322" s="4">
        <f t="shared" ref="AH322:AH385" si="62">IF(AI322&gt;0,AI322+AH$1,0)</f>
        <v>18.760000000000002</v>
      </c>
      <c r="AI322" s="4">
        <v>17.760000000000002</v>
      </c>
      <c r="AJ322" s="4">
        <f t="shared" si="52"/>
        <v>2.2360000000000002</v>
      </c>
      <c r="AT322">
        <v>321</v>
      </c>
      <c r="AU322">
        <v>94.92</v>
      </c>
      <c r="AV322">
        <f t="shared" ref="AV322:AV385" si="63">IF(AW322&gt;0,AW322+AV$1,0)</f>
        <v>0</v>
      </c>
      <c r="AW322">
        <v>-7.72</v>
      </c>
      <c r="AX322" s="1">
        <f t="shared" si="53"/>
        <v>96.691999999999993</v>
      </c>
      <c r="BH322">
        <v>321</v>
      </c>
      <c r="BI322">
        <v>145.55000000000001</v>
      </c>
      <c r="BJ322">
        <f t="shared" si="54"/>
        <v>0</v>
      </c>
      <c r="BK322">
        <v>-3.09</v>
      </c>
      <c r="BL322" s="1">
        <f t="shared" si="55"/>
        <v>141.23599999999999</v>
      </c>
      <c r="BT322">
        <v>321</v>
      </c>
      <c r="BU322" s="2">
        <v>150.80000000000001</v>
      </c>
      <c r="BV322">
        <f t="shared" si="56"/>
        <v>170.99</v>
      </c>
      <c r="BW322">
        <v>16.989999999999998</v>
      </c>
      <c r="BX322">
        <f t="shared" si="59"/>
        <v>150.292</v>
      </c>
      <c r="BY322" t="s">
        <v>0</v>
      </c>
    </row>
    <row r="323" spans="1:77" x14ac:dyDescent="0.25">
      <c r="A323">
        <v>323</v>
      </c>
      <c r="B323">
        <v>51.44</v>
      </c>
      <c r="C323">
        <v>323</v>
      </c>
      <c r="D323">
        <f t="shared" si="57"/>
        <v>-115.79999999999998</v>
      </c>
      <c r="E323" s="1">
        <f t="shared" si="58"/>
        <v>-22.239999999999981</v>
      </c>
      <c r="Q323">
        <v>322</v>
      </c>
      <c r="R323" s="4">
        <v>88.82</v>
      </c>
      <c r="S323" s="4">
        <f t="shared" si="61"/>
        <v>0</v>
      </c>
      <c r="T323" s="4">
        <v>-9.27</v>
      </c>
      <c r="U323" s="4">
        <f t="shared" si="60"/>
        <v>0.30800000000000016</v>
      </c>
      <c r="AF323">
        <v>322</v>
      </c>
      <c r="AG323" s="4">
        <v>121.99</v>
      </c>
      <c r="AH323" s="4">
        <f t="shared" si="62"/>
        <v>0</v>
      </c>
      <c r="AI323" s="4">
        <v>-5.41</v>
      </c>
      <c r="AJ323" s="4">
        <f t="shared" ref="AJ323:AJ386" si="64">(AI323-AI322)/5+AH$1</f>
        <v>-3.6340000000000003</v>
      </c>
      <c r="AT323">
        <v>322</v>
      </c>
      <c r="AU323">
        <v>94.57</v>
      </c>
      <c r="AV323">
        <f t="shared" si="63"/>
        <v>0</v>
      </c>
      <c r="AW323">
        <v>-6.95</v>
      </c>
      <c r="AX323" s="1">
        <f t="shared" ref="AX323:AX386" si="65">(AW323-AW322)/5+AV$1</f>
        <v>97.153999999999996</v>
      </c>
      <c r="BH323">
        <v>322</v>
      </c>
      <c r="BI323">
        <v>145.78</v>
      </c>
      <c r="BJ323">
        <f t="shared" ref="BJ323:BJ386" si="66">IF(BK323&gt;0,BK323+BJ$1,0)</f>
        <v>144.63</v>
      </c>
      <c r="BK323">
        <v>4.63</v>
      </c>
      <c r="BL323" s="1">
        <f t="shared" ref="BL323:BL386" si="67">(BK323-BK322)/5+BJ$1</f>
        <v>141.54400000000001</v>
      </c>
      <c r="BT323">
        <v>322</v>
      </c>
      <c r="BU323">
        <v>150.72</v>
      </c>
      <c r="BV323">
        <f t="shared" ref="BV323:BV386" si="68">IF(BW323&gt;0,BW323+BV$1,0)</f>
        <v>0</v>
      </c>
      <c r="BW323">
        <v>-3.09</v>
      </c>
      <c r="BX323">
        <f t="shared" si="59"/>
        <v>145.96799999999999</v>
      </c>
      <c r="BY323" t="s">
        <v>0</v>
      </c>
    </row>
    <row r="324" spans="1:77" x14ac:dyDescent="0.25">
      <c r="A324">
        <v>324</v>
      </c>
      <c r="B324">
        <v>44.64</v>
      </c>
      <c r="C324">
        <v>324</v>
      </c>
      <c r="D324">
        <f t="shared" ref="D324:D387" si="69">(B324-B323)/0.05</f>
        <v>-135.99999999999994</v>
      </c>
      <c r="E324" s="1">
        <f t="shared" ref="E324:E387" si="70">(D324-D323)/5</f>
        <v>-4.039999999999992</v>
      </c>
      <c r="Q324">
        <v>323</v>
      </c>
      <c r="R324" s="4">
        <v>88.43</v>
      </c>
      <c r="S324" s="4">
        <f t="shared" si="61"/>
        <v>0</v>
      </c>
      <c r="T324" s="4">
        <v>-7.72</v>
      </c>
      <c r="U324" s="4">
        <f t="shared" si="60"/>
        <v>0.30999999999999994</v>
      </c>
      <c r="AF324">
        <v>323</v>
      </c>
      <c r="AG324" s="4">
        <v>121.64</v>
      </c>
      <c r="AH324" s="4">
        <f t="shared" si="62"/>
        <v>0</v>
      </c>
      <c r="AI324" s="4">
        <v>-6.95</v>
      </c>
      <c r="AJ324" s="4">
        <f t="shared" si="64"/>
        <v>0.69199999999999995</v>
      </c>
      <c r="AT324">
        <v>323</v>
      </c>
      <c r="AU324">
        <v>94.23</v>
      </c>
      <c r="AV324">
        <f t="shared" si="63"/>
        <v>0</v>
      </c>
      <c r="AW324">
        <v>-6.95</v>
      </c>
      <c r="AX324" s="1">
        <f t="shared" si="65"/>
        <v>97</v>
      </c>
      <c r="BH324">
        <v>323</v>
      </c>
      <c r="BI324">
        <v>145.66</v>
      </c>
      <c r="BJ324">
        <f t="shared" si="66"/>
        <v>0</v>
      </c>
      <c r="BK324">
        <v>-2.3199999999999998</v>
      </c>
      <c r="BL324" s="1">
        <f t="shared" si="67"/>
        <v>138.61000000000001</v>
      </c>
      <c r="BT324">
        <v>323</v>
      </c>
      <c r="BU324">
        <v>150.26</v>
      </c>
      <c r="BV324">
        <f t="shared" si="68"/>
        <v>0</v>
      </c>
      <c r="BW324">
        <v>-18.54</v>
      </c>
      <c r="BX324">
        <f t="shared" ref="BX324:BX387" si="71">BV$1+(BW324-BW323)/2.5</f>
        <v>147.82</v>
      </c>
      <c r="BY324" t="s">
        <v>0</v>
      </c>
    </row>
    <row r="325" spans="1:77" x14ac:dyDescent="0.25">
      <c r="A325">
        <v>325</v>
      </c>
      <c r="B325">
        <v>39.659999999999997</v>
      </c>
      <c r="C325">
        <v>325</v>
      </c>
      <c r="D325">
        <f t="shared" si="69"/>
        <v>-99.60000000000008</v>
      </c>
      <c r="E325" s="1">
        <f t="shared" si="70"/>
        <v>7.2799999999999727</v>
      </c>
      <c r="Q325">
        <v>324</v>
      </c>
      <c r="R325" s="4">
        <v>88.12</v>
      </c>
      <c r="S325" s="4">
        <f t="shared" si="61"/>
        <v>0</v>
      </c>
      <c r="T325" s="4">
        <v>-6.18</v>
      </c>
      <c r="U325" s="4">
        <f t="shared" si="60"/>
        <v>0.308</v>
      </c>
      <c r="AF325">
        <v>324</v>
      </c>
      <c r="AG325" s="4">
        <v>120.79</v>
      </c>
      <c r="AH325" s="4">
        <f t="shared" si="62"/>
        <v>0</v>
      </c>
      <c r="AI325" s="4">
        <v>-16.989999999999998</v>
      </c>
      <c r="AJ325" s="4">
        <f t="shared" si="64"/>
        <v>-1.008</v>
      </c>
      <c r="AT325">
        <v>324</v>
      </c>
      <c r="AU325">
        <v>93.95</v>
      </c>
      <c r="AV325">
        <f t="shared" si="63"/>
        <v>0</v>
      </c>
      <c r="AW325">
        <v>-5.41</v>
      </c>
      <c r="AX325" s="1">
        <f t="shared" si="65"/>
        <v>97.308000000000007</v>
      </c>
      <c r="BH325">
        <v>324</v>
      </c>
      <c r="BI325">
        <v>145.16</v>
      </c>
      <c r="BJ325">
        <f t="shared" si="66"/>
        <v>0</v>
      </c>
      <c r="BK325">
        <v>-10.039999999999999</v>
      </c>
      <c r="BL325" s="1">
        <f t="shared" si="67"/>
        <v>138.45599999999999</v>
      </c>
      <c r="BT325">
        <v>324</v>
      </c>
      <c r="BU325">
        <v>149.72</v>
      </c>
      <c r="BV325">
        <f t="shared" si="68"/>
        <v>0</v>
      </c>
      <c r="BW325">
        <v>-21.63</v>
      </c>
      <c r="BX325">
        <f t="shared" si="71"/>
        <v>152.76400000000001</v>
      </c>
      <c r="BY325" t="s">
        <v>0</v>
      </c>
    </row>
    <row r="326" spans="1:77" x14ac:dyDescent="0.25">
      <c r="A326">
        <v>326</v>
      </c>
      <c r="B326">
        <v>35.450000000000003</v>
      </c>
      <c r="C326">
        <v>326</v>
      </c>
      <c r="D326">
        <f t="shared" si="69"/>
        <v>-84.199999999999875</v>
      </c>
      <c r="E326" s="1">
        <f t="shared" si="70"/>
        <v>3.0800000000000409</v>
      </c>
      <c r="Q326">
        <v>325</v>
      </c>
      <c r="R326" s="4">
        <v>87.89</v>
      </c>
      <c r="S326" s="4">
        <f t="shared" si="61"/>
        <v>0</v>
      </c>
      <c r="T326" s="4">
        <v>-4.63</v>
      </c>
      <c r="U326" s="4">
        <f t="shared" ref="U326:U389" si="72">(T326-T325)/5</f>
        <v>0.30999999999999994</v>
      </c>
      <c r="AF326">
        <v>325</v>
      </c>
      <c r="AG326" s="4">
        <v>119.64</v>
      </c>
      <c r="AH326" s="4">
        <f t="shared" si="62"/>
        <v>0</v>
      </c>
      <c r="AI326" s="4">
        <v>-23.17</v>
      </c>
      <c r="AJ326" s="4">
        <f t="shared" si="64"/>
        <v>-0.23600000000000065</v>
      </c>
      <c r="AT326">
        <v>325</v>
      </c>
      <c r="AU326">
        <v>93.61</v>
      </c>
      <c r="AV326">
        <f t="shared" si="63"/>
        <v>0</v>
      </c>
      <c r="AW326">
        <v>-6.95</v>
      </c>
      <c r="AX326" s="1">
        <f t="shared" si="65"/>
        <v>96.691999999999993</v>
      </c>
      <c r="BH326">
        <v>325</v>
      </c>
      <c r="BI326">
        <v>144.35</v>
      </c>
      <c r="BJ326">
        <f t="shared" si="66"/>
        <v>0</v>
      </c>
      <c r="BK326">
        <v>-16.22</v>
      </c>
      <c r="BL326" s="1">
        <f t="shared" si="67"/>
        <v>138.76400000000001</v>
      </c>
      <c r="BT326">
        <v>325</v>
      </c>
      <c r="BU326">
        <v>148.94999999999999</v>
      </c>
      <c r="BV326">
        <f t="shared" si="68"/>
        <v>0</v>
      </c>
      <c r="BW326">
        <v>-30.89</v>
      </c>
      <c r="BX326">
        <f t="shared" si="71"/>
        <v>150.29599999999999</v>
      </c>
      <c r="BY326" t="s">
        <v>0</v>
      </c>
    </row>
    <row r="327" spans="1:77" x14ac:dyDescent="0.25">
      <c r="A327">
        <v>327</v>
      </c>
      <c r="B327">
        <v>31.94</v>
      </c>
      <c r="C327">
        <v>327</v>
      </c>
      <c r="D327">
        <f t="shared" si="69"/>
        <v>-70.200000000000031</v>
      </c>
      <c r="E327" s="1">
        <f t="shared" si="70"/>
        <v>2.7999999999999687</v>
      </c>
      <c r="Q327">
        <v>326</v>
      </c>
      <c r="R327" s="4">
        <v>87.51</v>
      </c>
      <c r="S327" s="4">
        <f t="shared" si="61"/>
        <v>0</v>
      </c>
      <c r="T327" s="4">
        <v>-7.72</v>
      </c>
      <c r="U327" s="4">
        <f t="shared" si="72"/>
        <v>-0.61799999999999999</v>
      </c>
      <c r="AF327">
        <v>326</v>
      </c>
      <c r="AG327" s="4">
        <v>118.94</v>
      </c>
      <c r="AH327" s="4">
        <f t="shared" si="62"/>
        <v>0</v>
      </c>
      <c r="AI327" s="4">
        <v>-13.9</v>
      </c>
      <c r="AJ327" s="4">
        <f t="shared" si="64"/>
        <v>2.8540000000000001</v>
      </c>
      <c r="AT327">
        <v>326</v>
      </c>
      <c r="AU327">
        <v>94.19</v>
      </c>
      <c r="AV327">
        <f t="shared" si="63"/>
        <v>108.59</v>
      </c>
      <c r="AW327">
        <v>11.59</v>
      </c>
      <c r="AX327" s="1">
        <f t="shared" si="65"/>
        <v>100.708</v>
      </c>
      <c r="BH327">
        <v>326</v>
      </c>
      <c r="BI327">
        <v>144</v>
      </c>
      <c r="BJ327">
        <f t="shared" si="66"/>
        <v>0</v>
      </c>
      <c r="BK327">
        <v>-6.95</v>
      </c>
      <c r="BL327" s="1">
        <f t="shared" si="67"/>
        <v>141.85400000000001</v>
      </c>
      <c r="BT327">
        <v>326</v>
      </c>
      <c r="BU327">
        <v>148.47999999999999</v>
      </c>
      <c r="BV327">
        <f t="shared" si="68"/>
        <v>0</v>
      </c>
      <c r="BW327">
        <v>-18.54</v>
      </c>
      <c r="BX327">
        <f t="shared" si="71"/>
        <v>158.94</v>
      </c>
      <c r="BY327" t="s">
        <v>0</v>
      </c>
    </row>
    <row r="328" spans="1:77" x14ac:dyDescent="0.25">
      <c r="A328">
        <v>328</v>
      </c>
      <c r="B328">
        <v>28.92</v>
      </c>
      <c r="C328">
        <v>328</v>
      </c>
      <c r="D328">
        <f t="shared" si="69"/>
        <v>-60.399999999999991</v>
      </c>
      <c r="E328" s="1">
        <f t="shared" si="70"/>
        <v>1.960000000000008</v>
      </c>
      <c r="Q328">
        <v>327</v>
      </c>
      <c r="R328" s="5">
        <v>87.39</v>
      </c>
      <c r="S328" s="4">
        <f t="shared" si="61"/>
        <v>0</v>
      </c>
      <c r="T328" s="4">
        <v>-2.3199999999999998</v>
      </c>
      <c r="U328" s="4">
        <f t="shared" si="72"/>
        <v>1.08</v>
      </c>
      <c r="AF328">
        <v>327</v>
      </c>
      <c r="AG328" s="4">
        <v>118.36</v>
      </c>
      <c r="AH328" s="4">
        <f t="shared" si="62"/>
        <v>0</v>
      </c>
      <c r="AI328" s="4">
        <v>-11.59</v>
      </c>
      <c r="AJ328" s="4">
        <f t="shared" si="64"/>
        <v>1.4620000000000002</v>
      </c>
      <c r="AT328">
        <v>327</v>
      </c>
      <c r="AU328">
        <v>94.88</v>
      </c>
      <c r="AV328">
        <f t="shared" si="63"/>
        <v>110.9</v>
      </c>
      <c r="AW328">
        <v>13.9</v>
      </c>
      <c r="AX328" s="1">
        <f t="shared" si="65"/>
        <v>97.462000000000003</v>
      </c>
      <c r="BH328">
        <v>327</v>
      </c>
      <c r="BI328">
        <v>143.69</v>
      </c>
      <c r="BJ328">
        <f t="shared" si="66"/>
        <v>0</v>
      </c>
      <c r="BK328">
        <v>-6.18</v>
      </c>
      <c r="BL328" s="1">
        <f t="shared" si="67"/>
        <v>140.154</v>
      </c>
      <c r="BT328">
        <v>327</v>
      </c>
      <c r="BU328">
        <v>148.33000000000001</v>
      </c>
      <c r="BV328">
        <f t="shared" si="68"/>
        <v>0</v>
      </c>
      <c r="BW328">
        <v>-6.18</v>
      </c>
      <c r="BX328">
        <f t="shared" si="71"/>
        <v>158.94399999999999</v>
      </c>
      <c r="BY328" t="s">
        <v>0</v>
      </c>
    </row>
    <row r="329" spans="1:77" x14ac:dyDescent="0.25">
      <c r="A329">
        <v>329</v>
      </c>
      <c r="B329">
        <v>26.41</v>
      </c>
      <c r="C329">
        <v>329</v>
      </c>
      <c r="D329">
        <f t="shared" si="69"/>
        <v>-50.200000000000031</v>
      </c>
      <c r="E329" s="1">
        <f t="shared" si="70"/>
        <v>2.039999999999992</v>
      </c>
      <c r="Q329">
        <v>328</v>
      </c>
      <c r="R329" s="5">
        <v>87.74</v>
      </c>
      <c r="S329" s="4">
        <f t="shared" si="61"/>
        <v>6.95</v>
      </c>
      <c r="T329" s="4">
        <v>6.95</v>
      </c>
      <c r="U329" s="4">
        <f t="shared" si="72"/>
        <v>1.8539999999999999</v>
      </c>
      <c r="AF329">
        <v>328</v>
      </c>
      <c r="AG329" s="4">
        <v>117.82</v>
      </c>
      <c r="AH329" s="4">
        <f t="shared" si="62"/>
        <v>0</v>
      </c>
      <c r="AI329" s="4">
        <v>-10.81</v>
      </c>
      <c r="AJ329" s="4">
        <f t="shared" si="64"/>
        <v>1.1559999999999999</v>
      </c>
      <c r="AT329">
        <v>328</v>
      </c>
      <c r="AU329">
        <v>95.15</v>
      </c>
      <c r="AV329">
        <f t="shared" si="63"/>
        <v>102.41</v>
      </c>
      <c r="AW329">
        <v>5.41</v>
      </c>
      <c r="AX329" s="1">
        <f t="shared" si="65"/>
        <v>95.302000000000007</v>
      </c>
      <c r="BH329">
        <v>328</v>
      </c>
      <c r="BI329">
        <v>143.31</v>
      </c>
      <c r="BJ329">
        <f t="shared" si="66"/>
        <v>0</v>
      </c>
      <c r="BK329">
        <v>-7.72</v>
      </c>
      <c r="BL329" s="1">
        <f t="shared" si="67"/>
        <v>139.69200000000001</v>
      </c>
      <c r="BT329">
        <v>328</v>
      </c>
      <c r="BU329">
        <v>148.33000000000001</v>
      </c>
      <c r="BV329">
        <f t="shared" si="68"/>
        <v>0</v>
      </c>
      <c r="BW329">
        <v>0</v>
      </c>
      <c r="BX329">
        <f t="shared" si="71"/>
        <v>156.47200000000001</v>
      </c>
      <c r="BY329" t="s">
        <v>0</v>
      </c>
    </row>
    <row r="330" spans="1:77" x14ac:dyDescent="0.25">
      <c r="A330">
        <v>330</v>
      </c>
      <c r="B330">
        <v>23.9</v>
      </c>
      <c r="C330">
        <v>330</v>
      </c>
      <c r="D330">
        <f t="shared" si="69"/>
        <v>-50.200000000000031</v>
      </c>
      <c r="E330" s="1">
        <f t="shared" si="70"/>
        <v>0</v>
      </c>
      <c r="Q330">
        <v>329</v>
      </c>
      <c r="R330" s="5">
        <v>88.09</v>
      </c>
      <c r="S330" s="4">
        <f t="shared" si="61"/>
        <v>6.95</v>
      </c>
      <c r="T330" s="4">
        <v>6.95</v>
      </c>
      <c r="U330" s="4">
        <f t="shared" si="72"/>
        <v>0</v>
      </c>
      <c r="AF330">
        <v>329</v>
      </c>
      <c r="AG330" s="4">
        <v>117.43</v>
      </c>
      <c r="AH330" s="4">
        <f t="shared" si="62"/>
        <v>0</v>
      </c>
      <c r="AI330" s="4">
        <v>-7.72</v>
      </c>
      <c r="AJ330" s="4">
        <f t="shared" si="64"/>
        <v>1.6180000000000001</v>
      </c>
      <c r="AT330">
        <v>329</v>
      </c>
      <c r="AU330">
        <v>94.5</v>
      </c>
      <c r="AV330">
        <f t="shared" si="63"/>
        <v>0</v>
      </c>
      <c r="AW330">
        <v>-13.13</v>
      </c>
      <c r="AX330" s="1">
        <f t="shared" si="65"/>
        <v>93.292000000000002</v>
      </c>
      <c r="BH330">
        <v>329</v>
      </c>
      <c r="BI330">
        <v>142.84</v>
      </c>
      <c r="BJ330">
        <f t="shared" si="66"/>
        <v>0</v>
      </c>
      <c r="BK330">
        <v>-9.27</v>
      </c>
      <c r="BL330" s="1">
        <f t="shared" si="67"/>
        <v>139.69</v>
      </c>
      <c r="BT330">
        <v>329</v>
      </c>
      <c r="BU330">
        <v>148.21</v>
      </c>
      <c r="BV330">
        <f t="shared" si="68"/>
        <v>0</v>
      </c>
      <c r="BW330">
        <v>-4.63</v>
      </c>
      <c r="BX330">
        <f t="shared" si="71"/>
        <v>152.148</v>
      </c>
      <c r="BY330" t="s">
        <v>0</v>
      </c>
    </row>
    <row r="331" spans="1:77" x14ac:dyDescent="0.25">
      <c r="A331">
        <v>331</v>
      </c>
      <c r="B331">
        <v>21.82</v>
      </c>
      <c r="C331">
        <v>331</v>
      </c>
      <c r="D331">
        <f t="shared" si="69"/>
        <v>-41.599999999999966</v>
      </c>
      <c r="E331" s="1">
        <f t="shared" si="70"/>
        <v>1.7200000000000131</v>
      </c>
      <c r="Q331">
        <v>330</v>
      </c>
      <c r="R331" s="4">
        <v>87.85</v>
      </c>
      <c r="S331" s="4">
        <f t="shared" si="61"/>
        <v>0</v>
      </c>
      <c r="T331" s="4">
        <v>-4.63</v>
      </c>
      <c r="U331" s="4">
        <f t="shared" si="72"/>
        <v>-2.3159999999999998</v>
      </c>
      <c r="AF331">
        <v>330</v>
      </c>
      <c r="AG331" s="4">
        <v>116.97</v>
      </c>
      <c r="AH331" s="4">
        <f t="shared" si="62"/>
        <v>0</v>
      </c>
      <c r="AI331" s="4">
        <v>-9.27</v>
      </c>
      <c r="AJ331" s="4">
        <f t="shared" si="64"/>
        <v>0.69000000000000006</v>
      </c>
      <c r="AT331">
        <v>330</v>
      </c>
      <c r="AU331">
        <v>94.15</v>
      </c>
      <c r="AV331">
        <f t="shared" si="63"/>
        <v>0</v>
      </c>
      <c r="AW331">
        <v>-6.95</v>
      </c>
      <c r="AX331" s="1">
        <f t="shared" si="65"/>
        <v>98.236000000000004</v>
      </c>
      <c r="BH331">
        <v>330</v>
      </c>
      <c r="BI331">
        <v>142.34</v>
      </c>
      <c r="BJ331">
        <f t="shared" si="66"/>
        <v>0</v>
      </c>
      <c r="BK331">
        <v>-10.039999999999999</v>
      </c>
      <c r="BL331" s="1">
        <f t="shared" si="67"/>
        <v>139.846</v>
      </c>
      <c r="BT331">
        <v>330</v>
      </c>
      <c r="BU331">
        <v>147.9</v>
      </c>
      <c r="BV331">
        <f t="shared" si="68"/>
        <v>0</v>
      </c>
      <c r="BW331">
        <v>-12.36</v>
      </c>
      <c r="BX331">
        <f t="shared" si="71"/>
        <v>150.90799999999999</v>
      </c>
      <c r="BY331" t="s">
        <v>0</v>
      </c>
    </row>
    <row r="332" spans="1:77" x14ac:dyDescent="0.25">
      <c r="A332">
        <v>332</v>
      </c>
      <c r="B332">
        <v>19.93</v>
      </c>
      <c r="C332">
        <v>332</v>
      </c>
      <c r="D332">
        <f t="shared" si="69"/>
        <v>-37.800000000000011</v>
      </c>
      <c r="E332" s="1">
        <f t="shared" si="70"/>
        <v>0.75999999999999091</v>
      </c>
      <c r="Q332">
        <v>331</v>
      </c>
      <c r="R332" s="4">
        <v>87.51</v>
      </c>
      <c r="S332" s="4">
        <f t="shared" si="61"/>
        <v>0</v>
      </c>
      <c r="T332" s="4">
        <v>-6.95</v>
      </c>
      <c r="U332" s="4">
        <f t="shared" si="72"/>
        <v>-0.46400000000000008</v>
      </c>
      <c r="AF332">
        <v>331</v>
      </c>
      <c r="AG332" s="4">
        <v>116.51</v>
      </c>
      <c r="AH332" s="4">
        <f t="shared" si="62"/>
        <v>0</v>
      </c>
      <c r="AI332" s="4">
        <v>-9.27</v>
      </c>
      <c r="AJ332" s="4">
        <f t="shared" si="64"/>
        <v>1</v>
      </c>
      <c r="AT332">
        <v>331</v>
      </c>
      <c r="AU332">
        <v>93.34</v>
      </c>
      <c r="AV332">
        <f t="shared" si="63"/>
        <v>0</v>
      </c>
      <c r="AW332">
        <v>-16.22</v>
      </c>
      <c r="AX332" s="1">
        <f t="shared" si="65"/>
        <v>95.146000000000001</v>
      </c>
      <c r="BH332">
        <v>331</v>
      </c>
      <c r="BI332">
        <v>142.11000000000001</v>
      </c>
      <c r="BJ332">
        <f t="shared" si="66"/>
        <v>0</v>
      </c>
      <c r="BK332">
        <v>-4.63</v>
      </c>
      <c r="BL332" s="1">
        <f t="shared" si="67"/>
        <v>141.08199999999999</v>
      </c>
      <c r="BT332">
        <v>331</v>
      </c>
      <c r="BU332">
        <v>147.75</v>
      </c>
      <c r="BV332">
        <f t="shared" si="68"/>
        <v>0</v>
      </c>
      <c r="BW332">
        <v>-6.18</v>
      </c>
      <c r="BX332">
        <f t="shared" si="71"/>
        <v>156.47200000000001</v>
      </c>
      <c r="BY332" t="s">
        <v>0</v>
      </c>
    </row>
    <row r="333" spans="1:77" x14ac:dyDescent="0.25">
      <c r="A333">
        <v>333</v>
      </c>
      <c r="B333">
        <v>18.23</v>
      </c>
      <c r="C333">
        <v>333</v>
      </c>
      <c r="D333">
        <f t="shared" si="69"/>
        <v>-33.999999999999986</v>
      </c>
      <c r="E333" s="1">
        <f t="shared" si="70"/>
        <v>0.76000000000000512</v>
      </c>
      <c r="Q333">
        <v>332</v>
      </c>
      <c r="R333" s="4">
        <v>87.12</v>
      </c>
      <c r="S333" s="4">
        <f t="shared" si="61"/>
        <v>0</v>
      </c>
      <c r="T333" s="4">
        <v>-7.72</v>
      </c>
      <c r="U333" s="4">
        <f t="shared" si="72"/>
        <v>-0.15399999999999991</v>
      </c>
      <c r="AF333">
        <v>332</v>
      </c>
      <c r="AG333" s="4">
        <v>116.12</v>
      </c>
      <c r="AH333" s="4">
        <f t="shared" si="62"/>
        <v>0</v>
      </c>
      <c r="AI333" s="4">
        <v>-7.72</v>
      </c>
      <c r="AJ333" s="4">
        <f t="shared" si="64"/>
        <v>1.31</v>
      </c>
      <c r="AT333">
        <v>332</v>
      </c>
      <c r="AU333">
        <v>92.56</v>
      </c>
      <c r="AV333">
        <f t="shared" si="63"/>
        <v>0</v>
      </c>
      <c r="AW333">
        <v>-15.45</v>
      </c>
      <c r="AX333" s="1">
        <f t="shared" si="65"/>
        <v>97.153999999999996</v>
      </c>
      <c r="BH333">
        <v>332</v>
      </c>
      <c r="BI333">
        <v>141.72</v>
      </c>
      <c r="BJ333">
        <f t="shared" si="66"/>
        <v>0</v>
      </c>
      <c r="BK333">
        <v>-7.72</v>
      </c>
      <c r="BL333" s="1">
        <f t="shared" si="67"/>
        <v>139.38200000000001</v>
      </c>
      <c r="BT333">
        <v>332</v>
      </c>
      <c r="BU333">
        <v>147.59</v>
      </c>
      <c r="BV333">
        <f t="shared" si="68"/>
        <v>0</v>
      </c>
      <c r="BW333">
        <v>-6.18</v>
      </c>
      <c r="BX333">
        <f t="shared" si="71"/>
        <v>154</v>
      </c>
      <c r="BY333" t="s">
        <v>0</v>
      </c>
    </row>
    <row r="334" spans="1:77" x14ac:dyDescent="0.25">
      <c r="A334">
        <v>334</v>
      </c>
      <c r="B334">
        <v>16.64</v>
      </c>
      <c r="C334">
        <v>334</v>
      </c>
      <c r="D334">
        <f t="shared" si="69"/>
        <v>-31.799999999999997</v>
      </c>
      <c r="E334" s="1">
        <f t="shared" si="70"/>
        <v>0.43999999999999773</v>
      </c>
      <c r="Q334">
        <v>333</v>
      </c>
      <c r="R334" s="4">
        <v>86.69</v>
      </c>
      <c r="S334" s="4">
        <f t="shared" si="61"/>
        <v>0</v>
      </c>
      <c r="T334" s="4">
        <v>-8.5</v>
      </c>
      <c r="U334" s="4">
        <f t="shared" si="72"/>
        <v>-0.15600000000000006</v>
      </c>
      <c r="AF334">
        <v>333</v>
      </c>
      <c r="AG334" s="4">
        <v>115.77</v>
      </c>
      <c r="AH334" s="4">
        <f t="shared" si="62"/>
        <v>0</v>
      </c>
      <c r="AI334" s="4">
        <v>-6.95</v>
      </c>
      <c r="AJ334" s="4">
        <f t="shared" si="64"/>
        <v>1.1539999999999999</v>
      </c>
      <c r="AT334">
        <v>333</v>
      </c>
      <c r="AU334">
        <v>92.18</v>
      </c>
      <c r="AV334">
        <f t="shared" si="63"/>
        <v>0</v>
      </c>
      <c r="AW334">
        <v>-7.72</v>
      </c>
      <c r="AX334" s="1">
        <f t="shared" si="65"/>
        <v>98.546000000000006</v>
      </c>
      <c r="BH334">
        <v>333</v>
      </c>
      <c r="BI334">
        <v>141.44999999999999</v>
      </c>
      <c r="BJ334">
        <f t="shared" si="66"/>
        <v>0</v>
      </c>
      <c r="BK334">
        <v>-5.41</v>
      </c>
      <c r="BL334" s="1">
        <f t="shared" si="67"/>
        <v>140.46199999999999</v>
      </c>
      <c r="BT334">
        <v>333</v>
      </c>
      <c r="BU334">
        <v>147.32</v>
      </c>
      <c r="BV334">
        <f t="shared" si="68"/>
        <v>0</v>
      </c>
      <c r="BW334">
        <v>-10.81</v>
      </c>
      <c r="BX334">
        <f t="shared" si="71"/>
        <v>152.148</v>
      </c>
      <c r="BY334" t="s">
        <v>0</v>
      </c>
    </row>
    <row r="335" spans="1:77" x14ac:dyDescent="0.25">
      <c r="A335">
        <v>335</v>
      </c>
      <c r="B335">
        <v>15.33</v>
      </c>
      <c r="C335">
        <v>335</v>
      </c>
      <c r="D335">
        <f t="shared" si="69"/>
        <v>-26.20000000000001</v>
      </c>
      <c r="E335" s="1">
        <f t="shared" si="70"/>
        <v>1.1199999999999974</v>
      </c>
      <c r="Q335">
        <v>334</v>
      </c>
      <c r="R335" s="4">
        <v>86.15</v>
      </c>
      <c r="S335" s="4">
        <f t="shared" si="61"/>
        <v>0</v>
      </c>
      <c r="T335" s="4">
        <v>-10.81</v>
      </c>
      <c r="U335" s="4">
        <f t="shared" si="72"/>
        <v>-0.46200000000000008</v>
      </c>
      <c r="AF335">
        <v>334</v>
      </c>
      <c r="AG335" s="6">
        <v>115.77</v>
      </c>
      <c r="AH335" s="4">
        <f t="shared" si="62"/>
        <v>0</v>
      </c>
      <c r="AI335" s="4">
        <v>0</v>
      </c>
      <c r="AJ335" s="4">
        <f t="shared" si="64"/>
        <v>2.39</v>
      </c>
      <c r="AT335">
        <v>334</v>
      </c>
      <c r="AU335">
        <v>91.64</v>
      </c>
      <c r="AV335">
        <f t="shared" si="63"/>
        <v>0</v>
      </c>
      <c r="AW335">
        <v>-10.81</v>
      </c>
      <c r="AX335" s="1">
        <f t="shared" si="65"/>
        <v>96.382000000000005</v>
      </c>
      <c r="BH335">
        <v>334</v>
      </c>
      <c r="BI335">
        <v>141.57</v>
      </c>
      <c r="BJ335">
        <f t="shared" si="66"/>
        <v>142.32</v>
      </c>
      <c r="BK335">
        <v>2.3199999999999998</v>
      </c>
      <c r="BL335" s="1">
        <f t="shared" si="67"/>
        <v>141.54599999999999</v>
      </c>
      <c r="BT335">
        <v>334</v>
      </c>
      <c r="BU335">
        <v>147.13</v>
      </c>
      <c r="BV335">
        <f t="shared" si="68"/>
        <v>0</v>
      </c>
      <c r="BW335">
        <v>-7.72</v>
      </c>
      <c r="BX335">
        <f t="shared" si="71"/>
        <v>155.23599999999999</v>
      </c>
      <c r="BY335" t="s">
        <v>0</v>
      </c>
    </row>
    <row r="336" spans="1:77" x14ac:dyDescent="0.25">
      <c r="A336">
        <v>336</v>
      </c>
      <c r="B336">
        <v>14.13</v>
      </c>
      <c r="C336">
        <v>336</v>
      </c>
      <c r="D336">
        <f t="shared" si="69"/>
        <v>-23.999999999999986</v>
      </c>
      <c r="E336" s="1">
        <f t="shared" si="70"/>
        <v>0.44000000000000483</v>
      </c>
      <c r="Q336">
        <v>335</v>
      </c>
      <c r="R336" s="4">
        <v>85.69</v>
      </c>
      <c r="S336" s="4">
        <f t="shared" si="61"/>
        <v>0</v>
      </c>
      <c r="T336" s="4">
        <v>-9.27</v>
      </c>
      <c r="U336" s="4">
        <f t="shared" si="72"/>
        <v>0.30800000000000016</v>
      </c>
      <c r="AF336">
        <v>335</v>
      </c>
      <c r="AG336" s="6">
        <v>116.85</v>
      </c>
      <c r="AH336" s="4">
        <f t="shared" si="62"/>
        <v>22.63</v>
      </c>
      <c r="AI336" s="4">
        <v>21.63</v>
      </c>
      <c r="AJ336" s="4">
        <f t="shared" si="64"/>
        <v>5.3259999999999996</v>
      </c>
      <c r="AT336">
        <v>335</v>
      </c>
      <c r="AU336">
        <v>90.98</v>
      </c>
      <c r="AV336">
        <f t="shared" si="63"/>
        <v>0</v>
      </c>
      <c r="AW336">
        <v>-13.13</v>
      </c>
      <c r="AX336" s="1">
        <f t="shared" si="65"/>
        <v>96.536000000000001</v>
      </c>
      <c r="BH336">
        <v>335</v>
      </c>
      <c r="BI336">
        <v>141.84</v>
      </c>
      <c r="BJ336">
        <f t="shared" si="66"/>
        <v>145.41</v>
      </c>
      <c r="BK336">
        <v>5.41</v>
      </c>
      <c r="BL336" s="1">
        <f t="shared" si="67"/>
        <v>140.61799999999999</v>
      </c>
      <c r="BT336">
        <v>335</v>
      </c>
      <c r="BU336">
        <v>146.97999999999999</v>
      </c>
      <c r="BV336">
        <f t="shared" si="68"/>
        <v>0</v>
      </c>
      <c r="BW336">
        <v>-6.18</v>
      </c>
      <c r="BX336">
        <f t="shared" si="71"/>
        <v>154.61600000000001</v>
      </c>
      <c r="BY336" t="s">
        <v>0</v>
      </c>
    </row>
    <row r="337" spans="1:77" x14ac:dyDescent="0.25">
      <c r="A337">
        <v>337</v>
      </c>
      <c r="B337">
        <v>13.05</v>
      </c>
      <c r="C337">
        <v>337</v>
      </c>
      <c r="D337">
        <f t="shared" si="69"/>
        <v>-21.6</v>
      </c>
      <c r="E337" s="1">
        <f t="shared" si="70"/>
        <v>0.47999999999999687</v>
      </c>
      <c r="Q337">
        <v>336</v>
      </c>
      <c r="R337" s="4">
        <v>85.19</v>
      </c>
      <c r="S337" s="4">
        <f t="shared" si="61"/>
        <v>0</v>
      </c>
      <c r="T337" s="4">
        <v>-10.039999999999999</v>
      </c>
      <c r="U337" s="4">
        <f t="shared" si="72"/>
        <v>-0.15399999999999991</v>
      </c>
      <c r="AF337">
        <v>336</v>
      </c>
      <c r="AG337" s="6">
        <v>117.01</v>
      </c>
      <c r="AH337" s="4">
        <f t="shared" si="62"/>
        <v>4.09</v>
      </c>
      <c r="AI337" s="4">
        <v>3.09</v>
      </c>
      <c r="AJ337" s="4">
        <f t="shared" si="64"/>
        <v>-2.7079999999999997</v>
      </c>
      <c r="AT337">
        <v>336</v>
      </c>
      <c r="AU337">
        <v>90.56</v>
      </c>
      <c r="AV337">
        <f t="shared" si="63"/>
        <v>0</v>
      </c>
      <c r="AW337">
        <v>-8.5</v>
      </c>
      <c r="AX337" s="1">
        <f t="shared" si="65"/>
        <v>97.926000000000002</v>
      </c>
      <c r="BH337">
        <v>336</v>
      </c>
      <c r="BI337">
        <v>141.69</v>
      </c>
      <c r="BJ337">
        <f t="shared" si="66"/>
        <v>0</v>
      </c>
      <c r="BK337">
        <v>-3.09</v>
      </c>
      <c r="BL337" s="1">
        <f t="shared" si="67"/>
        <v>138.30000000000001</v>
      </c>
      <c r="BT337">
        <v>336</v>
      </c>
      <c r="BU337">
        <v>146.74</v>
      </c>
      <c r="BV337">
        <f t="shared" si="68"/>
        <v>0</v>
      </c>
      <c r="BW337">
        <v>-9.27</v>
      </c>
      <c r="BX337">
        <f t="shared" si="71"/>
        <v>152.76400000000001</v>
      </c>
      <c r="BY337" t="s">
        <v>0</v>
      </c>
    </row>
    <row r="338" spans="1:77" x14ac:dyDescent="0.25">
      <c r="A338">
        <v>338</v>
      </c>
      <c r="B338">
        <v>12.13</v>
      </c>
      <c r="C338">
        <v>338</v>
      </c>
      <c r="D338">
        <f t="shared" si="69"/>
        <v>-18.399999999999999</v>
      </c>
      <c r="E338" s="1">
        <f t="shared" si="70"/>
        <v>0.64000000000000057</v>
      </c>
      <c r="Q338">
        <v>337</v>
      </c>
      <c r="R338" s="4">
        <v>84.73</v>
      </c>
      <c r="S338" s="4">
        <f t="shared" si="61"/>
        <v>0</v>
      </c>
      <c r="T338" s="4">
        <v>-9.27</v>
      </c>
      <c r="U338" s="4">
        <f t="shared" si="72"/>
        <v>0.15399999999999991</v>
      </c>
      <c r="AF338">
        <v>337</v>
      </c>
      <c r="AG338" s="4">
        <v>116.85</v>
      </c>
      <c r="AH338" s="4">
        <f t="shared" si="62"/>
        <v>0</v>
      </c>
      <c r="AI338" s="4">
        <v>-3.09</v>
      </c>
      <c r="AJ338" s="4">
        <f t="shared" si="64"/>
        <v>-0.23599999999999999</v>
      </c>
      <c r="AT338">
        <v>337</v>
      </c>
      <c r="AU338">
        <v>90.17</v>
      </c>
      <c r="AV338">
        <f t="shared" si="63"/>
        <v>0</v>
      </c>
      <c r="AW338">
        <v>-7.72</v>
      </c>
      <c r="AX338" s="1">
        <f t="shared" si="65"/>
        <v>97.156000000000006</v>
      </c>
      <c r="BH338">
        <v>337</v>
      </c>
      <c r="BI338">
        <v>141.11000000000001</v>
      </c>
      <c r="BJ338">
        <f t="shared" si="66"/>
        <v>0</v>
      </c>
      <c r="BK338">
        <v>-11.59</v>
      </c>
      <c r="BL338" s="1">
        <f t="shared" si="67"/>
        <v>138.30000000000001</v>
      </c>
      <c r="BT338">
        <v>337</v>
      </c>
      <c r="BU338">
        <v>146.55000000000001</v>
      </c>
      <c r="BV338">
        <f t="shared" si="68"/>
        <v>0</v>
      </c>
      <c r="BW338">
        <v>-7.72</v>
      </c>
      <c r="BX338">
        <f t="shared" si="71"/>
        <v>154.62</v>
      </c>
      <c r="BY338" t="s">
        <v>0</v>
      </c>
    </row>
    <row r="339" spans="1:77" x14ac:dyDescent="0.25">
      <c r="A339">
        <v>339</v>
      </c>
      <c r="B339">
        <v>11.28</v>
      </c>
      <c r="C339">
        <v>339</v>
      </c>
      <c r="D339">
        <f t="shared" si="69"/>
        <v>-17.000000000000028</v>
      </c>
      <c r="E339" s="1">
        <f t="shared" si="70"/>
        <v>0.27999999999999403</v>
      </c>
      <c r="Q339">
        <v>338</v>
      </c>
      <c r="R339" s="4">
        <v>84.42</v>
      </c>
      <c r="S339" s="4">
        <f t="shared" si="61"/>
        <v>0</v>
      </c>
      <c r="T339" s="4">
        <v>-6.18</v>
      </c>
      <c r="U339" s="4">
        <f t="shared" si="72"/>
        <v>0.61799999999999999</v>
      </c>
      <c r="AF339">
        <v>338</v>
      </c>
      <c r="AG339" s="4">
        <v>116.28</v>
      </c>
      <c r="AH339" s="4">
        <f t="shared" si="62"/>
        <v>0</v>
      </c>
      <c r="AI339" s="4">
        <v>-11.58</v>
      </c>
      <c r="AJ339" s="4">
        <f t="shared" si="64"/>
        <v>-0.69799999999999995</v>
      </c>
      <c r="AT339">
        <v>338</v>
      </c>
      <c r="AU339">
        <v>89.71</v>
      </c>
      <c r="AV339">
        <f t="shared" si="63"/>
        <v>0</v>
      </c>
      <c r="AW339">
        <v>-9.27</v>
      </c>
      <c r="AX339" s="1">
        <f t="shared" si="65"/>
        <v>96.69</v>
      </c>
      <c r="BH339">
        <v>338</v>
      </c>
      <c r="BI339">
        <v>140.30000000000001</v>
      </c>
      <c r="BJ339">
        <f t="shared" si="66"/>
        <v>0</v>
      </c>
      <c r="BK339">
        <v>-16.22</v>
      </c>
      <c r="BL339" s="1">
        <f t="shared" si="67"/>
        <v>139.07400000000001</v>
      </c>
      <c r="BT339">
        <v>338</v>
      </c>
      <c r="BU339" s="2">
        <v>146.44</v>
      </c>
      <c r="BV339">
        <f t="shared" si="68"/>
        <v>0</v>
      </c>
      <c r="BW339">
        <v>-4.63</v>
      </c>
      <c r="BX339">
        <f t="shared" si="71"/>
        <v>155.23599999999999</v>
      </c>
      <c r="BY339" t="s">
        <v>0</v>
      </c>
    </row>
    <row r="340" spans="1:77" x14ac:dyDescent="0.25">
      <c r="A340">
        <v>340</v>
      </c>
      <c r="B340">
        <v>10.43</v>
      </c>
      <c r="C340">
        <v>340</v>
      </c>
      <c r="D340">
        <f t="shared" si="69"/>
        <v>-16.999999999999993</v>
      </c>
      <c r="E340" s="1">
        <f t="shared" si="70"/>
        <v>7.1054273576010019E-15</v>
      </c>
      <c r="Q340">
        <v>339</v>
      </c>
      <c r="R340" s="4">
        <v>84.03</v>
      </c>
      <c r="S340" s="4">
        <f t="shared" si="61"/>
        <v>0</v>
      </c>
      <c r="T340" s="4">
        <v>-7.72</v>
      </c>
      <c r="U340" s="4">
        <f t="shared" si="72"/>
        <v>-0.308</v>
      </c>
      <c r="AF340">
        <v>339</v>
      </c>
      <c r="AG340" s="4">
        <v>115.16</v>
      </c>
      <c r="AH340" s="4">
        <f t="shared" si="62"/>
        <v>0</v>
      </c>
      <c r="AI340" s="4">
        <v>-22.4</v>
      </c>
      <c r="AJ340" s="4">
        <f t="shared" si="64"/>
        <v>-1.1639999999999997</v>
      </c>
      <c r="AT340">
        <v>339</v>
      </c>
      <c r="AU340">
        <v>89.48</v>
      </c>
      <c r="AV340">
        <f t="shared" si="63"/>
        <v>0</v>
      </c>
      <c r="AW340">
        <v>-4.63</v>
      </c>
      <c r="AX340" s="1">
        <f t="shared" si="65"/>
        <v>97.927999999999997</v>
      </c>
      <c r="BH340">
        <v>339</v>
      </c>
      <c r="BI340">
        <v>139.83000000000001</v>
      </c>
      <c r="BJ340">
        <f t="shared" si="66"/>
        <v>0</v>
      </c>
      <c r="BK340">
        <v>-9.27</v>
      </c>
      <c r="BL340" s="1">
        <f t="shared" si="67"/>
        <v>141.38999999999999</v>
      </c>
      <c r="BT340">
        <v>339</v>
      </c>
      <c r="BU340" s="2">
        <v>146.86000000000001</v>
      </c>
      <c r="BV340">
        <f t="shared" si="68"/>
        <v>170.99</v>
      </c>
      <c r="BW340">
        <v>16.989999999999998</v>
      </c>
      <c r="BX340">
        <f t="shared" si="71"/>
        <v>162.648</v>
      </c>
      <c r="BY340" t="s">
        <v>0</v>
      </c>
    </row>
    <row r="341" spans="1:77" x14ac:dyDescent="0.25">
      <c r="A341">
        <v>341</v>
      </c>
      <c r="B341">
        <v>9.77</v>
      </c>
      <c r="C341">
        <v>341</v>
      </c>
      <c r="D341">
        <f t="shared" si="69"/>
        <v>-13.200000000000003</v>
      </c>
      <c r="E341" s="1">
        <f t="shared" si="70"/>
        <v>0.75999999999999801</v>
      </c>
      <c r="Q341">
        <v>340</v>
      </c>
      <c r="R341" s="4">
        <v>83.61</v>
      </c>
      <c r="S341" s="4">
        <f t="shared" si="61"/>
        <v>0</v>
      </c>
      <c r="T341" s="4">
        <v>-8.5</v>
      </c>
      <c r="U341" s="4">
        <f t="shared" si="72"/>
        <v>-0.15600000000000006</v>
      </c>
      <c r="AF341">
        <v>340</v>
      </c>
      <c r="AG341" s="4">
        <v>114.42</v>
      </c>
      <c r="AH341" s="4">
        <f t="shared" si="62"/>
        <v>0</v>
      </c>
      <c r="AI341" s="4">
        <v>-14.67</v>
      </c>
      <c r="AJ341" s="4">
        <f t="shared" si="64"/>
        <v>2.5459999999999998</v>
      </c>
      <c r="AT341">
        <v>340</v>
      </c>
      <c r="AU341">
        <v>89.09</v>
      </c>
      <c r="AV341">
        <f t="shared" si="63"/>
        <v>0</v>
      </c>
      <c r="AW341">
        <v>-7.72</v>
      </c>
      <c r="AX341" s="1">
        <f t="shared" si="65"/>
        <v>96.382000000000005</v>
      </c>
      <c r="BH341">
        <v>340</v>
      </c>
      <c r="BI341">
        <v>139.44999999999999</v>
      </c>
      <c r="BJ341">
        <f t="shared" si="66"/>
        <v>0</v>
      </c>
      <c r="BK341">
        <v>-7.72</v>
      </c>
      <c r="BL341" s="1">
        <f t="shared" si="67"/>
        <v>140.31</v>
      </c>
      <c r="BT341">
        <v>340</v>
      </c>
      <c r="BU341" s="2">
        <v>147.59</v>
      </c>
      <c r="BV341">
        <f t="shared" si="68"/>
        <v>183.35</v>
      </c>
      <c r="BW341">
        <v>29.35</v>
      </c>
      <c r="BX341">
        <f t="shared" si="71"/>
        <v>158.94399999999999</v>
      </c>
      <c r="BY341" t="s">
        <v>0</v>
      </c>
    </row>
    <row r="342" spans="1:77" x14ac:dyDescent="0.25">
      <c r="A342">
        <v>342</v>
      </c>
      <c r="B342">
        <v>9.11</v>
      </c>
      <c r="C342">
        <v>342</v>
      </c>
      <c r="D342">
        <f t="shared" si="69"/>
        <v>-13.200000000000003</v>
      </c>
      <c r="E342" s="1">
        <f t="shared" si="70"/>
        <v>0</v>
      </c>
      <c r="Q342">
        <v>341</v>
      </c>
      <c r="R342" s="5">
        <v>83.57</v>
      </c>
      <c r="S342" s="4">
        <f t="shared" si="61"/>
        <v>0</v>
      </c>
      <c r="T342" s="4">
        <v>-0.77</v>
      </c>
      <c r="U342" s="4">
        <f t="shared" si="72"/>
        <v>1.546</v>
      </c>
      <c r="AF342">
        <v>341</v>
      </c>
      <c r="AG342" s="4">
        <v>113.88</v>
      </c>
      <c r="AH342" s="4">
        <f t="shared" si="62"/>
        <v>0</v>
      </c>
      <c r="AI342" s="4">
        <v>-10.81</v>
      </c>
      <c r="AJ342" s="4">
        <f t="shared" si="64"/>
        <v>1.7719999999999998</v>
      </c>
      <c r="AT342">
        <v>341</v>
      </c>
      <c r="AU342">
        <v>88.74</v>
      </c>
      <c r="AV342">
        <f t="shared" si="63"/>
        <v>0</v>
      </c>
      <c r="AW342">
        <v>-6.95</v>
      </c>
      <c r="AX342" s="1">
        <f t="shared" si="65"/>
        <v>97.153999999999996</v>
      </c>
      <c r="BH342">
        <v>341</v>
      </c>
      <c r="BI342">
        <v>139.02000000000001</v>
      </c>
      <c r="BJ342">
        <f t="shared" si="66"/>
        <v>0</v>
      </c>
      <c r="BK342">
        <v>-8.5</v>
      </c>
      <c r="BL342" s="1">
        <f t="shared" si="67"/>
        <v>139.84399999999999</v>
      </c>
      <c r="BT342">
        <v>341</v>
      </c>
      <c r="BU342" s="2">
        <v>147.9</v>
      </c>
      <c r="BV342">
        <f t="shared" si="68"/>
        <v>166.36</v>
      </c>
      <c r="BW342">
        <v>12.36</v>
      </c>
      <c r="BX342">
        <f t="shared" si="71"/>
        <v>147.20400000000001</v>
      </c>
      <c r="BY342" t="s">
        <v>0</v>
      </c>
    </row>
    <row r="343" spans="1:77" x14ac:dyDescent="0.25">
      <c r="A343">
        <v>343</v>
      </c>
      <c r="B343">
        <v>8.61</v>
      </c>
      <c r="C343">
        <v>343</v>
      </c>
      <c r="D343">
        <f t="shared" si="69"/>
        <v>-10</v>
      </c>
      <c r="E343" s="1">
        <f t="shared" si="70"/>
        <v>0.64000000000000057</v>
      </c>
      <c r="Q343">
        <v>342</v>
      </c>
      <c r="R343" s="5">
        <v>84.03</v>
      </c>
      <c r="S343" s="4">
        <f t="shared" si="61"/>
        <v>9.27</v>
      </c>
      <c r="T343" s="4">
        <v>9.27</v>
      </c>
      <c r="U343" s="4">
        <f t="shared" si="72"/>
        <v>2.008</v>
      </c>
      <c r="AF343">
        <v>342</v>
      </c>
      <c r="AG343" s="4">
        <v>113.38</v>
      </c>
      <c r="AH343" s="4">
        <f t="shared" si="62"/>
        <v>0</v>
      </c>
      <c r="AI343" s="4">
        <v>-10.039999999999999</v>
      </c>
      <c r="AJ343" s="4">
        <f t="shared" si="64"/>
        <v>1.1540000000000004</v>
      </c>
      <c r="AT343">
        <v>342</v>
      </c>
      <c r="AU343">
        <v>88.36</v>
      </c>
      <c r="AV343">
        <f t="shared" si="63"/>
        <v>0</v>
      </c>
      <c r="AW343">
        <v>-7.72</v>
      </c>
      <c r="AX343" s="1">
        <f t="shared" si="65"/>
        <v>96.846000000000004</v>
      </c>
      <c r="BH343">
        <v>342</v>
      </c>
      <c r="BI343">
        <v>138.6</v>
      </c>
      <c r="BJ343">
        <f t="shared" si="66"/>
        <v>0</v>
      </c>
      <c r="BK343">
        <v>-8.5</v>
      </c>
      <c r="BL343" s="1">
        <f t="shared" si="67"/>
        <v>140</v>
      </c>
      <c r="BT343">
        <v>342</v>
      </c>
      <c r="BU343" s="2">
        <v>148.1</v>
      </c>
      <c r="BV343">
        <f t="shared" si="68"/>
        <v>161.72</v>
      </c>
      <c r="BW343">
        <v>7.72</v>
      </c>
      <c r="BX343">
        <f t="shared" si="71"/>
        <v>152.14400000000001</v>
      </c>
      <c r="BY343" t="s">
        <v>0</v>
      </c>
    </row>
    <row r="344" spans="1:77" x14ac:dyDescent="0.25">
      <c r="A344">
        <v>344</v>
      </c>
      <c r="B344">
        <v>8.19</v>
      </c>
      <c r="C344">
        <v>344</v>
      </c>
      <c r="D344">
        <f t="shared" si="69"/>
        <v>-8.3999999999999986</v>
      </c>
      <c r="E344" s="1">
        <f t="shared" si="70"/>
        <v>0.32000000000000028</v>
      </c>
      <c r="Q344">
        <v>343</v>
      </c>
      <c r="R344" s="5">
        <v>84.22</v>
      </c>
      <c r="S344" s="4">
        <f t="shared" si="61"/>
        <v>3.86</v>
      </c>
      <c r="T344" s="4">
        <v>3.86</v>
      </c>
      <c r="U344" s="4">
        <f t="shared" si="72"/>
        <v>-1.0820000000000001</v>
      </c>
      <c r="AF344">
        <v>343</v>
      </c>
      <c r="AG344" s="4">
        <v>112.95</v>
      </c>
      <c r="AH344" s="4">
        <f t="shared" si="62"/>
        <v>0</v>
      </c>
      <c r="AI344" s="4">
        <v>-8.5</v>
      </c>
      <c r="AJ344" s="4">
        <f t="shared" si="64"/>
        <v>1.3079999999999998</v>
      </c>
      <c r="AT344">
        <v>343</v>
      </c>
      <c r="AU344">
        <v>88.01</v>
      </c>
      <c r="AV344">
        <f t="shared" si="63"/>
        <v>0</v>
      </c>
      <c r="AW344">
        <v>-6.95</v>
      </c>
      <c r="AX344" s="1">
        <f t="shared" si="65"/>
        <v>97.153999999999996</v>
      </c>
      <c r="BH344">
        <v>343</v>
      </c>
      <c r="BI344">
        <v>138.29</v>
      </c>
      <c r="BJ344">
        <f t="shared" si="66"/>
        <v>0</v>
      </c>
      <c r="BK344">
        <v>-6.18</v>
      </c>
      <c r="BL344" s="1">
        <f t="shared" si="67"/>
        <v>140.464</v>
      </c>
      <c r="BT344">
        <v>343</v>
      </c>
      <c r="BU344">
        <v>147.75</v>
      </c>
      <c r="BV344">
        <f t="shared" si="68"/>
        <v>0</v>
      </c>
      <c r="BW344">
        <v>-13.9</v>
      </c>
      <c r="BX344">
        <f t="shared" si="71"/>
        <v>145.352</v>
      </c>
      <c r="BY344" t="s">
        <v>0</v>
      </c>
    </row>
    <row r="345" spans="1:77" x14ac:dyDescent="0.25">
      <c r="A345">
        <v>345</v>
      </c>
      <c r="B345">
        <v>7.61</v>
      </c>
      <c r="C345">
        <v>345</v>
      </c>
      <c r="D345">
        <f t="shared" si="69"/>
        <v>-11.599999999999984</v>
      </c>
      <c r="E345" s="1">
        <f t="shared" si="70"/>
        <v>-0.63999999999999702</v>
      </c>
      <c r="Q345">
        <v>344</v>
      </c>
      <c r="R345" s="4">
        <v>84.11</v>
      </c>
      <c r="S345" s="4">
        <f t="shared" si="61"/>
        <v>0</v>
      </c>
      <c r="T345" s="4">
        <v>-2.3199999999999998</v>
      </c>
      <c r="U345" s="4">
        <f t="shared" si="72"/>
        <v>-1.236</v>
      </c>
      <c r="AF345">
        <v>344</v>
      </c>
      <c r="AG345" s="4">
        <v>112.53</v>
      </c>
      <c r="AH345" s="4">
        <f t="shared" si="62"/>
        <v>0</v>
      </c>
      <c r="AI345" s="4">
        <v>-8.5</v>
      </c>
      <c r="AJ345" s="4">
        <f t="shared" si="64"/>
        <v>1</v>
      </c>
      <c r="AT345">
        <v>344</v>
      </c>
      <c r="AU345">
        <v>87.66</v>
      </c>
      <c r="AV345">
        <f t="shared" si="63"/>
        <v>0</v>
      </c>
      <c r="AW345">
        <v>-6.95</v>
      </c>
      <c r="AX345" s="1">
        <f t="shared" si="65"/>
        <v>97</v>
      </c>
      <c r="BH345">
        <v>344</v>
      </c>
      <c r="BI345">
        <v>137.86000000000001</v>
      </c>
      <c r="BJ345">
        <f t="shared" si="66"/>
        <v>0</v>
      </c>
      <c r="BK345">
        <v>-8.5</v>
      </c>
      <c r="BL345" s="1">
        <f t="shared" si="67"/>
        <v>139.536</v>
      </c>
      <c r="BT345">
        <v>344</v>
      </c>
      <c r="BU345">
        <v>147.36000000000001</v>
      </c>
      <c r="BV345">
        <f t="shared" si="68"/>
        <v>0</v>
      </c>
      <c r="BW345">
        <v>-15.45</v>
      </c>
      <c r="BX345">
        <f t="shared" si="71"/>
        <v>153.38</v>
      </c>
      <c r="BY345" t="s">
        <v>0</v>
      </c>
    </row>
    <row r="346" spans="1:77" x14ac:dyDescent="0.25">
      <c r="A346">
        <v>346</v>
      </c>
      <c r="B346">
        <v>7.18</v>
      </c>
      <c r="C346">
        <v>346</v>
      </c>
      <c r="D346">
        <f t="shared" si="69"/>
        <v>-8.6000000000000121</v>
      </c>
      <c r="E346" s="1">
        <f t="shared" si="70"/>
        <v>0.59999999999999432</v>
      </c>
      <c r="Q346">
        <v>345</v>
      </c>
      <c r="R346" s="4">
        <v>84.07</v>
      </c>
      <c r="S346" s="4">
        <f t="shared" si="61"/>
        <v>0</v>
      </c>
      <c r="T346" s="4">
        <v>-0.77</v>
      </c>
      <c r="U346" s="4">
        <f t="shared" si="72"/>
        <v>0.30999999999999994</v>
      </c>
      <c r="AF346">
        <v>345</v>
      </c>
      <c r="AG346" s="4">
        <v>112.1</v>
      </c>
      <c r="AH346" s="4">
        <f t="shared" si="62"/>
        <v>0</v>
      </c>
      <c r="AI346" s="4">
        <v>-8.5</v>
      </c>
      <c r="AJ346" s="4">
        <f t="shared" si="64"/>
        <v>1</v>
      </c>
      <c r="AT346">
        <v>345</v>
      </c>
      <c r="AU346">
        <v>87.39</v>
      </c>
      <c r="AV346">
        <f t="shared" si="63"/>
        <v>0</v>
      </c>
      <c r="AW346">
        <v>-5.41</v>
      </c>
      <c r="AX346" s="1">
        <f t="shared" si="65"/>
        <v>97.308000000000007</v>
      </c>
      <c r="BH346">
        <v>345</v>
      </c>
      <c r="BI346">
        <v>137.55000000000001</v>
      </c>
      <c r="BJ346">
        <f t="shared" si="66"/>
        <v>0</v>
      </c>
      <c r="BK346">
        <v>-6.18</v>
      </c>
      <c r="BL346" s="1">
        <f t="shared" si="67"/>
        <v>140.464</v>
      </c>
      <c r="BT346">
        <v>345</v>
      </c>
      <c r="BU346">
        <v>146.55000000000001</v>
      </c>
      <c r="BV346">
        <f t="shared" si="68"/>
        <v>0</v>
      </c>
      <c r="BW346">
        <v>-32.44</v>
      </c>
      <c r="BX346">
        <f t="shared" si="71"/>
        <v>147.20400000000001</v>
      </c>
      <c r="BY346" t="s">
        <v>0</v>
      </c>
    </row>
    <row r="347" spans="1:77" x14ac:dyDescent="0.25">
      <c r="A347">
        <v>347</v>
      </c>
      <c r="B347">
        <v>6.76</v>
      </c>
      <c r="C347">
        <v>347</v>
      </c>
      <c r="D347">
        <f t="shared" si="69"/>
        <v>-8.3999999999999986</v>
      </c>
      <c r="E347" s="1">
        <f t="shared" si="70"/>
        <v>4.00000000000027E-2</v>
      </c>
      <c r="Q347">
        <v>346</v>
      </c>
      <c r="R347" s="4">
        <v>83.61</v>
      </c>
      <c r="S347" s="4">
        <f t="shared" si="61"/>
        <v>0</v>
      </c>
      <c r="T347" s="4">
        <v>-9.27</v>
      </c>
      <c r="U347" s="4">
        <f t="shared" si="72"/>
        <v>-1.7</v>
      </c>
      <c r="AF347">
        <v>346</v>
      </c>
      <c r="AG347" s="4">
        <v>111.68</v>
      </c>
      <c r="AH347" s="4">
        <f t="shared" si="62"/>
        <v>0</v>
      </c>
      <c r="AI347" s="4">
        <v>-8.5</v>
      </c>
      <c r="AJ347" s="4">
        <f t="shared" si="64"/>
        <v>1</v>
      </c>
      <c r="AT347">
        <v>346</v>
      </c>
      <c r="AU347">
        <v>87.12</v>
      </c>
      <c r="AV347">
        <f t="shared" si="63"/>
        <v>0</v>
      </c>
      <c r="AW347">
        <v>-5.41</v>
      </c>
      <c r="AX347" s="1">
        <f t="shared" si="65"/>
        <v>97</v>
      </c>
      <c r="BH347">
        <v>346</v>
      </c>
      <c r="BI347">
        <v>137.21</v>
      </c>
      <c r="BJ347">
        <f t="shared" si="66"/>
        <v>0</v>
      </c>
      <c r="BK347">
        <v>-6.95</v>
      </c>
      <c r="BL347" s="1">
        <f t="shared" si="67"/>
        <v>139.846</v>
      </c>
      <c r="BT347">
        <v>346</v>
      </c>
      <c r="BU347">
        <v>146.01</v>
      </c>
      <c r="BV347">
        <f t="shared" si="68"/>
        <v>0</v>
      </c>
      <c r="BW347">
        <v>-21.63</v>
      </c>
      <c r="BX347">
        <f t="shared" si="71"/>
        <v>158.32400000000001</v>
      </c>
      <c r="BY347" t="s">
        <v>0</v>
      </c>
    </row>
    <row r="348" spans="1:77" x14ac:dyDescent="0.25">
      <c r="A348">
        <v>348</v>
      </c>
      <c r="B348">
        <v>6.41</v>
      </c>
      <c r="C348">
        <v>348</v>
      </c>
      <c r="D348">
        <f t="shared" si="69"/>
        <v>-6.9999999999999929</v>
      </c>
      <c r="E348" s="1">
        <f t="shared" si="70"/>
        <v>0.28000000000000114</v>
      </c>
      <c r="Q348">
        <v>347</v>
      </c>
      <c r="R348" s="4">
        <v>83.37</v>
      </c>
      <c r="S348" s="4">
        <f t="shared" si="61"/>
        <v>0</v>
      </c>
      <c r="T348" s="4">
        <v>-4.63</v>
      </c>
      <c r="U348" s="4">
        <f t="shared" si="72"/>
        <v>0.92799999999999994</v>
      </c>
      <c r="AF348">
        <v>347</v>
      </c>
      <c r="AG348" s="4">
        <v>111.33</v>
      </c>
      <c r="AH348" s="4">
        <f t="shared" si="62"/>
        <v>0</v>
      </c>
      <c r="AI348" s="4">
        <v>-6.95</v>
      </c>
      <c r="AJ348" s="4">
        <f t="shared" si="64"/>
        <v>1.31</v>
      </c>
      <c r="AT348">
        <v>347</v>
      </c>
      <c r="AU348">
        <v>86.81</v>
      </c>
      <c r="AV348">
        <f t="shared" si="63"/>
        <v>0</v>
      </c>
      <c r="AW348">
        <v>-6.18</v>
      </c>
      <c r="AX348" s="1">
        <f t="shared" si="65"/>
        <v>96.846000000000004</v>
      </c>
      <c r="BH348">
        <v>347</v>
      </c>
      <c r="BI348">
        <v>137.55000000000001</v>
      </c>
      <c r="BJ348">
        <f t="shared" si="66"/>
        <v>146.94999999999999</v>
      </c>
      <c r="BK348">
        <v>6.95</v>
      </c>
      <c r="BL348" s="1">
        <f t="shared" si="67"/>
        <v>142.78</v>
      </c>
      <c r="BT348">
        <v>347</v>
      </c>
      <c r="BU348">
        <v>145.74</v>
      </c>
      <c r="BV348">
        <f t="shared" si="68"/>
        <v>0</v>
      </c>
      <c r="BW348">
        <v>-10.81</v>
      </c>
      <c r="BX348">
        <f t="shared" si="71"/>
        <v>158.328</v>
      </c>
      <c r="BY348" t="s">
        <v>0</v>
      </c>
    </row>
    <row r="349" spans="1:77" x14ac:dyDescent="0.25">
      <c r="A349">
        <v>349</v>
      </c>
      <c r="B349">
        <v>6.18</v>
      </c>
      <c r="C349">
        <v>349</v>
      </c>
      <c r="D349">
        <f t="shared" si="69"/>
        <v>-4.6000000000000085</v>
      </c>
      <c r="E349" s="1">
        <f t="shared" si="70"/>
        <v>0.47999999999999687</v>
      </c>
      <c r="Q349">
        <v>348</v>
      </c>
      <c r="R349" s="4">
        <v>82.91</v>
      </c>
      <c r="S349" s="4">
        <f t="shared" si="61"/>
        <v>0</v>
      </c>
      <c r="T349" s="4">
        <v>-9.27</v>
      </c>
      <c r="U349" s="4">
        <f t="shared" si="72"/>
        <v>-0.92799999999999994</v>
      </c>
      <c r="AF349">
        <v>348</v>
      </c>
      <c r="AG349" s="6">
        <v>111.14</v>
      </c>
      <c r="AH349" s="4">
        <f t="shared" si="62"/>
        <v>0</v>
      </c>
      <c r="AI349" s="4">
        <v>-3.86</v>
      </c>
      <c r="AJ349" s="4">
        <f t="shared" si="64"/>
        <v>1.6180000000000001</v>
      </c>
      <c r="AT349">
        <v>348</v>
      </c>
      <c r="AU349">
        <v>86.93</v>
      </c>
      <c r="AV349">
        <f t="shared" si="63"/>
        <v>99.32</v>
      </c>
      <c r="AW349">
        <v>2.3199999999999998</v>
      </c>
      <c r="AX349" s="1">
        <f t="shared" si="65"/>
        <v>98.7</v>
      </c>
      <c r="BH349">
        <v>348</v>
      </c>
      <c r="BI349">
        <v>137.9</v>
      </c>
      <c r="BJ349">
        <f t="shared" si="66"/>
        <v>146.94999999999999</v>
      </c>
      <c r="BK349">
        <v>6.95</v>
      </c>
      <c r="BL349" s="1">
        <f t="shared" si="67"/>
        <v>140</v>
      </c>
      <c r="BT349">
        <v>348</v>
      </c>
      <c r="BU349">
        <v>145.66</v>
      </c>
      <c r="BV349">
        <f t="shared" si="68"/>
        <v>0</v>
      </c>
      <c r="BW349">
        <v>-3.09</v>
      </c>
      <c r="BX349">
        <f t="shared" si="71"/>
        <v>157.08799999999999</v>
      </c>
      <c r="BY349" t="s">
        <v>0</v>
      </c>
    </row>
    <row r="350" spans="1:77" x14ac:dyDescent="0.25">
      <c r="A350">
        <v>350</v>
      </c>
      <c r="B350">
        <v>5.95</v>
      </c>
      <c r="C350">
        <v>350</v>
      </c>
      <c r="D350">
        <f t="shared" si="69"/>
        <v>-4.5999999999999908</v>
      </c>
      <c r="E350" s="1">
        <f t="shared" si="70"/>
        <v>3.5527136788005009E-15</v>
      </c>
      <c r="Q350">
        <v>349</v>
      </c>
      <c r="R350" s="4">
        <v>82.49</v>
      </c>
      <c r="S350" s="4">
        <f t="shared" si="61"/>
        <v>0</v>
      </c>
      <c r="T350" s="4">
        <v>-8.5</v>
      </c>
      <c r="U350" s="4">
        <f t="shared" si="72"/>
        <v>0.15399999999999991</v>
      </c>
      <c r="AF350">
        <v>349</v>
      </c>
      <c r="AG350" s="6">
        <v>112.14</v>
      </c>
      <c r="AH350" s="4">
        <f t="shared" si="62"/>
        <v>21.08</v>
      </c>
      <c r="AI350" s="4">
        <v>20.079999999999998</v>
      </c>
      <c r="AJ350" s="4">
        <f t="shared" si="64"/>
        <v>5.7879999999999994</v>
      </c>
      <c r="AT350">
        <v>349</v>
      </c>
      <c r="AU350">
        <v>88.01</v>
      </c>
      <c r="AV350">
        <f t="shared" si="63"/>
        <v>118.63</v>
      </c>
      <c r="AW350">
        <v>21.63</v>
      </c>
      <c r="AX350" s="1">
        <f t="shared" si="65"/>
        <v>100.86199999999999</v>
      </c>
      <c r="BH350">
        <v>349</v>
      </c>
      <c r="BI350">
        <v>137.71</v>
      </c>
      <c r="BJ350">
        <f t="shared" si="66"/>
        <v>0</v>
      </c>
      <c r="BK350">
        <v>-3.86</v>
      </c>
      <c r="BL350" s="1">
        <f t="shared" si="67"/>
        <v>137.83799999999999</v>
      </c>
      <c r="BT350">
        <v>349</v>
      </c>
      <c r="BU350">
        <v>145.51</v>
      </c>
      <c r="BV350">
        <f t="shared" si="68"/>
        <v>0</v>
      </c>
      <c r="BW350">
        <v>-6.18</v>
      </c>
      <c r="BX350">
        <f t="shared" si="71"/>
        <v>152.76400000000001</v>
      </c>
      <c r="BY350" t="s">
        <v>0</v>
      </c>
    </row>
    <row r="351" spans="1:77" x14ac:dyDescent="0.25">
      <c r="A351">
        <v>351</v>
      </c>
      <c r="B351">
        <v>5.64</v>
      </c>
      <c r="C351">
        <v>351</v>
      </c>
      <c r="D351">
        <f t="shared" si="69"/>
        <v>-6.2000000000000099</v>
      </c>
      <c r="E351" s="1">
        <f t="shared" si="70"/>
        <v>-0.32000000000000384</v>
      </c>
      <c r="Q351">
        <v>350</v>
      </c>
      <c r="R351" s="4">
        <v>82.02</v>
      </c>
      <c r="S351" s="4">
        <f t="shared" si="61"/>
        <v>0</v>
      </c>
      <c r="T351" s="4">
        <v>-9.27</v>
      </c>
      <c r="U351" s="4">
        <f t="shared" si="72"/>
        <v>-0.15399999999999991</v>
      </c>
      <c r="AF351">
        <v>350</v>
      </c>
      <c r="AG351" s="6">
        <v>112.41</v>
      </c>
      <c r="AH351" s="4">
        <f t="shared" si="62"/>
        <v>6.41</v>
      </c>
      <c r="AI351" s="4">
        <v>5.41</v>
      </c>
      <c r="AJ351" s="4">
        <f t="shared" si="64"/>
        <v>-1.9339999999999997</v>
      </c>
      <c r="AT351">
        <v>350</v>
      </c>
      <c r="AU351">
        <v>88.78</v>
      </c>
      <c r="AV351">
        <f t="shared" si="63"/>
        <v>112.45</v>
      </c>
      <c r="AW351">
        <v>15.45</v>
      </c>
      <c r="AX351" s="1">
        <f t="shared" si="65"/>
        <v>95.763999999999996</v>
      </c>
      <c r="BH351">
        <v>350</v>
      </c>
      <c r="BI351">
        <v>137.09</v>
      </c>
      <c r="BJ351">
        <f t="shared" si="66"/>
        <v>0</v>
      </c>
      <c r="BK351">
        <v>-12.36</v>
      </c>
      <c r="BL351" s="1">
        <f t="shared" si="67"/>
        <v>138.30000000000001</v>
      </c>
      <c r="BT351">
        <v>350</v>
      </c>
      <c r="BU351">
        <v>145.32</v>
      </c>
      <c r="BV351">
        <f t="shared" si="68"/>
        <v>0</v>
      </c>
      <c r="BW351">
        <v>-7.72</v>
      </c>
      <c r="BX351">
        <f t="shared" si="71"/>
        <v>153.38399999999999</v>
      </c>
      <c r="BY351" t="s">
        <v>0</v>
      </c>
    </row>
    <row r="352" spans="1:77" x14ac:dyDescent="0.25">
      <c r="A352">
        <v>352</v>
      </c>
      <c r="B352">
        <v>5.41</v>
      </c>
      <c r="C352">
        <v>352</v>
      </c>
      <c r="D352">
        <f t="shared" si="69"/>
        <v>-4.5999999999999908</v>
      </c>
      <c r="E352" s="1">
        <f t="shared" si="70"/>
        <v>0.32000000000000384</v>
      </c>
      <c r="Q352">
        <v>351</v>
      </c>
      <c r="R352" s="4">
        <v>81.44</v>
      </c>
      <c r="S352" s="4">
        <f t="shared" si="61"/>
        <v>0</v>
      </c>
      <c r="T352" s="4">
        <v>-11.59</v>
      </c>
      <c r="U352" s="4">
        <f t="shared" si="72"/>
        <v>-0.46400000000000008</v>
      </c>
      <c r="AF352">
        <v>351</v>
      </c>
      <c r="AG352" s="4">
        <v>112.03</v>
      </c>
      <c r="AH352" s="4">
        <f t="shared" si="62"/>
        <v>0</v>
      </c>
      <c r="AI352" s="4">
        <v>-7.72</v>
      </c>
      <c r="AJ352" s="4">
        <f t="shared" si="64"/>
        <v>-1.6259999999999999</v>
      </c>
      <c r="AT352">
        <v>351</v>
      </c>
      <c r="AU352">
        <v>88.43</v>
      </c>
      <c r="AV352">
        <f t="shared" si="63"/>
        <v>0</v>
      </c>
      <c r="AW352">
        <v>-6.95</v>
      </c>
      <c r="AX352" s="1">
        <f t="shared" si="65"/>
        <v>92.52</v>
      </c>
      <c r="BH352">
        <v>351</v>
      </c>
      <c r="BI352">
        <v>136.12</v>
      </c>
      <c r="BJ352">
        <f t="shared" si="66"/>
        <v>0</v>
      </c>
      <c r="BK352">
        <v>-19.309999999999999</v>
      </c>
      <c r="BL352" s="1">
        <f t="shared" si="67"/>
        <v>138.61000000000001</v>
      </c>
      <c r="BT352">
        <v>351</v>
      </c>
      <c r="BU352">
        <v>145.16</v>
      </c>
      <c r="BV352">
        <f t="shared" si="68"/>
        <v>0</v>
      </c>
      <c r="BW352">
        <v>-6.18</v>
      </c>
      <c r="BX352">
        <f t="shared" si="71"/>
        <v>154.61600000000001</v>
      </c>
      <c r="BY352" t="s">
        <v>0</v>
      </c>
    </row>
    <row r="353" spans="1:77" x14ac:dyDescent="0.25">
      <c r="A353">
        <v>353</v>
      </c>
      <c r="B353">
        <v>5.0999999999999996</v>
      </c>
      <c r="C353">
        <v>353</v>
      </c>
      <c r="D353">
        <f t="shared" si="69"/>
        <v>-6.2000000000000099</v>
      </c>
      <c r="E353" s="1">
        <f t="shared" si="70"/>
        <v>-0.32000000000000384</v>
      </c>
      <c r="Q353">
        <v>352</v>
      </c>
      <c r="R353" s="4">
        <v>81.02</v>
      </c>
      <c r="S353" s="4">
        <f t="shared" si="61"/>
        <v>0</v>
      </c>
      <c r="T353" s="4">
        <v>-8.5</v>
      </c>
      <c r="U353" s="4">
        <f t="shared" si="72"/>
        <v>0.61799999999999999</v>
      </c>
      <c r="AF353">
        <v>352</v>
      </c>
      <c r="AG353" s="4">
        <v>111.22</v>
      </c>
      <c r="AH353" s="4">
        <f t="shared" si="62"/>
        <v>0</v>
      </c>
      <c r="AI353" s="4">
        <v>-16.22</v>
      </c>
      <c r="AJ353" s="4">
        <f t="shared" si="64"/>
        <v>-0.7</v>
      </c>
      <c r="AT353">
        <v>352</v>
      </c>
      <c r="AU353">
        <v>88.28</v>
      </c>
      <c r="AV353">
        <f t="shared" si="63"/>
        <v>0</v>
      </c>
      <c r="AW353">
        <v>-3.09</v>
      </c>
      <c r="AX353" s="1">
        <f t="shared" si="65"/>
        <v>97.772000000000006</v>
      </c>
      <c r="BH353">
        <v>352</v>
      </c>
      <c r="BI353">
        <v>135.66</v>
      </c>
      <c r="BJ353">
        <f t="shared" si="66"/>
        <v>0</v>
      </c>
      <c r="BK353">
        <v>-9.27</v>
      </c>
      <c r="BL353" s="1">
        <f t="shared" si="67"/>
        <v>142.00800000000001</v>
      </c>
      <c r="BT353">
        <v>352</v>
      </c>
      <c r="BU353">
        <v>144.97</v>
      </c>
      <c r="BV353">
        <f t="shared" si="68"/>
        <v>0</v>
      </c>
      <c r="BW353">
        <v>-7.72</v>
      </c>
      <c r="BX353">
        <f t="shared" si="71"/>
        <v>153.38399999999999</v>
      </c>
      <c r="BY353" t="s">
        <v>0</v>
      </c>
    </row>
    <row r="354" spans="1:77" x14ac:dyDescent="0.25">
      <c r="A354">
        <v>354</v>
      </c>
      <c r="B354">
        <v>4.83</v>
      </c>
      <c r="C354">
        <v>354</v>
      </c>
      <c r="D354">
        <f t="shared" si="69"/>
        <v>-5.3999999999999915</v>
      </c>
      <c r="E354" s="1">
        <f t="shared" si="70"/>
        <v>0.16000000000000369</v>
      </c>
      <c r="Q354">
        <v>353</v>
      </c>
      <c r="R354" s="4">
        <v>80.709999999999994</v>
      </c>
      <c r="S354" s="4">
        <f t="shared" si="61"/>
        <v>0</v>
      </c>
      <c r="T354" s="4">
        <v>-6.18</v>
      </c>
      <c r="U354" s="4">
        <f t="shared" si="72"/>
        <v>0.46400000000000008</v>
      </c>
      <c r="AF354">
        <v>353</v>
      </c>
      <c r="AG354" s="4">
        <v>110.29</v>
      </c>
      <c r="AH354" s="4">
        <f t="shared" si="62"/>
        <v>0</v>
      </c>
      <c r="AI354" s="4">
        <v>-18.54</v>
      </c>
      <c r="AJ354" s="4">
        <f t="shared" si="64"/>
        <v>0.53599999999999992</v>
      </c>
      <c r="AT354">
        <v>353</v>
      </c>
      <c r="AU354">
        <v>87.89</v>
      </c>
      <c r="AV354">
        <f t="shared" si="63"/>
        <v>0</v>
      </c>
      <c r="AW354">
        <v>-7.72</v>
      </c>
      <c r="AX354" s="1">
        <f t="shared" si="65"/>
        <v>96.073999999999998</v>
      </c>
      <c r="BH354">
        <v>353</v>
      </c>
      <c r="BI354">
        <v>135.28</v>
      </c>
      <c r="BJ354">
        <f t="shared" si="66"/>
        <v>0</v>
      </c>
      <c r="BK354">
        <v>-7.72</v>
      </c>
      <c r="BL354" s="1">
        <f t="shared" si="67"/>
        <v>140.31</v>
      </c>
      <c r="BT354">
        <v>353</v>
      </c>
      <c r="BU354">
        <v>144.69999999999999</v>
      </c>
      <c r="BV354">
        <f t="shared" si="68"/>
        <v>0</v>
      </c>
      <c r="BW354">
        <v>-10.81</v>
      </c>
      <c r="BX354">
        <f t="shared" si="71"/>
        <v>152.76400000000001</v>
      </c>
      <c r="BY354" t="s">
        <v>0</v>
      </c>
    </row>
    <row r="355" spans="1:77" x14ac:dyDescent="0.25">
      <c r="A355">
        <v>355</v>
      </c>
      <c r="B355">
        <v>4.75</v>
      </c>
      <c r="C355">
        <v>355</v>
      </c>
      <c r="D355">
        <f t="shared" si="69"/>
        <v>-1.6000000000000014</v>
      </c>
      <c r="E355" s="1">
        <f t="shared" si="70"/>
        <v>0.75999999999999801</v>
      </c>
      <c r="Q355">
        <v>354</v>
      </c>
      <c r="R355" s="4">
        <v>80.400000000000006</v>
      </c>
      <c r="S355" s="4">
        <f t="shared" si="61"/>
        <v>0</v>
      </c>
      <c r="T355" s="4">
        <v>-6.18</v>
      </c>
      <c r="U355" s="4">
        <f t="shared" si="72"/>
        <v>0</v>
      </c>
      <c r="AF355">
        <v>354</v>
      </c>
      <c r="AG355" s="4">
        <v>109.71</v>
      </c>
      <c r="AH355" s="4">
        <f t="shared" si="62"/>
        <v>0</v>
      </c>
      <c r="AI355" s="4">
        <v>-11.59</v>
      </c>
      <c r="AJ355" s="4">
        <f t="shared" si="64"/>
        <v>2.3899999999999997</v>
      </c>
      <c r="AT355">
        <v>354</v>
      </c>
      <c r="AU355">
        <v>87.2</v>
      </c>
      <c r="AV355">
        <f t="shared" si="63"/>
        <v>0</v>
      </c>
      <c r="AW355">
        <v>-13.9</v>
      </c>
      <c r="AX355" s="1">
        <f t="shared" si="65"/>
        <v>95.763999999999996</v>
      </c>
      <c r="BH355">
        <v>354</v>
      </c>
      <c r="BI355">
        <v>134.85</v>
      </c>
      <c r="BJ355">
        <f t="shared" si="66"/>
        <v>0</v>
      </c>
      <c r="BK355">
        <v>-8.5</v>
      </c>
      <c r="BL355" s="1">
        <f t="shared" si="67"/>
        <v>139.84399999999999</v>
      </c>
      <c r="BT355">
        <v>354</v>
      </c>
      <c r="BU355">
        <v>144.5</v>
      </c>
      <c r="BV355">
        <f t="shared" si="68"/>
        <v>0</v>
      </c>
      <c r="BW355">
        <v>-7.72</v>
      </c>
      <c r="BX355">
        <f t="shared" si="71"/>
        <v>155.23599999999999</v>
      </c>
      <c r="BY355" t="s">
        <v>0</v>
      </c>
    </row>
    <row r="356" spans="1:77" x14ac:dyDescent="0.25">
      <c r="A356">
        <v>356</v>
      </c>
      <c r="B356">
        <v>4.5199999999999996</v>
      </c>
      <c r="C356">
        <v>356</v>
      </c>
      <c r="D356">
        <f t="shared" si="69"/>
        <v>-4.6000000000000085</v>
      </c>
      <c r="E356" s="1">
        <f t="shared" si="70"/>
        <v>-0.60000000000000142</v>
      </c>
      <c r="Q356">
        <v>355</v>
      </c>
      <c r="R356" s="5">
        <v>80.36</v>
      </c>
      <c r="S356" s="4">
        <f t="shared" si="61"/>
        <v>0</v>
      </c>
      <c r="T356" s="4">
        <v>-0.77</v>
      </c>
      <c r="U356" s="4">
        <f t="shared" si="72"/>
        <v>1.0820000000000001</v>
      </c>
      <c r="AF356">
        <v>355</v>
      </c>
      <c r="AG356" s="4">
        <v>109.21</v>
      </c>
      <c r="AH356" s="4">
        <f t="shared" si="62"/>
        <v>0</v>
      </c>
      <c r="AI356" s="4">
        <v>-10.039999999999999</v>
      </c>
      <c r="AJ356" s="4">
        <f t="shared" si="64"/>
        <v>1.31</v>
      </c>
      <c r="AT356">
        <v>355</v>
      </c>
      <c r="AU356">
        <v>86.81</v>
      </c>
      <c r="AV356">
        <f t="shared" si="63"/>
        <v>0</v>
      </c>
      <c r="AW356">
        <v>-7.72</v>
      </c>
      <c r="AX356" s="1">
        <f t="shared" si="65"/>
        <v>98.236000000000004</v>
      </c>
      <c r="BH356">
        <v>355</v>
      </c>
      <c r="BI356">
        <v>134.38999999999999</v>
      </c>
      <c r="BJ356">
        <f t="shared" si="66"/>
        <v>0</v>
      </c>
      <c r="BK356">
        <v>-9.27</v>
      </c>
      <c r="BL356" s="1">
        <f t="shared" si="67"/>
        <v>139.846</v>
      </c>
      <c r="BT356">
        <v>355</v>
      </c>
      <c r="BU356">
        <v>144.31</v>
      </c>
      <c r="BV356">
        <f t="shared" si="68"/>
        <v>0</v>
      </c>
      <c r="BW356">
        <v>-7.72</v>
      </c>
      <c r="BX356">
        <f t="shared" si="71"/>
        <v>154</v>
      </c>
      <c r="BY356" t="s">
        <v>0</v>
      </c>
    </row>
    <row r="357" spans="1:77" x14ac:dyDescent="0.25">
      <c r="A357">
        <v>357</v>
      </c>
      <c r="B357">
        <v>4.25</v>
      </c>
      <c r="C357">
        <v>357</v>
      </c>
      <c r="D357">
        <f t="shared" si="69"/>
        <v>-5.3999999999999915</v>
      </c>
      <c r="E357" s="1">
        <f t="shared" si="70"/>
        <v>-0.15999999999999659</v>
      </c>
      <c r="Q357">
        <v>356</v>
      </c>
      <c r="R357" s="5">
        <v>80.75</v>
      </c>
      <c r="S357" s="4">
        <f t="shared" si="61"/>
        <v>7.72</v>
      </c>
      <c r="T357" s="4">
        <v>7.72</v>
      </c>
      <c r="U357" s="4">
        <f t="shared" si="72"/>
        <v>1.698</v>
      </c>
      <c r="AF357">
        <v>356</v>
      </c>
      <c r="AG357" s="4">
        <v>108.75</v>
      </c>
      <c r="AH357" s="4">
        <f t="shared" si="62"/>
        <v>0</v>
      </c>
      <c r="AI357" s="4">
        <v>-9.27</v>
      </c>
      <c r="AJ357" s="4">
        <f t="shared" si="64"/>
        <v>1.1539999999999999</v>
      </c>
      <c r="AT357">
        <v>356</v>
      </c>
      <c r="AU357">
        <v>86.31</v>
      </c>
      <c r="AV357">
        <f t="shared" si="63"/>
        <v>0</v>
      </c>
      <c r="AW357">
        <v>-10.039999999999999</v>
      </c>
      <c r="AX357" s="1">
        <f t="shared" si="65"/>
        <v>96.536000000000001</v>
      </c>
      <c r="BH357">
        <v>356</v>
      </c>
      <c r="BI357">
        <v>134.08000000000001</v>
      </c>
      <c r="BJ357">
        <f t="shared" si="66"/>
        <v>0</v>
      </c>
      <c r="BK357">
        <v>-6.18</v>
      </c>
      <c r="BL357" s="1">
        <f t="shared" si="67"/>
        <v>140.61799999999999</v>
      </c>
      <c r="BT357">
        <v>356</v>
      </c>
      <c r="BU357">
        <v>144.16</v>
      </c>
      <c r="BV357">
        <f t="shared" si="68"/>
        <v>0</v>
      </c>
      <c r="BW357">
        <v>-6.18</v>
      </c>
      <c r="BX357">
        <f t="shared" si="71"/>
        <v>154.61600000000001</v>
      </c>
      <c r="BY357" t="s">
        <v>0</v>
      </c>
    </row>
    <row r="358" spans="1:77" x14ac:dyDescent="0.25">
      <c r="A358">
        <v>358</v>
      </c>
      <c r="B358">
        <v>4.09</v>
      </c>
      <c r="C358">
        <v>358</v>
      </c>
      <c r="D358">
        <f t="shared" si="69"/>
        <v>-3.2000000000000028</v>
      </c>
      <c r="E358" s="1">
        <f t="shared" si="70"/>
        <v>0.43999999999999773</v>
      </c>
      <c r="Q358">
        <v>357</v>
      </c>
      <c r="R358" s="5">
        <v>81.02</v>
      </c>
      <c r="S358" s="4">
        <f t="shared" si="61"/>
        <v>5.41</v>
      </c>
      <c r="T358" s="4">
        <v>5.41</v>
      </c>
      <c r="U358" s="4">
        <f t="shared" si="72"/>
        <v>-0.46199999999999991</v>
      </c>
      <c r="AF358">
        <v>357</v>
      </c>
      <c r="AG358" s="4">
        <v>108.32</v>
      </c>
      <c r="AH358" s="4">
        <f t="shared" si="62"/>
        <v>0</v>
      </c>
      <c r="AI358" s="4">
        <v>-8.5</v>
      </c>
      <c r="AJ358" s="4">
        <f t="shared" si="64"/>
        <v>1.1539999999999999</v>
      </c>
      <c r="AT358">
        <v>357</v>
      </c>
      <c r="AU358">
        <v>85.69</v>
      </c>
      <c r="AV358">
        <f t="shared" si="63"/>
        <v>0</v>
      </c>
      <c r="AW358">
        <v>-12.36</v>
      </c>
      <c r="AX358" s="1">
        <f t="shared" si="65"/>
        <v>96.536000000000001</v>
      </c>
      <c r="BH358">
        <v>357</v>
      </c>
      <c r="BI358">
        <v>133.72999999999999</v>
      </c>
      <c r="BJ358">
        <f t="shared" si="66"/>
        <v>0</v>
      </c>
      <c r="BK358">
        <v>-6.95</v>
      </c>
      <c r="BL358" s="1">
        <f t="shared" si="67"/>
        <v>139.846</v>
      </c>
      <c r="BT358">
        <v>357</v>
      </c>
      <c r="BU358">
        <v>144</v>
      </c>
      <c r="BV358">
        <f t="shared" si="68"/>
        <v>0</v>
      </c>
      <c r="BW358">
        <v>-6.18</v>
      </c>
      <c r="BX358">
        <f t="shared" si="71"/>
        <v>154</v>
      </c>
      <c r="BY358" t="s">
        <v>0</v>
      </c>
    </row>
    <row r="359" spans="1:77" x14ac:dyDescent="0.25">
      <c r="A359">
        <v>359</v>
      </c>
      <c r="B359">
        <v>3.9</v>
      </c>
      <c r="C359">
        <v>359</v>
      </c>
      <c r="D359">
        <f t="shared" si="69"/>
        <v>-3.7999999999999989</v>
      </c>
      <c r="E359" s="1">
        <f t="shared" si="70"/>
        <v>-0.11999999999999922</v>
      </c>
      <c r="Q359">
        <v>358</v>
      </c>
      <c r="R359" s="5">
        <v>81.06</v>
      </c>
      <c r="S359" s="4">
        <f t="shared" si="61"/>
        <v>0.77</v>
      </c>
      <c r="T359" s="4">
        <v>0.77</v>
      </c>
      <c r="U359" s="4">
        <f t="shared" si="72"/>
        <v>-0.92800000000000016</v>
      </c>
      <c r="AF359">
        <v>358</v>
      </c>
      <c r="AG359" s="4">
        <v>107.86</v>
      </c>
      <c r="AH359" s="4">
        <f t="shared" si="62"/>
        <v>0</v>
      </c>
      <c r="AI359" s="4">
        <v>-9.27</v>
      </c>
      <c r="AJ359" s="4">
        <f t="shared" si="64"/>
        <v>0.84600000000000009</v>
      </c>
      <c r="AT359">
        <v>358</v>
      </c>
      <c r="AU359">
        <v>84.96</v>
      </c>
      <c r="AV359">
        <f t="shared" si="63"/>
        <v>0</v>
      </c>
      <c r="AW359">
        <v>-14.67</v>
      </c>
      <c r="AX359" s="1">
        <f t="shared" si="65"/>
        <v>96.537999999999997</v>
      </c>
      <c r="BH359">
        <v>358</v>
      </c>
      <c r="BI359">
        <v>133.38</v>
      </c>
      <c r="BJ359">
        <f t="shared" si="66"/>
        <v>0</v>
      </c>
      <c r="BK359">
        <v>-6.95</v>
      </c>
      <c r="BL359" s="1">
        <f t="shared" si="67"/>
        <v>140</v>
      </c>
      <c r="BT359">
        <v>358</v>
      </c>
      <c r="BU359">
        <v>143.85</v>
      </c>
      <c r="BV359">
        <f t="shared" si="68"/>
        <v>0</v>
      </c>
      <c r="BW359">
        <v>-6.18</v>
      </c>
      <c r="BX359">
        <f t="shared" si="71"/>
        <v>154</v>
      </c>
      <c r="BY359" t="s">
        <v>0</v>
      </c>
    </row>
    <row r="360" spans="1:77" x14ac:dyDescent="0.25">
      <c r="A360">
        <v>360</v>
      </c>
      <c r="B360">
        <v>3.71</v>
      </c>
      <c r="C360">
        <v>360</v>
      </c>
      <c r="D360">
        <f t="shared" si="69"/>
        <v>-3.7999999999999989</v>
      </c>
      <c r="E360" s="1">
        <f t="shared" si="70"/>
        <v>0</v>
      </c>
      <c r="Q360">
        <v>359</v>
      </c>
      <c r="R360" s="4">
        <v>80.86</v>
      </c>
      <c r="S360" s="4">
        <f t="shared" si="61"/>
        <v>0</v>
      </c>
      <c r="T360" s="4">
        <v>-3.86</v>
      </c>
      <c r="U360" s="4">
        <f t="shared" si="72"/>
        <v>-0.92599999999999993</v>
      </c>
      <c r="AF360">
        <v>359</v>
      </c>
      <c r="AG360" s="4">
        <v>107.47</v>
      </c>
      <c r="AH360" s="4">
        <f t="shared" si="62"/>
        <v>0</v>
      </c>
      <c r="AI360" s="4">
        <v>-7.72</v>
      </c>
      <c r="AJ360" s="4">
        <f t="shared" si="64"/>
        <v>1.31</v>
      </c>
      <c r="AT360">
        <v>359</v>
      </c>
      <c r="AU360">
        <v>84.38</v>
      </c>
      <c r="AV360">
        <f t="shared" si="63"/>
        <v>0</v>
      </c>
      <c r="AW360">
        <v>-11.59</v>
      </c>
      <c r="AX360" s="1">
        <f t="shared" si="65"/>
        <v>97.616</v>
      </c>
      <c r="BH360">
        <v>359</v>
      </c>
      <c r="BI360">
        <v>133.27000000000001</v>
      </c>
      <c r="BJ360">
        <f t="shared" si="66"/>
        <v>0</v>
      </c>
      <c r="BK360">
        <v>-2.3199999999999998</v>
      </c>
      <c r="BL360" s="1">
        <f t="shared" si="67"/>
        <v>140.92599999999999</v>
      </c>
      <c r="BT360">
        <v>359</v>
      </c>
      <c r="BU360">
        <v>144.19999999999999</v>
      </c>
      <c r="BV360">
        <f t="shared" si="68"/>
        <v>167.9</v>
      </c>
      <c r="BW360">
        <v>13.9</v>
      </c>
      <c r="BX360">
        <f t="shared" si="71"/>
        <v>162.03200000000001</v>
      </c>
      <c r="BY360" t="s">
        <v>0</v>
      </c>
    </row>
    <row r="361" spans="1:77" x14ac:dyDescent="0.25">
      <c r="A361">
        <v>361</v>
      </c>
      <c r="B361">
        <v>3.51</v>
      </c>
      <c r="C361">
        <v>361</v>
      </c>
      <c r="D361">
        <f t="shared" si="69"/>
        <v>-4.0000000000000036</v>
      </c>
      <c r="E361" s="1">
        <f t="shared" si="70"/>
        <v>-4.0000000000000924E-2</v>
      </c>
      <c r="Q361">
        <v>360</v>
      </c>
      <c r="R361" s="4">
        <v>80.52</v>
      </c>
      <c r="S361" s="4">
        <f t="shared" si="61"/>
        <v>0</v>
      </c>
      <c r="T361" s="4">
        <v>-6.95</v>
      </c>
      <c r="U361" s="4">
        <f t="shared" si="72"/>
        <v>-0.6180000000000001</v>
      </c>
      <c r="AF361">
        <v>360</v>
      </c>
      <c r="AG361" s="4">
        <v>107.08</v>
      </c>
      <c r="AH361" s="4">
        <f t="shared" si="62"/>
        <v>0</v>
      </c>
      <c r="AI361" s="4">
        <v>-7.72</v>
      </c>
      <c r="AJ361" s="4">
        <f t="shared" si="64"/>
        <v>1</v>
      </c>
      <c r="AT361">
        <v>360</v>
      </c>
      <c r="AU361">
        <v>83.84</v>
      </c>
      <c r="AV361">
        <f t="shared" si="63"/>
        <v>0</v>
      </c>
      <c r="AW361">
        <v>-10.81</v>
      </c>
      <c r="AX361" s="1">
        <f t="shared" si="65"/>
        <v>97.156000000000006</v>
      </c>
      <c r="BH361">
        <v>360</v>
      </c>
      <c r="BI361">
        <v>133.72999999999999</v>
      </c>
      <c r="BJ361">
        <f t="shared" si="66"/>
        <v>149.27000000000001</v>
      </c>
      <c r="BK361">
        <v>9.27</v>
      </c>
      <c r="BL361" s="1">
        <f t="shared" si="67"/>
        <v>142.31800000000001</v>
      </c>
      <c r="BT361">
        <v>360</v>
      </c>
      <c r="BU361">
        <v>145.01</v>
      </c>
      <c r="BV361">
        <f t="shared" si="68"/>
        <v>186.44</v>
      </c>
      <c r="BW361">
        <v>32.44</v>
      </c>
      <c r="BX361">
        <f t="shared" si="71"/>
        <v>161.416</v>
      </c>
      <c r="BY361" t="s">
        <v>0</v>
      </c>
    </row>
    <row r="362" spans="1:77" x14ac:dyDescent="0.25">
      <c r="A362">
        <v>362</v>
      </c>
      <c r="B362">
        <v>3.36</v>
      </c>
      <c r="C362">
        <v>362</v>
      </c>
      <c r="D362">
        <f t="shared" si="69"/>
        <v>-2.9999999999999982</v>
      </c>
      <c r="E362" s="1">
        <f t="shared" si="70"/>
        <v>0.20000000000000107</v>
      </c>
      <c r="Q362">
        <v>361</v>
      </c>
      <c r="R362" s="4">
        <v>80.13</v>
      </c>
      <c r="S362" s="4">
        <f t="shared" si="61"/>
        <v>0</v>
      </c>
      <c r="T362" s="4">
        <v>-7.72</v>
      </c>
      <c r="U362" s="4">
        <f t="shared" si="72"/>
        <v>-0.15399999999999991</v>
      </c>
      <c r="AF362">
        <v>361</v>
      </c>
      <c r="AG362" s="4">
        <v>106.66</v>
      </c>
      <c r="AH362" s="4">
        <f t="shared" si="62"/>
        <v>0</v>
      </c>
      <c r="AI362" s="4">
        <v>-8.5</v>
      </c>
      <c r="AJ362" s="4">
        <f t="shared" si="64"/>
        <v>0.84399999999999997</v>
      </c>
      <c r="AT362">
        <v>361</v>
      </c>
      <c r="AU362">
        <v>83.26</v>
      </c>
      <c r="AV362">
        <f t="shared" si="63"/>
        <v>0</v>
      </c>
      <c r="AW362">
        <v>-11.59</v>
      </c>
      <c r="AX362" s="1">
        <f t="shared" si="65"/>
        <v>96.843999999999994</v>
      </c>
      <c r="BH362">
        <v>361</v>
      </c>
      <c r="BI362">
        <v>134.12</v>
      </c>
      <c r="BJ362">
        <f t="shared" si="66"/>
        <v>147.72</v>
      </c>
      <c r="BK362">
        <v>7.72</v>
      </c>
      <c r="BL362" s="1">
        <f t="shared" si="67"/>
        <v>139.69</v>
      </c>
      <c r="BT362">
        <v>361</v>
      </c>
      <c r="BU362">
        <v>145.59</v>
      </c>
      <c r="BV362">
        <f t="shared" si="68"/>
        <v>177.17000000000002</v>
      </c>
      <c r="BW362">
        <v>23.17</v>
      </c>
      <c r="BX362">
        <f t="shared" si="71"/>
        <v>150.292</v>
      </c>
      <c r="BY362" t="s">
        <v>0</v>
      </c>
    </row>
    <row r="363" spans="1:77" x14ac:dyDescent="0.25">
      <c r="A363">
        <v>363</v>
      </c>
      <c r="B363">
        <v>3.28</v>
      </c>
      <c r="C363">
        <v>363</v>
      </c>
      <c r="D363">
        <f t="shared" si="69"/>
        <v>-1.6000000000000014</v>
      </c>
      <c r="E363" s="1">
        <f t="shared" si="70"/>
        <v>0.27999999999999936</v>
      </c>
      <c r="Q363">
        <v>362</v>
      </c>
      <c r="R363" s="4">
        <v>79.709999999999994</v>
      </c>
      <c r="S363" s="4">
        <f t="shared" si="61"/>
        <v>0</v>
      </c>
      <c r="T363" s="4">
        <v>-8.5</v>
      </c>
      <c r="U363" s="4">
        <f t="shared" si="72"/>
        <v>-0.15600000000000006</v>
      </c>
      <c r="AF363">
        <v>362</v>
      </c>
      <c r="AG363" s="6">
        <v>106.39</v>
      </c>
      <c r="AH363" s="4">
        <f t="shared" si="62"/>
        <v>0</v>
      </c>
      <c r="AI363" s="4">
        <v>-5.41</v>
      </c>
      <c r="AJ363" s="4">
        <f t="shared" si="64"/>
        <v>1.6179999999999999</v>
      </c>
      <c r="AT363">
        <v>362</v>
      </c>
      <c r="AU363">
        <v>82.91</v>
      </c>
      <c r="AV363">
        <f t="shared" si="63"/>
        <v>0</v>
      </c>
      <c r="AW363">
        <v>-6.95</v>
      </c>
      <c r="AX363" s="1">
        <f t="shared" si="65"/>
        <v>97.927999999999997</v>
      </c>
      <c r="BH363">
        <v>362</v>
      </c>
      <c r="BI363">
        <v>133.88</v>
      </c>
      <c r="BJ363">
        <f t="shared" si="66"/>
        <v>0</v>
      </c>
      <c r="BK363">
        <v>-4.63</v>
      </c>
      <c r="BL363" s="1">
        <f t="shared" si="67"/>
        <v>137.53</v>
      </c>
      <c r="BT363">
        <v>362</v>
      </c>
      <c r="BU363">
        <v>145.62</v>
      </c>
      <c r="BV363">
        <f t="shared" si="68"/>
        <v>155.54</v>
      </c>
      <c r="BW363">
        <v>1.54</v>
      </c>
      <c r="BX363">
        <f t="shared" si="71"/>
        <v>145.34800000000001</v>
      </c>
      <c r="BY363" t="s">
        <v>0</v>
      </c>
    </row>
    <row r="364" spans="1:77" x14ac:dyDescent="0.25">
      <c r="A364">
        <v>364</v>
      </c>
      <c r="B364">
        <v>3.09</v>
      </c>
      <c r="C364">
        <v>364</v>
      </c>
      <c r="D364">
        <f t="shared" si="69"/>
        <v>-3.7999999999999989</v>
      </c>
      <c r="E364" s="1">
        <f t="shared" si="70"/>
        <v>-0.4399999999999995</v>
      </c>
      <c r="Q364">
        <v>363</v>
      </c>
      <c r="R364" s="4">
        <v>79.28</v>
      </c>
      <c r="S364" s="4">
        <f t="shared" si="61"/>
        <v>0</v>
      </c>
      <c r="T364" s="4">
        <v>-8.5</v>
      </c>
      <c r="U364" s="4">
        <f t="shared" si="72"/>
        <v>0</v>
      </c>
      <c r="AF364">
        <v>363</v>
      </c>
      <c r="AG364" s="6">
        <v>107.32</v>
      </c>
      <c r="AH364" s="4">
        <f t="shared" si="62"/>
        <v>19.54</v>
      </c>
      <c r="AI364" s="4">
        <v>18.54</v>
      </c>
      <c r="AJ364" s="4">
        <f t="shared" si="64"/>
        <v>5.79</v>
      </c>
      <c r="AT364">
        <v>363</v>
      </c>
      <c r="AU364">
        <v>82.56</v>
      </c>
      <c r="AV364">
        <f t="shared" si="63"/>
        <v>0</v>
      </c>
      <c r="AW364">
        <v>-6.95</v>
      </c>
      <c r="AX364" s="1">
        <f t="shared" si="65"/>
        <v>97</v>
      </c>
      <c r="BH364">
        <v>363</v>
      </c>
      <c r="BI364">
        <v>133.27000000000001</v>
      </c>
      <c r="BJ364">
        <f t="shared" si="66"/>
        <v>0</v>
      </c>
      <c r="BK364">
        <v>-12.36</v>
      </c>
      <c r="BL364" s="1">
        <f t="shared" si="67"/>
        <v>138.45400000000001</v>
      </c>
      <c r="BT364">
        <v>363</v>
      </c>
      <c r="BU364">
        <v>145.32</v>
      </c>
      <c r="BV364">
        <f t="shared" si="68"/>
        <v>0</v>
      </c>
      <c r="BW364">
        <v>-12.36</v>
      </c>
      <c r="BX364">
        <f t="shared" si="71"/>
        <v>148.44</v>
      </c>
      <c r="BY364" t="s">
        <v>0</v>
      </c>
    </row>
    <row r="365" spans="1:77" x14ac:dyDescent="0.25">
      <c r="A365">
        <v>365</v>
      </c>
      <c r="B365">
        <v>2.97</v>
      </c>
      <c r="C365">
        <v>365</v>
      </c>
      <c r="D365">
        <f t="shared" si="69"/>
        <v>-2.3999999999999932</v>
      </c>
      <c r="E365" s="1">
        <f t="shared" si="70"/>
        <v>0.28000000000000114</v>
      </c>
      <c r="Q365">
        <v>364</v>
      </c>
      <c r="R365" s="4">
        <v>78.739999999999995</v>
      </c>
      <c r="S365" s="4">
        <f t="shared" si="61"/>
        <v>0</v>
      </c>
      <c r="T365" s="4">
        <v>-10.81</v>
      </c>
      <c r="U365" s="4">
        <f t="shared" si="72"/>
        <v>-0.46200000000000008</v>
      </c>
      <c r="AF365">
        <v>364</v>
      </c>
      <c r="AG365" s="6">
        <v>107.86</v>
      </c>
      <c r="AH365" s="4">
        <f t="shared" si="62"/>
        <v>11.81</v>
      </c>
      <c r="AI365" s="4">
        <v>10.81</v>
      </c>
      <c r="AJ365" s="4">
        <f t="shared" si="64"/>
        <v>-0.54599999999999982</v>
      </c>
      <c r="AT365">
        <v>364</v>
      </c>
      <c r="AU365">
        <v>82.22</v>
      </c>
      <c r="AV365">
        <f t="shared" si="63"/>
        <v>0</v>
      </c>
      <c r="AW365">
        <v>-6.95</v>
      </c>
      <c r="AX365" s="1">
        <f t="shared" si="65"/>
        <v>97</v>
      </c>
      <c r="BH365">
        <v>364</v>
      </c>
      <c r="BI365">
        <v>132.34</v>
      </c>
      <c r="BJ365">
        <f t="shared" si="66"/>
        <v>0</v>
      </c>
      <c r="BK365">
        <v>-18.54</v>
      </c>
      <c r="BL365" s="1">
        <f t="shared" si="67"/>
        <v>138.76400000000001</v>
      </c>
      <c r="BT365">
        <v>364</v>
      </c>
      <c r="BU365">
        <v>144.97</v>
      </c>
      <c r="BV365">
        <f t="shared" si="68"/>
        <v>0</v>
      </c>
      <c r="BW365">
        <v>-13.9</v>
      </c>
      <c r="BX365">
        <f t="shared" si="71"/>
        <v>153.38399999999999</v>
      </c>
      <c r="BY365" t="s">
        <v>0</v>
      </c>
    </row>
    <row r="366" spans="1:77" x14ac:dyDescent="0.25">
      <c r="A366">
        <v>366</v>
      </c>
      <c r="B366">
        <v>2.86</v>
      </c>
      <c r="C366">
        <v>366</v>
      </c>
      <c r="D366">
        <f t="shared" si="69"/>
        <v>-2.2000000000000064</v>
      </c>
      <c r="E366" s="1">
        <f t="shared" si="70"/>
        <v>3.9999999999997371E-2</v>
      </c>
      <c r="Q366">
        <v>365</v>
      </c>
      <c r="R366" s="4">
        <v>78.349999999999994</v>
      </c>
      <c r="S366" s="4">
        <f t="shared" si="61"/>
        <v>0</v>
      </c>
      <c r="T366" s="4">
        <v>-7.72</v>
      </c>
      <c r="U366" s="4">
        <f t="shared" si="72"/>
        <v>0.6180000000000001</v>
      </c>
      <c r="AF366">
        <v>365</v>
      </c>
      <c r="AG366" s="4">
        <v>107.66</v>
      </c>
      <c r="AH366" s="4">
        <f t="shared" si="62"/>
        <v>0</v>
      </c>
      <c r="AI366" s="4">
        <v>-3.86</v>
      </c>
      <c r="AJ366" s="4">
        <f t="shared" si="64"/>
        <v>-1.9340000000000002</v>
      </c>
      <c r="AT366">
        <v>365</v>
      </c>
      <c r="AU366">
        <v>81.98</v>
      </c>
      <c r="AV366">
        <f t="shared" si="63"/>
        <v>0</v>
      </c>
      <c r="AW366">
        <v>-4.63</v>
      </c>
      <c r="AX366" s="1">
        <f t="shared" si="65"/>
        <v>97.463999999999999</v>
      </c>
      <c r="BH366">
        <v>365</v>
      </c>
      <c r="BI366">
        <v>131.88</v>
      </c>
      <c r="BJ366">
        <f t="shared" si="66"/>
        <v>0</v>
      </c>
      <c r="BK366">
        <v>-9.27</v>
      </c>
      <c r="BL366" s="1">
        <f t="shared" si="67"/>
        <v>141.85400000000001</v>
      </c>
      <c r="BT366">
        <v>365</v>
      </c>
      <c r="BU366">
        <v>144.31</v>
      </c>
      <c r="BV366">
        <f t="shared" si="68"/>
        <v>0</v>
      </c>
      <c r="BW366">
        <v>-26.26</v>
      </c>
      <c r="BX366">
        <f t="shared" si="71"/>
        <v>149.05600000000001</v>
      </c>
      <c r="BY366" t="s">
        <v>0</v>
      </c>
    </row>
    <row r="367" spans="1:77" x14ac:dyDescent="0.25">
      <c r="A367">
        <v>367</v>
      </c>
      <c r="B367">
        <v>2.74</v>
      </c>
      <c r="C367">
        <v>367</v>
      </c>
      <c r="D367">
        <f t="shared" si="69"/>
        <v>-2.3999999999999932</v>
      </c>
      <c r="E367" s="1">
        <f t="shared" si="70"/>
        <v>-3.9999999999997371E-2</v>
      </c>
      <c r="Q367">
        <v>366</v>
      </c>
      <c r="R367" s="4">
        <v>77.930000000000007</v>
      </c>
      <c r="S367" s="4">
        <f t="shared" si="61"/>
        <v>0</v>
      </c>
      <c r="T367" s="4">
        <v>-8.5</v>
      </c>
      <c r="U367" s="4">
        <f t="shared" si="72"/>
        <v>-0.15600000000000006</v>
      </c>
      <c r="AF367">
        <v>366</v>
      </c>
      <c r="AG367" s="4">
        <v>107.28</v>
      </c>
      <c r="AH367" s="4">
        <f t="shared" si="62"/>
        <v>0</v>
      </c>
      <c r="AI367" s="4">
        <v>-7.72</v>
      </c>
      <c r="AJ367" s="4">
        <f t="shared" si="64"/>
        <v>0.22799999999999998</v>
      </c>
      <c r="AT367">
        <v>366</v>
      </c>
      <c r="AU367">
        <v>81.599999999999994</v>
      </c>
      <c r="AV367">
        <f t="shared" si="63"/>
        <v>0</v>
      </c>
      <c r="AW367">
        <v>-7.72</v>
      </c>
      <c r="AX367" s="1">
        <f t="shared" si="65"/>
        <v>96.382000000000005</v>
      </c>
      <c r="BH367">
        <v>366</v>
      </c>
      <c r="BI367">
        <v>131.44999999999999</v>
      </c>
      <c r="BJ367">
        <f t="shared" si="66"/>
        <v>0</v>
      </c>
      <c r="BK367">
        <v>-8.5</v>
      </c>
      <c r="BL367" s="1">
        <f t="shared" si="67"/>
        <v>140.154</v>
      </c>
      <c r="BT367">
        <v>366</v>
      </c>
      <c r="BU367">
        <v>143.54</v>
      </c>
      <c r="BV367">
        <f t="shared" si="68"/>
        <v>0</v>
      </c>
      <c r="BW367">
        <v>-30.89</v>
      </c>
      <c r="BX367">
        <f t="shared" si="71"/>
        <v>152.148</v>
      </c>
      <c r="BY367" t="s">
        <v>0</v>
      </c>
    </row>
    <row r="368" spans="1:77" x14ac:dyDescent="0.25">
      <c r="A368">
        <v>368</v>
      </c>
      <c r="B368">
        <v>2.66</v>
      </c>
      <c r="C368">
        <v>368</v>
      </c>
      <c r="D368">
        <f t="shared" si="69"/>
        <v>-1.6000000000000014</v>
      </c>
      <c r="E368" s="1">
        <f t="shared" si="70"/>
        <v>0.15999999999999837</v>
      </c>
      <c r="Q368">
        <v>367</v>
      </c>
      <c r="R368" s="4">
        <v>77.5</v>
      </c>
      <c r="S368" s="4">
        <f t="shared" si="61"/>
        <v>0</v>
      </c>
      <c r="T368" s="4">
        <v>-8.5</v>
      </c>
      <c r="U368" s="4">
        <f t="shared" si="72"/>
        <v>0</v>
      </c>
      <c r="AF368">
        <v>367</v>
      </c>
      <c r="AG368" s="4">
        <v>106.31</v>
      </c>
      <c r="AH368" s="4">
        <f t="shared" si="62"/>
        <v>0</v>
      </c>
      <c r="AI368" s="4">
        <v>-19.309999999999999</v>
      </c>
      <c r="AJ368" s="4">
        <f t="shared" si="64"/>
        <v>-1.3180000000000001</v>
      </c>
      <c r="AT368">
        <v>367</v>
      </c>
      <c r="AU368">
        <v>81.290000000000006</v>
      </c>
      <c r="AV368">
        <f t="shared" si="63"/>
        <v>0</v>
      </c>
      <c r="AW368">
        <v>-6.18</v>
      </c>
      <c r="AX368" s="1">
        <f t="shared" si="65"/>
        <v>97.308000000000007</v>
      </c>
      <c r="BH368">
        <v>367</v>
      </c>
      <c r="BI368">
        <v>131.07</v>
      </c>
      <c r="BJ368">
        <f t="shared" si="66"/>
        <v>0</v>
      </c>
      <c r="BK368">
        <v>-7.72</v>
      </c>
      <c r="BL368" s="1">
        <f t="shared" si="67"/>
        <v>140.15600000000001</v>
      </c>
      <c r="BT368">
        <v>367</v>
      </c>
      <c r="BU368">
        <v>143.11000000000001</v>
      </c>
      <c r="BV368">
        <f t="shared" si="68"/>
        <v>0</v>
      </c>
      <c r="BW368">
        <v>-16.989999999999998</v>
      </c>
      <c r="BX368">
        <f t="shared" si="71"/>
        <v>159.56</v>
      </c>
      <c r="BY368" t="s">
        <v>0</v>
      </c>
    </row>
    <row r="369" spans="1:77" x14ac:dyDescent="0.25">
      <c r="A369">
        <v>369</v>
      </c>
      <c r="B369">
        <v>2.4700000000000002</v>
      </c>
      <c r="C369">
        <v>369</v>
      </c>
      <c r="D369">
        <f t="shared" si="69"/>
        <v>-3.7999999999999989</v>
      </c>
      <c r="E369" s="1">
        <f t="shared" si="70"/>
        <v>-0.4399999999999995</v>
      </c>
      <c r="Q369">
        <v>368</v>
      </c>
      <c r="R369" s="4">
        <v>77.2</v>
      </c>
      <c r="S369" s="4">
        <f t="shared" si="61"/>
        <v>0</v>
      </c>
      <c r="T369" s="4">
        <v>-6.18</v>
      </c>
      <c r="U369" s="4">
        <f t="shared" si="72"/>
        <v>0.46400000000000008</v>
      </c>
      <c r="AF369">
        <v>368</v>
      </c>
      <c r="AG369" s="4">
        <v>105.46</v>
      </c>
      <c r="AH369" s="4">
        <f t="shared" si="62"/>
        <v>0</v>
      </c>
      <c r="AI369" s="4">
        <v>-16.989999999999998</v>
      </c>
      <c r="AJ369" s="4">
        <f t="shared" si="64"/>
        <v>1.464</v>
      </c>
      <c r="AT369">
        <v>368</v>
      </c>
      <c r="AU369">
        <v>80.94</v>
      </c>
      <c r="AV369">
        <f t="shared" si="63"/>
        <v>0</v>
      </c>
      <c r="AW369">
        <v>-6.95</v>
      </c>
      <c r="AX369" s="1">
        <f t="shared" si="65"/>
        <v>96.846000000000004</v>
      </c>
      <c r="BH369">
        <v>368</v>
      </c>
      <c r="BI369">
        <v>130.72</v>
      </c>
      <c r="BJ369">
        <f t="shared" si="66"/>
        <v>0</v>
      </c>
      <c r="BK369">
        <v>-6.95</v>
      </c>
      <c r="BL369" s="1">
        <f t="shared" si="67"/>
        <v>140.154</v>
      </c>
      <c r="BT369">
        <v>368</v>
      </c>
      <c r="BU369">
        <v>143</v>
      </c>
      <c r="BV369">
        <f t="shared" si="68"/>
        <v>0</v>
      </c>
      <c r="BW369">
        <v>-4.63</v>
      </c>
      <c r="BX369">
        <f t="shared" si="71"/>
        <v>158.94399999999999</v>
      </c>
      <c r="BY369" t="s">
        <v>0</v>
      </c>
    </row>
    <row r="370" spans="1:77" x14ac:dyDescent="0.25">
      <c r="A370">
        <v>370</v>
      </c>
      <c r="B370">
        <v>2.3199999999999998</v>
      </c>
      <c r="C370">
        <v>370</v>
      </c>
      <c r="D370">
        <f t="shared" si="69"/>
        <v>-3.0000000000000071</v>
      </c>
      <c r="E370" s="1">
        <f t="shared" si="70"/>
        <v>0.15999999999999837</v>
      </c>
      <c r="Q370">
        <v>369</v>
      </c>
      <c r="R370" s="5">
        <v>77.16</v>
      </c>
      <c r="S370" s="4">
        <f t="shared" si="61"/>
        <v>0</v>
      </c>
      <c r="T370" s="4">
        <v>-0.77</v>
      </c>
      <c r="U370" s="4">
        <f t="shared" si="72"/>
        <v>1.0820000000000001</v>
      </c>
      <c r="AF370">
        <v>369</v>
      </c>
      <c r="AG370" s="4">
        <v>105</v>
      </c>
      <c r="AH370" s="4">
        <f t="shared" si="62"/>
        <v>0</v>
      </c>
      <c r="AI370" s="4">
        <v>-9.27</v>
      </c>
      <c r="AJ370" s="4">
        <f t="shared" si="64"/>
        <v>2.5439999999999996</v>
      </c>
      <c r="AT370">
        <v>369</v>
      </c>
      <c r="AU370">
        <v>80.63</v>
      </c>
      <c r="AV370">
        <f t="shared" si="63"/>
        <v>0</v>
      </c>
      <c r="AW370">
        <v>-6.18</v>
      </c>
      <c r="AX370" s="1">
        <f t="shared" si="65"/>
        <v>97.153999999999996</v>
      </c>
      <c r="BH370">
        <v>369</v>
      </c>
      <c r="BI370">
        <v>130.41</v>
      </c>
      <c r="BJ370">
        <f t="shared" si="66"/>
        <v>0</v>
      </c>
      <c r="BK370">
        <v>-6.18</v>
      </c>
      <c r="BL370" s="1">
        <f t="shared" si="67"/>
        <v>140.154</v>
      </c>
      <c r="BT370">
        <v>369</v>
      </c>
      <c r="BU370">
        <v>142.77000000000001</v>
      </c>
      <c r="BV370">
        <f t="shared" si="68"/>
        <v>0</v>
      </c>
      <c r="BW370">
        <v>-9.27</v>
      </c>
      <c r="BX370">
        <f t="shared" si="71"/>
        <v>152.14400000000001</v>
      </c>
      <c r="BY370" t="s">
        <v>0</v>
      </c>
    </row>
    <row r="371" spans="1:77" x14ac:dyDescent="0.25">
      <c r="A371">
        <v>371</v>
      </c>
      <c r="B371">
        <v>2.2400000000000002</v>
      </c>
      <c r="C371">
        <v>371</v>
      </c>
      <c r="D371">
        <f t="shared" si="69"/>
        <v>-1.5999999999999925</v>
      </c>
      <c r="E371" s="1">
        <f t="shared" si="70"/>
        <v>0.28000000000000291</v>
      </c>
      <c r="Q371">
        <v>370</v>
      </c>
      <c r="R371" s="5">
        <v>77.7</v>
      </c>
      <c r="S371" s="4">
        <f t="shared" si="61"/>
        <v>10.81</v>
      </c>
      <c r="T371" s="4">
        <v>10.81</v>
      </c>
      <c r="U371" s="4">
        <f t="shared" si="72"/>
        <v>2.3159999999999998</v>
      </c>
      <c r="AF371">
        <v>370</v>
      </c>
      <c r="AG371" s="4">
        <v>104.46</v>
      </c>
      <c r="AH371" s="4">
        <f t="shared" si="62"/>
        <v>0</v>
      </c>
      <c r="AI371" s="4">
        <v>-10.81</v>
      </c>
      <c r="AJ371" s="4">
        <f t="shared" si="64"/>
        <v>0.69199999999999984</v>
      </c>
      <c r="AT371">
        <v>370</v>
      </c>
      <c r="AU371">
        <v>80.75</v>
      </c>
      <c r="AV371">
        <f t="shared" si="63"/>
        <v>99.32</v>
      </c>
      <c r="AW371">
        <v>2.3199999999999998</v>
      </c>
      <c r="AX371" s="1">
        <f t="shared" si="65"/>
        <v>98.7</v>
      </c>
      <c r="BH371">
        <v>370</v>
      </c>
      <c r="BI371">
        <v>130.06</v>
      </c>
      <c r="BJ371">
        <f t="shared" si="66"/>
        <v>0</v>
      </c>
      <c r="BK371">
        <v>-6.95</v>
      </c>
      <c r="BL371" s="1">
        <f t="shared" si="67"/>
        <v>139.846</v>
      </c>
      <c r="BT371">
        <v>370</v>
      </c>
      <c r="BU371">
        <v>142.61000000000001</v>
      </c>
      <c r="BV371">
        <f t="shared" si="68"/>
        <v>0</v>
      </c>
      <c r="BW371">
        <v>-6.18</v>
      </c>
      <c r="BX371">
        <f t="shared" si="71"/>
        <v>155.23599999999999</v>
      </c>
      <c r="BY371" t="s">
        <v>0</v>
      </c>
    </row>
    <row r="372" spans="1:77" x14ac:dyDescent="0.25">
      <c r="A372">
        <v>372</v>
      </c>
      <c r="B372">
        <v>2.2000000000000002</v>
      </c>
      <c r="C372">
        <v>372</v>
      </c>
      <c r="D372">
        <f t="shared" si="69"/>
        <v>-0.80000000000000071</v>
      </c>
      <c r="E372" s="1">
        <f t="shared" si="70"/>
        <v>0.15999999999999837</v>
      </c>
      <c r="Q372">
        <v>371</v>
      </c>
      <c r="R372" s="5">
        <v>77.97</v>
      </c>
      <c r="S372" s="4">
        <f t="shared" si="61"/>
        <v>5.41</v>
      </c>
      <c r="T372" s="4">
        <v>5.41</v>
      </c>
      <c r="U372" s="4">
        <f t="shared" si="72"/>
        <v>-1.08</v>
      </c>
      <c r="AF372">
        <v>371</v>
      </c>
      <c r="AG372" s="4">
        <v>104.07</v>
      </c>
      <c r="AH372" s="4">
        <f t="shared" si="62"/>
        <v>0</v>
      </c>
      <c r="AI372" s="4">
        <v>-7.72</v>
      </c>
      <c r="AJ372" s="4">
        <f t="shared" si="64"/>
        <v>1.6180000000000001</v>
      </c>
      <c r="AT372">
        <v>371</v>
      </c>
      <c r="AU372">
        <v>81.98</v>
      </c>
      <c r="AV372">
        <f t="shared" si="63"/>
        <v>121.71000000000001</v>
      </c>
      <c r="AW372">
        <v>24.71</v>
      </c>
      <c r="AX372" s="1">
        <f t="shared" si="65"/>
        <v>101.47799999999999</v>
      </c>
      <c r="BH372">
        <v>371</v>
      </c>
      <c r="BI372">
        <v>129.75</v>
      </c>
      <c r="BJ372">
        <f t="shared" si="66"/>
        <v>0</v>
      </c>
      <c r="BK372">
        <v>-6.18</v>
      </c>
      <c r="BL372" s="1">
        <f t="shared" si="67"/>
        <v>140.154</v>
      </c>
      <c r="BT372">
        <v>371</v>
      </c>
      <c r="BU372">
        <v>142.34</v>
      </c>
      <c r="BV372">
        <f t="shared" si="68"/>
        <v>0</v>
      </c>
      <c r="BW372">
        <v>-10.81</v>
      </c>
      <c r="BX372">
        <f t="shared" si="71"/>
        <v>152.148</v>
      </c>
      <c r="BY372" t="s">
        <v>0</v>
      </c>
    </row>
    <row r="373" spans="1:77" x14ac:dyDescent="0.25">
      <c r="A373">
        <v>373</v>
      </c>
      <c r="B373">
        <v>2.09</v>
      </c>
      <c r="C373">
        <v>373</v>
      </c>
      <c r="D373">
        <f t="shared" si="69"/>
        <v>-2.2000000000000064</v>
      </c>
      <c r="E373" s="1">
        <f t="shared" si="70"/>
        <v>-0.28000000000000114</v>
      </c>
      <c r="Q373">
        <v>372</v>
      </c>
      <c r="R373" s="4">
        <v>77.97</v>
      </c>
      <c r="S373" s="4">
        <f t="shared" si="61"/>
        <v>0</v>
      </c>
      <c r="T373" s="4">
        <v>0</v>
      </c>
      <c r="U373" s="4">
        <f t="shared" si="72"/>
        <v>-1.0820000000000001</v>
      </c>
      <c r="AF373">
        <v>372</v>
      </c>
      <c r="AG373" s="4">
        <v>103.61</v>
      </c>
      <c r="AH373" s="4">
        <f t="shared" si="62"/>
        <v>0</v>
      </c>
      <c r="AI373" s="4">
        <v>-9.27</v>
      </c>
      <c r="AJ373" s="4">
        <f t="shared" si="64"/>
        <v>0.69000000000000006</v>
      </c>
      <c r="AT373">
        <v>372</v>
      </c>
      <c r="AU373">
        <v>82.83</v>
      </c>
      <c r="AV373">
        <f t="shared" si="63"/>
        <v>113.99</v>
      </c>
      <c r="AW373">
        <v>16.989999999999998</v>
      </c>
      <c r="AX373" s="1">
        <f t="shared" si="65"/>
        <v>95.456000000000003</v>
      </c>
      <c r="BH373">
        <v>372</v>
      </c>
      <c r="BI373">
        <v>129.94999999999999</v>
      </c>
      <c r="BJ373">
        <f t="shared" si="66"/>
        <v>143.86000000000001</v>
      </c>
      <c r="BK373">
        <v>3.86</v>
      </c>
      <c r="BL373" s="1">
        <f t="shared" si="67"/>
        <v>142.00800000000001</v>
      </c>
      <c r="BT373">
        <v>372</v>
      </c>
      <c r="BU373">
        <v>142.11000000000001</v>
      </c>
      <c r="BV373">
        <f t="shared" si="68"/>
        <v>0</v>
      </c>
      <c r="BW373">
        <v>-9.27</v>
      </c>
      <c r="BX373">
        <f t="shared" si="71"/>
        <v>154.61600000000001</v>
      </c>
      <c r="BY373" t="s">
        <v>0</v>
      </c>
    </row>
    <row r="374" spans="1:77" x14ac:dyDescent="0.25">
      <c r="A374">
        <v>374</v>
      </c>
      <c r="B374">
        <v>1.97</v>
      </c>
      <c r="C374">
        <v>374</v>
      </c>
      <c r="D374">
        <f t="shared" si="69"/>
        <v>-2.3999999999999977</v>
      </c>
      <c r="E374" s="1">
        <f t="shared" si="70"/>
        <v>-3.9999999999998259E-2</v>
      </c>
      <c r="Q374">
        <v>373</v>
      </c>
      <c r="R374" s="4">
        <v>77.849999999999994</v>
      </c>
      <c r="S374" s="4">
        <f t="shared" si="61"/>
        <v>0</v>
      </c>
      <c r="T374" s="4">
        <v>-2.3199999999999998</v>
      </c>
      <c r="U374" s="4">
        <f t="shared" si="72"/>
        <v>-0.46399999999999997</v>
      </c>
      <c r="AF374">
        <v>373</v>
      </c>
      <c r="AG374" s="4">
        <v>103.34</v>
      </c>
      <c r="AH374" s="4">
        <f t="shared" si="62"/>
        <v>0</v>
      </c>
      <c r="AI374" s="4">
        <v>-5.41</v>
      </c>
      <c r="AJ374" s="4">
        <f t="shared" si="64"/>
        <v>1.7719999999999998</v>
      </c>
      <c r="AT374">
        <v>373</v>
      </c>
      <c r="AU374">
        <v>82.72</v>
      </c>
      <c r="AV374">
        <f t="shared" si="63"/>
        <v>0</v>
      </c>
      <c r="AW374">
        <v>-2.3199999999999998</v>
      </c>
      <c r="AX374" s="1">
        <f t="shared" si="65"/>
        <v>93.138000000000005</v>
      </c>
      <c r="BH374">
        <v>373</v>
      </c>
      <c r="BI374">
        <v>130.68</v>
      </c>
      <c r="BJ374">
        <f t="shared" si="66"/>
        <v>154.66999999999999</v>
      </c>
      <c r="BK374">
        <v>14.67</v>
      </c>
      <c r="BL374" s="1">
        <f t="shared" si="67"/>
        <v>142.16200000000001</v>
      </c>
      <c r="BT374">
        <v>373</v>
      </c>
      <c r="BU374">
        <v>141.91999999999999</v>
      </c>
      <c r="BV374">
        <f t="shared" si="68"/>
        <v>0</v>
      </c>
      <c r="BW374">
        <v>-7.72</v>
      </c>
      <c r="BX374">
        <f t="shared" si="71"/>
        <v>154.62</v>
      </c>
      <c r="BY374" t="s">
        <v>0</v>
      </c>
    </row>
    <row r="375" spans="1:77" x14ac:dyDescent="0.25">
      <c r="A375">
        <v>375</v>
      </c>
      <c r="B375">
        <v>1.93</v>
      </c>
      <c r="C375">
        <v>375</v>
      </c>
      <c r="D375">
        <f t="shared" si="69"/>
        <v>-0.80000000000000071</v>
      </c>
      <c r="E375" s="1">
        <f t="shared" si="70"/>
        <v>0.3199999999999994</v>
      </c>
      <c r="Q375">
        <v>374</v>
      </c>
      <c r="R375" s="4">
        <v>77.5</v>
      </c>
      <c r="S375" s="4">
        <f t="shared" si="61"/>
        <v>0</v>
      </c>
      <c r="T375" s="4">
        <v>-6.95</v>
      </c>
      <c r="U375" s="4">
        <f t="shared" si="72"/>
        <v>-0.92600000000000016</v>
      </c>
      <c r="AF375">
        <v>374</v>
      </c>
      <c r="AG375" s="4">
        <v>102.91</v>
      </c>
      <c r="AH375" s="4">
        <f t="shared" si="62"/>
        <v>0</v>
      </c>
      <c r="AI375" s="4">
        <v>-8.5</v>
      </c>
      <c r="AJ375" s="4">
        <f t="shared" si="64"/>
        <v>0.38200000000000001</v>
      </c>
      <c r="AT375">
        <v>374</v>
      </c>
      <c r="AU375">
        <v>82.79</v>
      </c>
      <c r="AV375">
        <f t="shared" si="63"/>
        <v>98.54</v>
      </c>
      <c r="AW375">
        <v>1.54</v>
      </c>
      <c r="AX375" s="1">
        <f t="shared" si="65"/>
        <v>97.772000000000006</v>
      </c>
      <c r="BH375">
        <v>374</v>
      </c>
      <c r="BI375">
        <v>130.72</v>
      </c>
      <c r="BJ375">
        <f t="shared" si="66"/>
        <v>140.77000000000001</v>
      </c>
      <c r="BK375">
        <v>0.77</v>
      </c>
      <c r="BL375" s="1">
        <f t="shared" si="67"/>
        <v>137.22</v>
      </c>
      <c r="BT375">
        <v>374</v>
      </c>
      <c r="BU375">
        <v>141.69</v>
      </c>
      <c r="BV375">
        <f t="shared" si="68"/>
        <v>0</v>
      </c>
      <c r="BW375">
        <v>-9.27</v>
      </c>
      <c r="BX375">
        <f t="shared" si="71"/>
        <v>153.38</v>
      </c>
      <c r="BY375" t="s">
        <v>0</v>
      </c>
    </row>
    <row r="376" spans="1:77" x14ac:dyDescent="0.25">
      <c r="A376">
        <v>376</v>
      </c>
      <c r="B376">
        <v>1.85</v>
      </c>
      <c r="C376">
        <v>376</v>
      </c>
      <c r="D376">
        <f t="shared" si="69"/>
        <v>-1.599999999999997</v>
      </c>
      <c r="E376" s="1">
        <f t="shared" si="70"/>
        <v>-0.15999999999999925</v>
      </c>
      <c r="Q376">
        <v>375</v>
      </c>
      <c r="R376" s="4">
        <v>77.08</v>
      </c>
      <c r="S376" s="4">
        <f t="shared" si="61"/>
        <v>0</v>
      </c>
      <c r="T376" s="4">
        <v>-8.5</v>
      </c>
      <c r="U376" s="4">
        <f t="shared" si="72"/>
        <v>-0.30999999999999994</v>
      </c>
      <c r="AF376">
        <v>375</v>
      </c>
      <c r="AG376" s="4">
        <v>102.57</v>
      </c>
      <c r="AH376" s="4">
        <f t="shared" si="62"/>
        <v>0</v>
      </c>
      <c r="AI376" s="4">
        <v>-6.95</v>
      </c>
      <c r="AJ376" s="4">
        <f t="shared" si="64"/>
        <v>1.31</v>
      </c>
      <c r="AT376">
        <v>375</v>
      </c>
      <c r="AU376">
        <v>82.72</v>
      </c>
      <c r="AV376">
        <f t="shared" si="63"/>
        <v>0</v>
      </c>
      <c r="AW376">
        <v>-1.54</v>
      </c>
      <c r="AX376" s="1">
        <f t="shared" si="65"/>
        <v>96.384</v>
      </c>
      <c r="BH376">
        <v>375</v>
      </c>
      <c r="BI376">
        <v>130.44999999999999</v>
      </c>
      <c r="BJ376">
        <f t="shared" si="66"/>
        <v>0</v>
      </c>
      <c r="BK376">
        <v>-5.41</v>
      </c>
      <c r="BL376" s="1">
        <f t="shared" si="67"/>
        <v>138.76400000000001</v>
      </c>
      <c r="BT376">
        <v>375</v>
      </c>
      <c r="BU376">
        <v>141.53</v>
      </c>
      <c r="BV376">
        <f t="shared" si="68"/>
        <v>0</v>
      </c>
      <c r="BW376">
        <v>-6.18</v>
      </c>
      <c r="BX376">
        <f t="shared" si="71"/>
        <v>155.23599999999999</v>
      </c>
      <c r="BY376" t="s">
        <v>0</v>
      </c>
    </row>
    <row r="377" spans="1:77" x14ac:dyDescent="0.25">
      <c r="A377">
        <v>377</v>
      </c>
      <c r="B377">
        <v>1.74</v>
      </c>
      <c r="C377">
        <v>377</v>
      </c>
      <c r="D377">
        <f t="shared" si="69"/>
        <v>-2.200000000000002</v>
      </c>
      <c r="E377" s="1">
        <f t="shared" si="70"/>
        <v>-0.12000000000000099</v>
      </c>
      <c r="Q377">
        <v>376</v>
      </c>
      <c r="R377" s="4">
        <v>76.69</v>
      </c>
      <c r="S377" s="4">
        <f t="shared" si="61"/>
        <v>0</v>
      </c>
      <c r="T377" s="4">
        <v>-7.72</v>
      </c>
      <c r="U377" s="4">
        <f t="shared" si="72"/>
        <v>0.15600000000000006</v>
      </c>
      <c r="AF377">
        <v>376</v>
      </c>
      <c r="AG377" s="6">
        <v>102.49</v>
      </c>
      <c r="AH377" s="4">
        <f t="shared" si="62"/>
        <v>0</v>
      </c>
      <c r="AI377" s="4">
        <v>-1.54</v>
      </c>
      <c r="AJ377" s="4">
        <f t="shared" si="64"/>
        <v>2.0819999999999999</v>
      </c>
      <c r="AT377">
        <v>376</v>
      </c>
      <c r="AU377">
        <v>82.41</v>
      </c>
      <c r="AV377">
        <f t="shared" si="63"/>
        <v>0</v>
      </c>
      <c r="AW377">
        <v>-6.18</v>
      </c>
      <c r="AX377" s="1">
        <f t="shared" si="65"/>
        <v>96.072000000000003</v>
      </c>
      <c r="BH377">
        <v>376</v>
      </c>
      <c r="BI377">
        <v>129.63999999999999</v>
      </c>
      <c r="BJ377">
        <f t="shared" si="66"/>
        <v>0</v>
      </c>
      <c r="BK377">
        <v>-16.22</v>
      </c>
      <c r="BL377" s="1">
        <f t="shared" si="67"/>
        <v>137.83799999999999</v>
      </c>
      <c r="BT377">
        <v>376</v>
      </c>
      <c r="BU377">
        <v>141.41999999999999</v>
      </c>
      <c r="BV377">
        <f t="shared" si="68"/>
        <v>0</v>
      </c>
      <c r="BW377">
        <v>-4.63</v>
      </c>
      <c r="BX377">
        <f t="shared" si="71"/>
        <v>154.62</v>
      </c>
      <c r="BY377" t="s">
        <v>0</v>
      </c>
    </row>
    <row r="378" spans="1:77" x14ac:dyDescent="0.25">
      <c r="A378">
        <v>378</v>
      </c>
      <c r="B378">
        <v>1.66</v>
      </c>
      <c r="C378">
        <v>378</v>
      </c>
      <c r="D378">
        <f t="shared" si="69"/>
        <v>-1.6000000000000014</v>
      </c>
      <c r="E378" s="1">
        <f t="shared" si="70"/>
        <v>0.12000000000000011</v>
      </c>
      <c r="Q378">
        <v>377</v>
      </c>
      <c r="R378" s="4">
        <v>76.42</v>
      </c>
      <c r="S378" s="4">
        <f t="shared" si="61"/>
        <v>0</v>
      </c>
      <c r="T378" s="4">
        <v>-5.41</v>
      </c>
      <c r="U378" s="4">
        <f t="shared" si="72"/>
        <v>0.46199999999999991</v>
      </c>
      <c r="AF378">
        <v>377</v>
      </c>
      <c r="AG378" s="6">
        <v>103.8</v>
      </c>
      <c r="AH378" s="4">
        <f t="shared" si="62"/>
        <v>27.26</v>
      </c>
      <c r="AI378" s="4">
        <v>26.26</v>
      </c>
      <c r="AJ378" s="4">
        <f t="shared" si="64"/>
        <v>6.5600000000000005</v>
      </c>
      <c r="AT378">
        <v>377</v>
      </c>
      <c r="AU378">
        <v>82.06</v>
      </c>
      <c r="AV378">
        <f t="shared" si="63"/>
        <v>0</v>
      </c>
      <c r="AW378">
        <v>-6.95</v>
      </c>
      <c r="AX378" s="1">
        <f t="shared" si="65"/>
        <v>96.846000000000004</v>
      </c>
      <c r="BH378">
        <v>377</v>
      </c>
      <c r="BI378">
        <v>128.83000000000001</v>
      </c>
      <c r="BJ378">
        <f t="shared" si="66"/>
        <v>0</v>
      </c>
      <c r="BK378">
        <v>-16.22</v>
      </c>
      <c r="BL378" s="1">
        <f t="shared" si="67"/>
        <v>140</v>
      </c>
      <c r="BT378">
        <v>377</v>
      </c>
      <c r="BU378">
        <v>141.22</v>
      </c>
      <c r="BV378">
        <f t="shared" si="68"/>
        <v>0</v>
      </c>
      <c r="BW378">
        <v>-7.72</v>
      </c>
      <c r="BX378">
        <f t="shared" si="71"/>
        <v>152.76400000000001</v>
      </c>
      <c r="BY378" t="s">
        <v>0</v>
      </c>
    </row>
    <row r="379" spans="1:77" x14ac:dyDescent="0.25">
      <c r="A379">
        <v>379</v>
      </c>
      <c r="B379">
        <v>1.62</v>
      </c>
      <c r="C379">
        <v>379</v>
      </c>
      <c r="D379">
        <f t="shared" si="69"/>
        <v>-0.79999999999999627</v>
      </c>
      <c r="E379" s="1">
        <f t="shared" si="70"/>
        <v>0.16000000000000103</v>
      </c>
      <c r="Q379">
        <v>378</v>
      </c>
      <c r="R379" s="4">
        <v>76.040000000000006</v>
      </c>
      <c r="S379" s="4">
        <f t="shared" si="61"/>
        <v>0</v>
      </c>
      <c r="T379" s="4">
        <v>-7.72</v>
      </c>
      <c r="U379" s="4">
        <f t="shared" si="72"/>
        <v>-0.46199999999999991</v>
      </c>
      <c r="AF379">
        <v>378</v>
      </c>
      <c r="AG379" s="6">
        <v>104.42</v>
      </c>
      <c r="AH379" s="4">
        <f t="shared" si="62"/>
        <v>13.36</v>
      </c>
      <c r="AI379" s="4">
        <v>12.36</v>
      </c>
      <c r="AJ379" s="4">
        <f t="shared" si="64"/>
        <v>-1.7800000000000002</v>
      </c>
      <c r="AT379">
        <v>378</v>
      </c>
      <c r="AU379">
        <v>81.64</v>
      </c>
      <c r="AV379">
        <f t="shared" si="63"/>
        <v>0</v>
      </c>
      <c r="AW379">
        <v>-8.5</v>
      </c>
      <c r="AX379" s="1">
        <f t="shared" si="65"/>
        <v>96.69</v>
      </c>
      <c r="BH379">
        <v>378</v>
      </c>
      <c r="BI379">
        <v>128.32</v>
      </c>
      <c r="BJ379">
        <f t="shared" si="66"/>
        <v>0</v>
      </c>
      <c r="BK379">
        <v>-10.039999999999999</v>
      </c>
      <c r="BL379" s="1">
        <f t="shared" si="67"/>
        <v>141.23599999999999</v>
      </c>
      <c r="BT379">
        <v>378</v>
      </c>
      <c r="BU379">
        <v>141.11000000000001</v>
      </c>
      <c r="BV379">
        <f t="shared" si="68"/>
        <v>0</v>
      </c>
      <c r="BW379">
        <v>-4.63</v>
      </c>
      <c r="BX379">
        <f t="shared" si="71"/>
        <v>155.23599999999999</v>
      </c>
      <c r="BY379" t="s">
        <v>0</v>
      </c>
    </row>
    <row r="380" spans="1:77" x14ac:dyDescent="0.25">
      <c r="A380">
        <v>380</v>
      </c>
      <c r="B380">
        <v>1.54</v>
      </c>
      <c r="C380">
        <v>380</v>
      </c>
      <c r="D380">
        <f t="shared" si="69"/>
        <v>-1.6000000000000014</v>
      </c>
      <c r="E380" s="1">
        <f t="shared" si="70"/>
        <v>-0.16000000000000103</v>
      </c>
      <c r="Q380">
        <v>379</v>
      </c>
      <c r="R380" s="4">
        <v>75.69</v>
      </c>
      <c r="S380" s="4">
        <f t="shared" si="61"/>
        <v>0</v>
      </c>
      <c r="T380" s="4">
        <v>-6.95</v>
      </c>
      <c r="U380" s="4">
        <f t="shared" si="72"/>
        <v>0.15399999999999991</v>
      </c>
      <c r="AF380">
        <v>379</v>
      </c>
      <c r="AG380" s="4">
        <v>104.34</v>
      </c>
      <c r="AH380" s="4">
        <f t="shared" si="62"/>
        <v>0</v>
      </c>
      <c r="AI380" s="4">
        <v>-1.54</v>
      </c>
      <c r="AJ380" s="4">
        <f t="shared" si="64"/>
        <v>-1.7799999999999998</v>
      </c>
      <c r="AT380">
        <v>379</v>
      </c>
      <c r="AU380">
        <v>81.02</v>
      </c>
      <c r="AV380">
        <f t="shared" si="63"/>
        <v>0</v>
      </c>
      <c r="AW380">
        <v>-12.36</v>
      </c>
      <c r="AX380" s="1">
        <f t="shared" si="65"/>
        <v>96.227999999999994</v>
      </c>
      <c r="BH380">
        <v>379</v>
      </c>
      <c r="BI380">
        <v>127.82</v>
      </c>
      <c r="BJ380">
        <f t="shared" si="66"/>
        <v>0</v>
      </c>
      <c r="BK380">
        <v>-10.039999999999999</v>
      </c>
      <c r="BL380" s="1">
        <f t="shared" si="67"/>
        <v>140</v>
      </c>
      <c r="BT380">
        <v>379</v>
      </c>
      <c r="BU380">
        <v>141.57</v>
      </c>
      <c r="BV380">
        <f t="shared" si="68"/>
        <v>172.54</v>
      </c>
      <c r="BW380">
        <v>18.54</v>
      </c>
      <c r="BX380">
        <f t="shared" si="71"/>
        <v>163.268</v>
      </c>
      <c r="BY380" t="s">
        <v>0</v>
      </c>
    </row>
    <row r="381" spans="1:77" x14ac:dyDescent="0.25">
      <c r="A381">
        <v>381</v>
      </c>
      <c r="B381">
        <v>1.43</v>
      </c>
      <c r="C381">
        <v>381</v>
      </c>
      <c r="D381">
        <f t="shared" si="69"/>
        <v>-2.200000000000002</v>
      </c>
      <c r="E381" s="1">
        <f t="shared" si="70"/>
        <v>-0.12000000000000011</v>
      </c>
      <c r="Q381">
        <v>380</v>
      </c>
      <c r="R381" s="4">
        <v>75.34</v>
      </c>
      <c r="S381" s="4">
        <f t="shared" si="61"/>
        <v>0</v>
      </c>
      <c r="T381" s="4">
        <v>-6.95</v>
      </c>
      <c r="U381" s="4">
        <f t="shared" si="72"/>
        <v>0</v>
      </c>
      <c r="AF381">
        <v>380</v>
      </c>
      <c r="AG381" s="4">
        <v>103.92</v>
      </c>
      <c r="AH381" s="4">
        <f t="shared" si="62"/>
        <v>0</v>
      </c>
      <c r="AI381" s="4">
        <v>-8.5</v>
      </c>
      <c r="AJ381" s="4">
        <f t="shared" si="64"/>
        <v>-0.3919999999999999</v>
      </c>
      <c r="AT381">
        <v>380</v>
      </c>
      <c r="AU381">
        <v>80.44</v>
      </c>
      <c r="AV381">
        <f t="shared" si="63"/>
        <v>0</v>
      </c>
      <c r="AW381">
        <v>-11.59</v>
      </c>
      <c r="AX381" s="1">
        <f t="shared" si="65"/>
        <v>97.153999999999996</v>
      </c>
      <c r="BH381">
        <v>380</v>
      </c>
      <c r="BI381">
        <v>127.51</v>
      </c>
      <c r="BJ381">
        <f t="shared" si="66"/>
        <v>0</v>
      </c>
      <c r="BK381">
        <v>-6.18</v>
      </c>
      <c r="BL381" s="1">
        <f t="shared" si="67"/>
        <v>140.77199999999999</v>
      </c>
      <c r="BT381">
        <v>380</v>
      </c>
      <c r="BU381">
        <v>142.30000000000001</v>
      </c>
      <c r="BV381">
        <f t="shared" si="68"/>
        <v>183.35</v>
      </c>
      <c r="BW381">
        <v>29.35</v>
      </c>
      <c r="BX381">
        <f t="shared" si="71"/>
        <v>158.32400000000001</v>
      </c>
      <c r="BY381" t="s">
        <v>0</v>
      </c>
    </row>
    <row r="382" spans="1:77" x14ac:dyDescent="0.25">
      <c r="A382">
        <v>382</v>
      </c>
      <c r="B382">
        <v>1.39</v>
      </c>
      <c r="C382">
        <v>382</v>
      </c>
      <c r="D382">
        <f t="shared" si="69"/>
        <v>-0.80000000000000071</v>
      </c>
      <c r="E382" s="1">
        <f t="shared" si="70"/>
        <v>0.28000000000000025</v>
      </c>
      <c r="Q382">
        <v>381</v>
      </c>
      <c r="R382" s="4">
        <v>74.959999999999994</v>
      </c>
      <c r="S382" s="4">
        <f t="shared" si="61"/>
        <v>0</v>
      </c>
      <c r="T382" s="4">
        <v>-7.72</v>
      </c>
      <c r="U382" s="4">
        <f t="shared" si="72"/>
        <v>-0.15399999999999991</v>
      </c>
      <c r="AF382">
        <v>381</v>
      </c>
      <c r="AG382" s="4">
        <v>102.95</v>
      </c>
      <c r="AH382" s="4">
        <f t="shared" si="62"/>
        <v>0</v>
      </c>
      <c r="AI382" s="4">
        <v>-19.309999999999999</v>
      </c>
      <c r="AJ382" s="4">
        <f t="shared" si="64"/>
        <v>-1.1619999999999999</v>
      </c>
      <c r="AT382">
        <v>381</v>
      </c>
      <c r="AU382">
        <v>79.709999999999994</v>
      </c>
      <c r="AV382">
        <f t="shared" si="63"/>
        <v>0</v>
      </c>
      <c r="AW382">
        <v>-14.67</v>
      </c>
      <c r="AX382" s="1">
        <f t="shared" si="65"/>
        <v>96.384</v>
      </c>
      <c r="BH382">
        <v>381</v>
      </c>
      <c r="BI382">
        <v>127.13</v>
      </c>
      <c r="BJ382">
        <f t="shared" si="66"/>
        <v>0</v>
      </c>
      <c r="BK382">
        <v>-7.72</v>
      </c>
      <c r="BL382" s="1">
        <f t="shared" si="67"/>
        <v>139.69200000000001</v>
      </c>
      <c r="BT382">
        <v>381</v>
      </c>
      <c r="BU382">
        <v>142.77000000000001</v>
      </c>
      <c r="BV382">
        <f t="shared" si="68"/>
        <v>172.54</v>
      </c>
      <c r="BW382">
        <v>18.54</v>
      </c>
      <c r="BX382">
        <f t="shared" si="71"/>
        <v>149.67599999999999</v>
      </c>
      <c r="BY382" t="s">
        <v>0</v>
      </c>
    </row>
    <row r="383" spans="1:77" x14ac:dyDescent="0.25">
      <c r="A383">
        <v>383</v>
      </c>
      <c r="B383">
        <v>1.31</v>
      </c>
      <c r="C383">
        <v>383</v>
      </c>
      <c r="D383">
        <f t="shared" si="69"/>
        <v>-1.599999999999997</v>
      </c>
      <c r="E383" s="1">
        <f t="shared" si="70"/>
        <v>-0.15999999999999925</v>
      </c>
      <c r="Q383">
        <v>382</v>
      </c>
      <c r="R383" s="4">
        <v>74.53</v>
      </c>
      <c r="S383" s="4">
        <f t="shared" si="61"/>
        <v>0</v>
      </c>
      <c r="T383" s="4">
        <v>-8.5</v>
      </c>
      <c r="U383" s="4">
        <f t="shared" si="72"/>
        <v>-0.15600000000000006</v>
      </c>
      <c r="AF383">
        <v>382</v>
      </c>
      <c r="AG383" s="4">
        <v>101.91</v>
      </c>
      <c r="AH383" s="4">
        <f t="shared" si="62"/>
        <v>0</v>
      </c>
      <c r="AI383" s="4">
        <v>-20.85</v>
      </c>
      <c r="AJ383" s="4">
        <f t="shared" si="64"/>
        <v>0.6919999999999995</v>
      </c>
      <c r="AT383">
        <v>382</v>
      </c>
      <c r="AU383">
        <v>79.13</v>
      </c>
      <c r="AV383">
        <f t="shared" si="63"/>
        <v>0</v>
      </c>
      <c r="AW383">
        <v>-11.59</v>
      </c>
      <c r="AX383" s="1">
        <f t="shared" si="65"/>
        <v>97.616</v>
      </c>
      <c r="BH383">
        <v>382</v>
      </c>
      <c r="BI383">
        <v>126.82</v>
      </c>
      <c r="BJ383">
        <f t="shared" si="66"/>
        <v>0</v>
      </c>
      <c r="BK383">
        <v>-6.18</v>
      </c>
      <c r="BL383" s="1">
        <f t="shared" si="67"/>
        <v>140.30799999999999</v>
      </c>
      <c r="BT383">
        <v>382</v>
      </c>
      <c r="BU383">
        <v>142.77000000000001</v>
      </c>
      <c r="BV383">
        <f t="shared" si="68"/>
        <v>0</v>
      </c>
      <c r="BW383">
        <v>0</v>
      </c>
      <c r="BX383">
        <f t="shared" si="71"/>
        <v>146.584</v>
      </c>
      <c r="BY383" t="s">
        <v>0</v>
      </c>
    </row>
    <row r="384" spans="1:77" x14ac:dyDescent="0.25">
      <c r="A384">
        <v>384</v>
      </c>
      <c r="B384">
        <v>1.24</v>
      </c>
      <c r="C384">
        <v>384</v>
      </c>
      <c r="D384">
        <f t="shared" si="69"/>
        <v>-1.4000000000000012</v>
      </c>
      <c r="E384" s="1">
        <f t="shared" si="70"/>
        <v>3.9999999999999147E-2</v>
      </c>
      <c r="Q384">
        <v>383</v>
      </c>
      <c r="R384" s="5">
        <v>74.260000000000005</v>
      </c>
      <c r="S384" s="4">
        <f t="shared" si="61"/>
        <v>0</v>
      </c>
      <c r="T384" s="4">
        <v>-5.41</v>
      </c>
      <c r="U384" s="4">
        <f t="shared" si="72"/>
        <v>0.61799999999999999</v>
      </c>
      <c r="AF384">
        <v>383</v>
      </c>
      <c r="AG384" s="4">
        <v>101.14</v>
      </c>
      <c r="AH384" s="4">
        <f t="shared" si="62"/>
        <v>0</v>
      </c>
      <c r="AI384" s="4">
        <v>-15.45</v>
      </c>
      <c r="AJ384" s="4">
        <f t="shared" si="64"/>
        <v>2.0800000000000005</v>
      </c>
      <c r="AT384">
        <v>383</v>
      </c>
      <c r="AU384">
        <v>78.55</v>
      </c>
      <c r="AV384">
        <f t="shared" si="63"/>
        <v>0</v>
      </c>
      <c r="AW384">
        <v>-11.59</v>
      </c>
      <c r="AX384" s="1">
        <f t="shared" si="65"/>
        <v>97</v>
      </c>
      <c r="BH384">
        <v>383</v>
      </c>
      <c r="BI384">
        <v>126.39</v>
      </c>
      <c r="BJ384">
        <f t="shared" si="66"/>
        <v>0</v>
      </c>
      <c r="BK384">
        <v>-8.5</v>
      </c>
      <c r="BL384" s="1">
        <f t="shared" si="67"/>
        <v>139.536</v>
      </c>
      <c r="BT384">
        <v>383</v>
      </c>
      <c r="BU384">
        <v>142.5</v>
      </c>
      <c r="BV384">
        <f t="shared" si="68"/>
        <v>0</v>
      </c>
      <c r="BW384">
        <v>-10.81</v>
      </c>
      <c r="BX384">
        <f t="shared" si="71"/>
        <v>149.67599999999999</v>
      </c>
      <c r="BY384" t="s">
        <v>0</v>
      </c>
    </row>
    <row r="385" spans="1:77" x14ac:dyDescent="0.25">
      <c r="A385">
        <v>385</v>
      </c>
      <c r="B385">
        <v>1.2</v>
      </c>
      <c r="C385">
        <v>385</v>
      </c>
      <c r="D385">
        <f t="shared" si="69"/>
        <v>-0.80000000000000071</v>
      </c>
      <c r="E385" s="1">
        <f t="shared" si="70"/>
        <v>0.12000000000000011</v>
      </c>
      <c r="Q385">
        <v>384</v>
      </c>
      <c r="R385" s="5">
        <v>74.569999999999993</v>
      </c>
      <c r="S385" s="4">
        <f t="shared" si="61"/>
        <v>6.18</v>
      </c>
      <c r="T385" s="4">
        <v>6.18</v>
      </c>
      <c r="U385" s="4">
        <f t="shared" si="72"/>
        <v>2.3180000000000001</v>
      </c>
      <c r="AF385">
        <v>384</v>
      </c>
      <c r="AG385" s="4">
        <v>100.75</v>
      </c>
      <c r="AH385" s="4">
        <f t="shared" si="62"/>
        <v>0</v>
      </c>
      <c r="AI385" s="4">
        <v>-7.72</v>
      </c>
      <c r="AJ385" s="4">
        <f t="shared" si="64"/>
        <v>2.5459999999999998</v>
      </c>
      <c r="AT385">
        <v>384</v>
      </c>
      <c r="AU385">
        <v>78.010000000000005</v>
      </c>
      <c r="AV385">
        <f t="shared" si="63"/>
        <v>0</v>
      </c>
      <c r="AW385">
        <v>-10.81</v>
      </c>
      <c r="AX385" s="1">
        <f t="shared" si="65"/>
        <v>97.156000000000006</v>
      </c>
      <c r="BH385">
        <v>384</v>
      </c>
      <c r="BI385">
        <v>126.24</v>
      </c>
      <c r="BJ385">
        <f t="shared" si="66"/>
        <v>0</v>
      </c>
      <c r="BK385">
        <v>-3.09</v>
      </c>
      <c r="BL385" s="1">
        <f t="shared" si="67"/>
        <v>141.08199999999999</v>
      </c>
      <c r="BT385">
        <v>384</v>
      </c>
      <c r="BU385">
        <v>142.07</v>
      </c>
      <c r="BV385">
        <f t="shared" si="68"/>
        <v>0</v>
      </c>
      <c r="BW385">
        <v>-16.989999999999998</v>
      </c>
      <c r="BX385">
        <f t="shared" si="71"/>
        <v>151.52799999999999</v>
      </c>
      <c r="BY385" t="s">
        <v>0</v>
      </c>
    </row>
    <row r="386" spans="1:77" x14ac:dyDescent="0.25">
      <c r="A386">
        <v>386</v>
      </c>
      <c r="B386">
        <v>1.1200000000000001</v>
      </c>
      <c r="C386">
        <v>386</v>
      </c>
      <c r="D386">
        <f t="shared" si="69"/>
        <v>-1.599999999999997</v>
      </c>
      <c r="E386" s="1">
        <f t="shared" si="70"/>
        <v>-0.15999999999999925</v>
      </c>
      <c r="Q386">
        <v>385</v>
      </c>
      <c r="R386" s="5">
        <v>75.03</v>
      </c>
      <c r="S386" s="4">
        <f t="shared" ref="S386:S449" si="73">IF(T386&gt;0,T386+S$1,0)</f>
        <v>9.27</v>
      </c>
      <c r="T386" s="4">
        <v>9.27</v>
      </c>
      <c r="U386" s="4">
        <f t="shared" si="72"/>
        <v>0.61799999999999999</v>
      </c>
      <c r="AF386">
        <v>385</v>
      </c>
      <c r="AG386" s="4">
        <v>100.29</v>
      </c>
      <c r="AH386" s="4">
        <f t="shared" ref="AH386:AH449" si="74">IF(AI386&gt;0,AI386+AH$1,0)</f>
        <v>0</v>
      </c>
      <c r="AI386" s="4">
        <v>-9.27</v>
      </c>
      <c r="AJ386" s="4">
        <f t="shared" si="64"/>
        <v>0.69000000000000006</v>
      </c>
      <c r="AT386">
        <v>385</v>
      </c>
      <c r="AU386">
        <v>77.58</v>
      </c>
      <c r="AV386">
        <f t="shared" ref="AV386:AV449" si="75">IF(AW386&gt;0,AW386+AV$1,0)</f>
        <v>0</v>
      </c>
      <c r="AW386">
        <v>-8.5</v>
      </c>
      <c r="AX386" s="1">
        <f t="shared" si="65"/>
        <v>97.462000000000003</v>
      </c>
      <c r="BH386">
        <v>385</v>
      </c>
      <c r="BI386">
        <v>126.97</v>
      </c>
      <c r="BJ386">
        <f t="shared" si="66"/>
        <v>154.66999999999999</v>
      </c>
      <c r="BK386">
        <v>14.67</v>
      </c>
      <c r="BL386" s="1">
        <f t="shared" si="67"/>
        <v>143.55199999999999</v>
      </c>
      <c r="BT386">
        <v>385</v>
      </c>
      <c r="BU386">
        <v>141.44999999999999</v>
      </c>
      <c r="BV386">
        <f t="shared" si="68"/>
        <v>0</v>
      </c>
      <c r="BW386">
        <v>-24.71</v>
      </c>
      <c r="BX386">
        <f t="shared" si="71"/>
        <v>150.91200000000001</v>
      </c>
      <c r="BY386" t="s">
        <v>0</v>
      </c>
    </row>
    <row r="387" spans="1:77" x14ac:dyDescent="0.25">
      <c r="A387">
        <v>387</v>
      </c>
      <c r="B387">
        <v>1.08</v>
      </c>
      <c r="C387">
        <v>387</v>
      </c>
      <c r="D387">
        <f t="shared" si="69"/>
        <v>-0.80000000000000071</v>
      </c>
      <c r="E387" s="1">
        <f t="shared" si="70"/>
        <v>0.15999999999999925</v>
      </c>
      <c r="Q387">
        <v>386</v>
      </c>
      <c r="R387" s="5">
        <v>75.069999999999993</v>
      </c>
      <c r="S387" s="4">
        <f t="shared" si="73"/>
        <v>0.77</v>
      </c>
      <c r="T387" s="4">
        <v>0.77</v>
      </c>
      <c r="U387" s="4">
        <f t="shared" si="72"/>
        <v>-1.7</v>
      </c>
      <c r="AF387">
        <v>386</v>
      </c>
      <c r="AG387" s="4">
        <v>99.9</v>
      </c>
      <c r="AH387" s="4">
        <f t="shared" si="74"/>
        <v>0</v>
      </c>
      <c r="AI387" s="4">
        <v>-7.72</v>
      </c>
      <c r="AJ387" s="4">
        <f t="shared" ref="AJ387:AJ450" si="76">(AI387-AI386)/5+AH$1</f>
        <v>1.31</v>
      </c>
      <c r="AT387">
        <v>386</v>
      </c>
      <c r="AU387">
        <v>77.16</v>
      </c>
      <c r="AV387">
        <f t="shared" si="75"/>
        <v>0</v>
      </c>
      <c r="AW387">
        <v>-8.5</v>
      </c>
      <c r="AX387" s="1">
        <f t="shared" ref="AX387:AX450" si="77">(AW387-AW386)/5+AV$1</f>
        <v>97</v>
      </c>
      <c r="BH387">
        <v>386</v>
      </c>
      <c r="BI387">
        <v>127.47</v>
      </c>
      <c r="BJ387">
        <f t="shared" ref="BJ387:BJ450" si="78">IF(BK387&gt;0,BK387+BJ$1,0)</f>
        <v>150.04</v>
      </c>
      <c r="BK387">
        <v>10.039999999999999</v>
      </c>
      <c r="BL387" s="1">
        <f t="shared" ref="BL387:BL450" si="79">(BK387-BK386)/5+BJ$1</f>
        <v>139.07400000000001</v>
      </c>
      <c r="BT387">
        <v>386</v>
      </c>
      <c r="BU387">
        <v>140.68</v>
      </c>
      <c r="BV387">
        <f t="shared" ref="BV387:BV450" si="80">IF(BW387&gt;0,BW387+BV$1,0)</f>
        <v>0</v>
      </c>
      <c r="BW387">
        <v>-30.89</v>
      </c>
      <c r="BX387">
        <f t="shared" si="71"/>
        <v>151.52799999999999</v>
      </c>
      <c r="BY387" t="s">
        <v>0</v>
      </c>
    </row>
    <row r="388" spans="1:77" x14ac:dyDescent="0.25">
      <c r="A388">
        <v>388</v>
      </c>
      <c r="B388">
        <v>0.97</v>
      </c>
      <c r="C388">
        <v>388</v>
      </c>
      <c r="D388">
        <f t="shared" ref="D388:D418" si="81">(B388-B387)/0.05</f>
        <v>-2.200000000000002</v>
      </c>
      <c r="E388" s="1">
        <f t="shared" ref="E388:E418" si="82">(D388-D387)/5</f>
        <v>-0.28000000000000025</v>
      </c>
      <c r="Q388">
        <v>387</v>
      </c>
      <c r="R388" s="4">
        <v>74.989999999999995</v>
      </c>
      <c r="S388" s="4">
        <f t="shared" si="73"/>
        <v>0</v>
      </c>
      <c r="T388" s="4">
        <v>-1.54</v>
      </c>
      <c r="U388" s="4">
        <f t="shared" si="72"/>
        <v>-0.46200000000000002</v>
      </c>
      <c r="AF388">
        <v>387</v>
      </c>
      <c r="AG388" s="4">
        <v>99.59</v>
      </c>
      <c r="AH388" s="4">
        <f t="shared" si="74"/>
        <v>0</v>
      </c>
      <c r="AI388" s="4">
        <v>-6.18</v>
      </c>
      <c r="AJ388" s="4">
        <f t="shared" si="76"/>
        <v>1.3080000000000001</v>
      </c>
      <c r="AT388">
        <v>387</v>
      </c>
      <c r="AU388">
        <v>76.69</v>
      </c>
      <c r="AV388">
        <f t="shared" si="75"/>
        <v>0</v>
      </c>
      <c r="AW388">
        <v>-9.27</v>
      </c>
      <c r="AX388" s="1">
        <f t="shared" si="77"/>
        <v>96.846000000000004</v>
      </c>
      <c r="BH388">
        <v>387</v>
      </c>
      <c r="BI388">
        <v>127.36</v>
      </c>
      <c r="BJ388">
        <f t="shared" si="78"/>
        <v>0</v>
      </c>
      <c r="BK388">
        <v>-2.3199999999999998</v>
      </c>
      <c r="BL388" s="1">
        <f t="shared" si="79"/>
        <v>137.52799999999999</v>
      </c>
      <c r="BT388">
        <v>387</v>
      </c>
      <c r="BU388">
        <v>140.33000000000001</v>
      </c>
      <c r="BV388">
        <f t="shared" si="80"/>
        <v>0</v>
      </c>
      <c r="BW388">
        <v>-13.9</v>
      </c>
      <c r="BX388">
        <f t="shared" ref="BX388:BX451" si="83">BV$1+(BW388-BW387)/2.5</f>
        <v>160.79599999999999</v>
      </c>
      <c r="BY388" t="s">
        <v>0</v>
      </c>
    </row>
    <row r="389" spans="1:77" x14ac:dyDescent="0.25">
      <c r="A389">
        <v>389</v>
      </c>
      <c r="B389">
        <v>0.97</v>
      </c>
      <c r="C389">
        <v>389</v>
      </c>
      <c r="D389">
        <f t="shared" si="81"/>
        <v>0</v>
      </c>
      <c r="E389" s="1">
        <f t="shared" si="82"/>
        <v>0.44000000000000039</v>
      </c>
      <c r="Q389">
        <v>388</v>
      </c>
      <c r="R389" s="4">
        <v>74.650000000000006</v>
      </c>
      <c r="S389" s="4">
        <f t="shared" si="73"/>
        <v>0</v>
      </c>
      <c r="T389" s="4">
        <v>-6.95</v>
      </c>
      <c r="U389" s="4">
        <f t="shared" si="72"/>
        <v>-1.0820000000000001</v>
      </c>
      <c r="AF389">
        <v>388</v>
      </c>
      <c r="AG389" s="4">
        <v>99.13</v>
      </c>
      <c r="AH389" s="4">
        <f t="shared" si="74"/>
        <v>0</v>
      </c>
      <c r="AI389" s="4">
        <v>-9.27</v>
      </c>
      <c r="AJ389" s="4">
        <f t="shared" si="76"/>
        <v>0.38200000000000001</v>
      </c>
      <c r="AT389">
        <v>388</v>
      </c>
      <c r="AU389">
        <v>76.38</v>
      </c>
      <c r="AV389">
        <f t="shared" si="75"/>
        <v>0</v>
      </c>
      <c r="AW389">
        <v>-6.18</v>
      </c>
      <c r="AX389" s="1">
        <f t="shared" si="77"/>
        <v>97.617999999999995</v>
      </c>
      <c r="BH389">
        <v>388</v>
      </c>
      <c r="BI389">
        <v>127.01</v>
      </c>
      <c r="BJ389">
        <f t="shared" si="78"/>
        <v>0</v>
      </c>
      <c r="BK389">
        <v>-6.95</v>
      </c>
      <c r="BL389" s="1">
        <f t="shared" si="79"/>
        <v>139.07400000000001</v>
      </c>
      <c r="BT389">
        <v>388</v>
      </c>
      <c r="BU389">
        <v>140.18</v>
      </c>
      <c r="BV389">
        <f t="shared" si="80"/>
        <v>0</v>
      </c>
      <c r="BW389">
        <v>-6.18</v>
      </c>
      <c r="BX389">
        <f t="shared" si="83"/>
        <v>157.08799999999999</v>
      </c>
      <c r="BY389" t="s">
        <v>0</v>
      </c>
    </row>
    <row r="390" spans="1:77" x14ac:dyDescent="0.25">
      <c r="A390">
        <v>390</v>
      </c>
      <c r="B390">
        <v>0.89</v>
      </c>
      <c r="C390">
        <v>390</v>
      </c>
      <c r="D390">
        <f t="shared" si="81"/>
        <v>-1.5999999999999992</v>
      </c>
      <c r="E390" s="1">
        <f t="shared" si="82"/>
        <v>-0.31999999999999984</v>
      </c>
      <c r="Q390">
        <v>389</v>
      </c>
      <c r="R390" s="4">
        <v>74.34</v>
      </c>
      <c r="S390" s="4">
        <f t="shared" si="73"/>
        <v>0</v>
      </c>
      <c r="T390" s="4">
        <v>-6.18</v>
      </c>
      <c r="U390" s="4">
        <f t="shared" ref="U390:U453" si="84">(T390-T389)/5</f>
        <v>0.15400000000000008</v>
      </c>
      <c r="AF390">
        <v>389</v>
      </c>
      <c r="AG390" s="4">
        <v>98.74</v>
      </c>
      <c r="AH390" s="4">
        <f t="shared" si="74"/>
        <v>0</v>
      </c>
      <c r="AI390" s="4">
        <v>-7.72</v>
      </c>
      <c r="AJ390" s="4">
        <f t="shared" si="76"/>
        <v>1.31</v>
      </c>
      <c r="AT390">
        <v>389</v>
      </c>
      <c r="AU390">
        <v>76.040000000000006</v>
      </c>
      <c r="AV390">
        <f t="shared" si="75"/>
        <v>0</v>
      </c>
      <c r="AW390">
        <v>-6.95</v>
      </c>
      <c r="AX390" s="1">
        <f t="shared" si="77"/>
        <v>96.846000000000004</v>
      </c>
      <c r="BH390">
        <v>389</v>
      </c>
      <c r="BI390">
        <v>126.16</v>
      </c>
      <c r="BJ390">
        <f t="shared" si="78"/>
        <v>0</v>
      </c>
      <c r="BK390">
        <v>-16.989999999999998</v>
      </c>
      <c r="BL390" s="1">
        <f t="shared" si="79"/>
        <v>137.99199999999999</v>
      </c>
      <c r="BT390">
        <v>389</v>
      </c>
      <c r="BU390">
        <v>139.94999999999999</v>
      </c>
      <c r="BV390">
        <f t="shared" si="80"/>
        <v>0</v>
      </c>
      <c r="BW390">
        <v>-9.27</v>
      </c>
      <c r="BX390">
        <f t="shared" si="83"/>
        <v>152.76400000000001</v>
      </c>
      <c r="BY390" t="s">
        <v>0</v>
      </c>
    </row>
    <row r="391" spans="1:77" x14ac:dyDescent="0.25">
      <c r="A391">
        <v>391</v>
      </c>
      <c r="B391">
        <v>0.89</v>
      </c>
      <c r="C391">
        <v>391</v>
      </c>
      <c r="D391">
        <f t="shared" si="81"/>
        <v>0</v>
      </c>
      <c r="E391" s="1">
        <f t="shared" si="82"/>
        <v>0.31999999999999984</v>
      </c>
      <c r="Q391">
        <v>390</v>
      </c>
      <c r="R391" s="4">
        <v>74.03</v>
      </c>
      <c r="S391" s="4">
        <f t="shared" si="73"/>
        <v>0</v>
      </c>
      <c r="T391" s="4">
        <v>-6.18</v>
      </c>
      <c r="U391" s="4">
        <f t="shared" si="84"/>
        <v>0</v>
      </c>
      <c r="AF391">
        <v>390</v>
      </c>
      <c r="AG391" s="6">
        <v>98.43</v>
      </c>
      <c r="AH391" s="4">
        <f t="shared" si="74"/>
        <v>0</v>
      </c>
      <c r="AI391" s="4">
        <v>-6.18</v>
      </c>
      <c r="AJ391" s="4">
        <f t="shared" si="76"/>
        <v>1.3080000000000001</v>
      </c>
      <c r="AT391">
        <v>390</v>
      </c>
      <c r="AU391">
        <v>76.5</v>
      </c>
      <c r="AV391">
        <f t="shared" si="75"/>
        <v>106.27</v>
      </c>
      <c r="AW391">
        <v>9.27</v>
      </c>
      <c r="AX391" s="1">
        <f t="shared" si="77"/>
        <v>100.244</v>
      </c>
      <c r="BH391">
        <v>390</v>
      </c>
      <c r="BI391">
        <v>125.5</v>
      </c>
      <c r="BJ391">
        <f t="shared" si="78"/>
        <v>0</v>
      </c>
      <c r="BK391">
        <v>-13.13</v>
      </c>
      <c r="BL391" s="1">
        <f t="shared" si="79"/>
        <v>140.77199999999999</v>
      </c>
      <c r="BT391">
        <v>390</v>
      </c>
      <c r="BU391">
        <v>139.83000000000001</v>
      </c>
      <c r="BV391">
        <f t="shared" si="80"/>
        <v>0</v>
      </c>
      <c r="BW391">
        <v>-4.63</v>
      </c>
      <c r="BX391">
        <f t="shared" si="83"/>
        <v>155.85599999999999</v>
      </c>
      <c r="BY391" t="s">
        <v>0</v>
      </c>
    </row>
    <row r="392" spans="1:77" x14ac:dyDescent="0.25">
      <c r="A392">
        <v>392</v>
      </c>
      <c r="B392">
        <v>0.77</v>
      </c>
      <c r="C392">
        <v>392</v>
      </c>
      <c r="D392">
        <f t="shared" si="81"/>
        <v>-2.4</v>
      </c>
      <c r="E392" s="1">
        <f t="shared" si="82"/>
        <v>-0.48</v>
      </c>
      <c r="Q392">
        <v>391</v>
      </c>
      <c r="R392" s="4">
        <v>73.760000000000005</v>
      </c>
      <c r="S392" s="4">
        <f t="shared" si="73"/>
        <v>0</v>
      </c>
      <c r="T392" s="4">
        <v>-5.41</v>
      </c>
      <c r="U392" s="4">
        <f t="shared" si="84"/>
        <v>0.15399999999999991</v>
      </c>
      <c r="AF392">
        <v>391</v>
      </c>
      <c r="AG392" s="6">
        <v>99.48</v>
      </c>
      <c r="AH392" s="4">
        <f t="shared" si="74"/>
        <v>21.85</v>
      </c>
      <c r="AI392" s="4">
        <v>20.85</v>
      </c>
      <c r="AJ392" s="4">
        <f t="shared" si="76"/>
        <v>6.4060000000000006</v>
      </c>
      <c r="AT392">
        <v>391</v>
      </c>
      <c r="AU392">
        <v>77.849999999999994</v>
      </c>
      <c r="AV392">
        <f t="shared" si="75"/>
        <v>124.03</v>
      </c>
      <c r="AW392">
        <v>27.03</v>
      </c>
      <c r="AX392" s="1">
        <f t="shared" si="77"/>
        <v>100.55200000000001</v>
      </c>
      <c r="BH392">
        <v>391</v>
      </c>
      <c r="BI392">
        <v>125</v>
      </c>
      <c r="BJ392">
        <f t="shared" si="78"/>
        <v>0</v>
      </c>
      <c r="BK392">
        <v>-10.039999999999999</v>
      </c>
      <c r="BL392" s="1">
        <f t="shared" si="79"/>
        <v>140.61799999999999</v>
      </c>
      <c r="BT392">
        <v>391</v>
      </c>
      <c r="BU392">
        <v>139.72</v>
      </c>
      <c r="BV392">
        <f t="shared" si="80"/>
        <v>0</v>
      </c>
      <c r="BW392">
        <v>-4.63</v>
      </c>
      <c r="BX392">
        <f t="shared" si="83"/>
        <v>154</v>
      </c>
      <c r="BY392" t="s">
        <v>0</v>
      </c>
    </row>
    <row r="393" spans="1:77" x14ac:dyDescent="0.25">
      <c r="A393">
        <v>393</v>
      </c>
      <c r="B393">
        <v>0.73</v>
      </c>
      <c r="C393">
        <v>393</v>
      </c>
      <c r="D393">
        <f t="shared" si="81"/>
        <v>-0.80000000000000071</v>
      </c>
      <c r="E393" s="1">
        <f t="shared" si="82"/>
        <v>0.31999999999999984</v>
      </c>
      <c r="Q393">
        <v>392</v>
      </c>
      <c r="R393" s="4">
        <v>73.37</v>
      </c>
      <c r="S393" s="4">
        <f t="shared" si="73"/>
        <v>0</v>
      </c>
      <c r="T393" s="4">
        <v>-7.72</v>
      </c>
      <c r="U393" s="4">
        <f t="shared" si="84"/>
        <v>-0.46199999999999991</v>
      </c>
      <c r="AF393">
        <v>392</v>
      </c>
      <c r="AG393" s="6">
        <v>100.44</v>
      </c>
      <c r="AH393" s="4">
        <f t="shared" si="74"/>
        <v>20.309999999999999</v>
      </c>
      <c r="AI393" s="4">
        <v>19.309999999999999</v>
      </c>
      <c r="AJ393" s="4">
        <f t="shared" si="76"/>
        <v>0.6919999999999995</v>
      </c>
      <c r="AT393">
        <v>392</v>
      </c>
      <c r="AU393">
        <v>78.430000000000007</v>
      </c>
      <c r="AV393">
        <f t="shared" si="75"/>
        <v>108.59</v>
      </c>
      <c r="AW393">
        <v>11.59</v>
      </c>
      <c r="AX393" s="1">
        <f t="shared" si="77"/>
        <v>93.912000000000006</v>
      </c>
      <c r="BH393">
        <v>392</v>
      </c>
      <c r="BI393">
        <v>124.54</v>
      </c>
      <c r="BJ393">
        <f t="shared" si="78"/>
        <v>0</v>
      </c>
      <c r="BK393">
        <v>-9.27</v>
      </c>
      <c r="BL393" s="1">
        <f t="shared" si="79"/>
        <v>140.154</v>
      </c>
      <c r="BT393">
        <v>392</v>
      </c>
      <c r="BU393">
        <v>139.41</v>
      </c>
      <c r="BV393">
        <f t="shared" si="80"/>
        <v>0</v>
      </c>
      <c r="BW393">
        <v>-12.36</v>
      </c>
      <c r="BX393">
        <f t="shared" si="83"/>
        <v>150.90799999999999</v>
      </c>
      <c r="BY393" t="s">
        <v>0</v>
      </c>
    </row>
    <row r="394" spans="1:77" x14ac:dyDescent="0.25">
      <c r="A394">
        <v>394</v>
      </c>
      <c r="B394">
        <v>0.66</v>
      </c>
      <c r="C394">
        <v>394</v>
      </c>
      <c r="D394">
        <f t="shared" si="81"/>
        <v>-1.399999999999999</v>
      </c>
      <c r="E394" s="1">
        <f t="shared" si="82"/>
        <v>-0.11999999999999966</v>
      </c>
      <c r="Q394">
        <v>393</v>
      </c>
      <c r="R394" s="4">
        <v>73.099999999999994</v>
      </c>
      <c r="S394" s="4">
        <f t="shared" si="73"/>
        <v>0</v>
      </c>
      <c r="T394" s="4">
        <v>-5.41</v>
      </c>
      <c r="U394" s="4">
        <f t="shared" si="84"/>
        <v>0.46199999999999991</v>
      </c>
      <c r="AF394">
        <v>393</v>
      </c>
      <c r="AG394" s="4">
        <v>100.4</v>
      </c>
      <c r="AH394" s="4">
        <f t="shared" si="74"/>
        <v>0</v>
      </c>
      <c r="AI394" s="4">
        <v>-0.77</v>
      </c>
      <c r="AJ394" s="4">
        <f t="shared" si="76"/>
        <v>-3.016</v>
      </c>
      <c r="AT394">
        <v>393</v>
      </c>
      <c r="AU394">
        <v>78.7</v>
      </c>
      <c r="AV394">
        <f t="shared" si="75"/>
        <v>102.41</v>
      </c>
      <c r="AW394">
        <v>5.41</v>
      </c>
      <c r="AX394" s="1">
        <f t="shared" si="77"/>
        <v>95.763999999999996</v>
      </c>
      <c r="BH394">
        <v>393</v>
      </c>
      <c r="BI394">
        <v>124.11</v>
      </c>
      <c r="BJ394">
        <f t="shared" si="78"/>
        <v>0</v>
      </c>
      <c r="BK394">
        <v>-8.5</v>
      </c>
      <c r="BL394" s="1">
        <f t="shared" si="79"/>
        <v>140.154</v>
      </c>
      <c r="BT394">
        <v>393</v>
      </c>
      <c r="BU394">
        <v>139.13999999999999</v>
      </c>
      <c r="BV394">
        <f t="shared" si="80"/>
        <v>0</v>
      </c>
      <c r="BW394">
        <v>-10.81</v>
      </c>
      <c r="BX394">
        <f t="shared" si="83"/>
        <v>154.62</v>
      </c>
      <c r="BY394" t="s">
        <v>0</v>
      </c>
    </row>
    <row r="395" spans="1:77" x14ac:dyDescent="0.25">
      <c r="A395">
        <v>395</v>
      </c>
      <c r="B395">
        <v>0.62</v>
      </c>
      <c r="C395">
        <v>395</v>
      </c>
      <c r="D395">
        <f t="shared" si="81"/>
        <v>-0.80000000000000071</v>
      </c>
      <c r="E395" s="1">
        <f t="shared" si="82"/>
        <v>0.11999999999999966</v>
      </c>
      <c r="Q395">
        <v>394</v>
      </c>
      <c r="R395" s="4">
        <v>72.72</v>
      </c>
      <c r="S395" s="4">
        <f t="shared" si="73"/>
        <v>0</v>
      </c>
      <c r="T395" s="4">
        <v>-7.72</v>
      </c>
      <c r="U395" s="4">
        <f t="shared" si="84"/>
        <v>-0.46199999999999991</v>
      </c>
      <c r="AF395">
        <v>394</v>
      </c>
      <c r="AG395" s="4">
        <v>100.06</v>
      </c>
      <c r="AH395" s="4">
        <f t="shared" si="74"/>
        <v>0</v>
      </c>
      <c r="AI395" s="4">
        <v>-6.95</v>
      </c>
      <c r="AJ395" s="4">
        <f t="shared" si="76"/>
        <v>-0.23599999999999999</v>
      </c>
      <c r="AT395">
        <v>394</v>
      </c>
      <c r="AU395">
        <v>78.62</v>
      </c>
      <c r="AV395">
        <f t="shared" si="75"/>
        <v>0</v>
      </c>
      <c r="AW395">
        <v>-1.54</v>
      </c>
      <c r="AX395" s="1">
        <f t="shared" si="77"/>
        <v>95.61</v>
      </c>
      <c r="BH395">
        <v>394</v>
      </c>
      <c r="BI395">
        <v>123.77</v>
      </c>
      <c r="BJ395">
        <f t="shared" si="78"/>
        <v>0</v>
      </c>
      <c r="BK395">
        <v>-6.95</v>
      </c>
      <c r="BL395" s="1">
        <f t="shared" si="79"/>
        <v>140.31</v>
      </c>
      <c r="BT395">
        <v>394</v>
      </c>
      <c r="BU395">
        <v>138.94</v>
      </c>
      <c r="BV395">
        <f t="shared" si="80"/>
        <v>0</v>
      </c>
      <c r="BW395">
        <v>-7.72</v>
      </c>
      <c r="BX395">
        <f t="shared" si="83"/>
        <v>155.23599999999999</v>
      </c>
      <c r="BY395" t="s">
        <v>0</v>
      </c>
    </row>
    <row r="396" spans="1:77" x14ac:dyDescent="0.25">
      <c r="A396">
        <v>396</v>
      </c>
      <c r="B396">
        <v>0.57999999999999996</v>
      </c>
      <c r="C396">
        <v>396</v>
      </c>
      <c r="D396">
        <f t="shared" si="81"/>
        <v>-0.80000000000000071</v>
      </c>
      <c r="E396" s="1">
        <f t="shared" si="82"/>
        <v>0</v>
      </c>
      <c r="Q396">
        <v>395</v>
      </c>
      <c r="R396" s="4">
        <v>72.37</v>
      </c>
      <c r="S396" s="4">
        <f t="shared" si="73"/>
        <v>0</v>
      </c>
      <c r="T396" s="4">
        <v>-6.95</v>
      </c>
      <c r="U396" s="4">
        <f t="shared" si="84"/>
        <v>0.15399999999999991</v>
      </c>
      <c r="AF396">
        <v>395</v>
      </c>
      <c r="AG396" s="4">
        <v>99.21</v>
      </c>
      <c r="AH396" s="4">
        <f t="shared" si="74"/>
        <v>0</v>
      </c>
      <c r="AI396" s="4">
        <v>-16.989999999999998</v>
      </c>
      <c r="AJ396" s="4">
        <f t="shared" si="76"/>
        <v>-1.008</v>
      </c>
      <c r="AT396">
        <v>395</v>
      </c>
      <c r="AU396">
        <v>78.010000000000005</v>
      </c>
      <c r="AV396">
        <f t="shared" si="75"/>
        <v>0</v>
      </c>
      <c r="AW396">
        <v>-12.36</v>
      </c>
      <c r="AX396" s="1">
        <f t="shared" si="77"/>
        <v>94.835999999999999</v>
      </c>
      <c r="BH396">
        <v>395</v>
      </c>
      <c r="BI396">
        <v>123.42</v>
      </c>
      <c r="BJ396">
        <f t="shared" si="78"/>
        <v>0</v>
      </c>
      <c r="BK396">
        <v>-6.95</v>
      </c>
      <c r="BL396" s="1">
        <f t="shared" si="79"/>
        <v>140</v>
      </c>
      <c r="BT396">
        <v>395</v>
      </c>
      <c r="BU396">
        <v>138.75</v>
      </c>
      <c r="BV396">
        <f t="shared" si="80"/>
        <v>0</v>
      </c>
      <c r="BW396">
        <v>-7.72</v>
      </c>
      <c r="BX396">
        <f t="shared" si="83"/>
        <v>154</v>
      </c>
      <c r="BY396" t="s">
        <v>0</v>
      </c>
    </row>
    <row r="397" spans="1:77" x14ac:dyDescent="0.25">
      <c r="A397">
        <v>397</v>
      </c>
      <c r="B397">
        <v>0.54</v>
      </c>
      <c r="C397">
        <v>397</v>
      </c>
      <c r="D397">
        <f t="shared" si="81"/>
        <v>-0.79999999999999849</v>
      </c>
      <c r="E397" s="1">
        <f t="shared" si="82"/>
        <v>4.4408920985006262E-16</v>
      </c>
      <c r="Q397">
        <v>396</v>
      </c>
      <c r="R397" s="4">
        <v>72.099999999999994</v>
      </c>
      <c r="S397" s="4">
        <f t="shared" si="73"/>
        <v>0</v>
      </c>
      <c r="T397" s="4">
        <v>-5.41</v>
      </c>
      <c r="U397" s="4">
        <f t="shared" si="84"/>
        <v>0.308</v>
      </c>
      <c r="AF397">
        <v>396</v>
      </c>
      <c r="AG397" s="4">
        <v>98.36</v>
      </c>
      <c r="AH397" s="4">
        <f t="shared" si="74"/>
        <v>0</v>
      </c>
      <c r="AI397" s="4">
        <v>-16.989999999999998</v>
      </c>
      <c r="AJ397" s="4">
        <f t="shared" si="76"/>
        <v>1</v>
      </c>
      <c r="AT397">
        <v>396</v>
      </c>
      <c r="AU397">
        <v>77.66</v>
      </c>
      <c r="AV397">
        <f t="shared" si="75"/>
        <v>0</v>
      </c>
      <c r="AW397">
        <v>-6.95</v>
      </c>
      <c r="AX397" s="1">
        <f t="shared" si="77"/>
        <v>98.081999999999994</v>
      </c>
      <c r="BH397">
        <v>396</v>
      </c>
      <c r="BI397">
        <v>123.07</v>
      </c>
      <c r="BJ397">
        <f t="shared" si="78"/>
        <v>0</v>
      </c>
      <c r="BK397">
        <v>-6.95</v>
      </c>
      <c r="BL397" s="1">
        <f t="shared" si="79"/>
        <v>140</v>
      </c>
      <c r="BT397">
        <v>396</v>
      </c>
      <c r="BU397">
        <v>138.6</v>
      </c>
      <c r="BV397">
        <f t="shared" si="80"/>
        <v>0</v>
      </c>
      <c r="BW397">
        <v>-6.18</v>
      </c>
      <c r="BX397">
        <f t="shared" si="83"/>
        <v>154.61600000000001</v>
      </c>
      <c r="BY397" t="s">
        <v>0</v>
      </c>
    </row>
    <row r="398" spans="1:77" x14ac:dyDescent="0.25">
      <c r="A398">
        <v>398</v>
      </c>
      <c r="B398">
        <v>0.54</v>
      </c>
      <c r="C398">
        <v>398</v>
      </c>
      <c r="D398">
        <f t="shared" si="81"/>
        <v>0</v>
      </c>
      <c r="E398" s="1">
        <f t="shared" si="82"/>
        <v>0.1599999999999997</v>
      </c>
      <c r="Q398">
        <v>397</v>
      </c>
      <c r="R398" s="4">
        <v>71.67</v>
      </c>
      <c r="S398" s="4">
        <f t="shared" si="73"/>
        <v>0</v>
      </c>
      <c r="T398" s="4">
        <v>-8.5</v>
      </c>
      <c r="U398" s="4">
        <f t="shared" si="84"/>
        <v>-0.61799999999999999</v>
      </c>
      <c r="AF398">
        <v>397</v>
      </c>
      <c r="AG398" s="4">
        <v>97.47</v>
      </c>
      <c r="AH398" s="4">
        <f t="shared" si="74"/>
        <v>0</v>
      </c>
      <c r="AI398" s="4">
        <v>-17.760000000000002</v>
      </c>
      <c r="AJ398" s="4">
        <f t="shared" si="76"/>
        <v>0.84599999999999942</v>
      </c>
      <c r="AT398">
        <v>397</v>
      </c>
      <c r="AU398">
        <v>77.23</v>
      </c>
      <c r="AV398">
        <f t="shared" si="75"/>
        <v>0</v>
      </c>
      <c r="AW398">
        <v>-8.5</v>
      </c>
      <c r="AX398" s="1">
        <f t="shared" si="77"/>
        <v>96.69</v>
      </c>
      <c r="BH398">
        <v>397</v>
      </c>
      <c r="BI398">
        <v>122.88</v>
      </c>
      <c r="BJ398">
        <f t="shared" si="78"/>
        <v>0</v>
      </c>
      <c r="BK398">
        <v>-3.86</v>
      </c>
      <c r="BL398" s="1">
        <f t="shared" si="79"/>
        <v>140.61799999999999</v>
      </c>
      <c r="BT398">
        <v>397</v>
      </c>
      <c r="BU398">
        <v>138.47999999999999</v>
      </c>
      <c r="BV398">
        <f t="shared" si="80"/>
        <v>0</v>
      </c>
      <c r="BW398">
        <v>-4.63</v>
      </c>
      <c r="BX398">
        <f t="shared" si="83"/>
        <v>154.62</v>
      </c>
      <c r="BY398" t="s">
        <v>0</v>
      </c>
    </row>
    <row r="399" spans="1:77" x14ac:dyDescent="0.25">
      <c r="A399">
        <v>399</v>
      </c>
      <c r="B399">
        <v>0.5</v>
      </c>
      <c r="C399">
        <v>399</v>
      </c>
      <c r="D399">
        <f t="shared" si="81"/>
        <v>-0.80000000000000071</v>
      </c>
      <c r="E399" s="1">
        <f t="shared" si="82"/>
        <v>-0.16000000000000014</v>
      </c>
      <c r="Q399">
        <v>398</v>
      </c>
      <c r="R399" s="4">
        <v>71.790000000000006</v>
      </c>
      <c r="S399" s="4">
        <f t="shared" si="73"/>
        <v>2.3199999999999998</v>
      </c>
      <c r="T399" s="4">
        <v>2.3199999999999998</v>
      </c>
      <c r="U399" s="4">
        <f t="shared" si="84"/>
        <v>2.1640000000000001</v>
      </c>
      <c r="AF399">
        <v>398</v>
      </c>
      <c r="AG399" s="4">
        <v>96.77</v>
      </c>
      <c r="AH399" s="4">
        <f t="shared" si="74"/>
        <v>0</v>
      </c>
      <c r="AI399" s="4">
        <v>-13.9</v>
      </c>
      <c r="AJ399" s="4">
        <f t="shared" si="76"/>
        <v>1.7720000000000002</v>
      </c>
      <c r="AT399">
        <v>398</v>
      </c>
      <c r="AU399">
        <v>76.69</v>
      </c>
      <c r="AV399">
        <f t="shared" si="75"/>
        <v>0</v>
      </c>
      <c r="AW399">
        <v>-10.81</v>
      </c>
      <c r="AX399" s="1">
        <f t="shared" si="77"/>
        <v>96.537999999999997</v>
      </c>
      <c r="BH399">
        <v>398</v>
      </c>
      <c r="BI399">
        <v>123.77</v>
      </c>
      <c r="BJ399">
        <f t="shared" si="78"/>
        <v>157.76</v>
      </c>
      <c r="BK399">
        <v>17.760000000000002</v>
      </c>
      <c r="BL399" s="1">
        <f t="shared" si="79"/>
        <v>144.32400000000001</v>
      </c>
      <c r="BT399">
        <v>398</v>
      </c>
      <c r="BU399">
        <v>138.6</v>
      </c>
      <c r="BV399">
        <f t="shared" si="80"/>
        <v>158.63</v>
      </c>
      <c r="BW399">
        <v>4.63</v>
      </c>
      <c r="BX399">
        <f t="shared" si="83"/>
        <v>157.70400000000001</v>
      </c>
      <c r="BY399" t="s">
        <v>0</v>
      </c>
    </row>
    <row r="400" spans="1:77" x14ac:dyDescent="0.25">
      <c r="A400">
        <v>400</v>
      </c>
      <c r="B400">
        <v>0.42</v>
      </c>
      <c r="C400">
        <v>400</v>
      </c>
      <c r="D400">
        <f t="shared" si="81"/>
        <v>-1.6000000000000003</v>
      </c>
      <c r="E400" s="1">
        <f t="shared" si="82"/>
        <v>-0.15999999999999992</v>
      </c>
      <c r="Q400">
        <v>399</v>
      </c>
      <c r="R400" s="4">
        <v>72.14</v>
      </c>
      <c r="S400" s="4">
        <f t="shared" si="73"/>
        <v>6.95</v>
      </c>
      <c r="T400" s="4">
        <v>6.95</v>
      </c>
      <c r="U400" s="4">
        <f t="shared" si="84"/>
        <v>0.92600000000000016</v>
      </c>
      <c r="AF400">
        <v>399</v>
      </c>
      <c r="AG400" s="4">
        <v>96.39</v>
      </c>
      <c r="AH400" s="4">
        <f t="shared" si="74"/>
        <v>0</v>
      </c>
      <c r="AI400" s="4">
        <v>-7.72</v>
      </c>
      <c r="AJ400" s="4">
        <f t="shared" si="76"/>
        <v>2.2360000000000002</v>
      </c>
      <c r="AT400">
        <v>399</v>
      </c>
      <c r="AU400">
        <v>76.19</v>
      </c>
      <c r="AV400">
        <f t="shared" si="75"/>
        <v>0</v>
      </c>
      <c r="AW400">
        <v>-10.039999999999999</v>
      </c>
      <c r="AX400" s="1">
        <f t="shared" si="77"/>
        <v>97.153999999999996</v>
      </c>
      <c r="BH400">
        <v>399</v>
      </c>
      <c r="BI400">
        <v>124.04</v>
      </c>
      <c r="BJ400">
        <f t="shared" si="78"/>
        <v>145.41</v>
      </c>
      <c r="BK400">
        <v>5.41</v>
      </c>
      <c r="BL400" s="1">
        <f t="shared" si="79"/>
        <v>137.53</v>
      </c>
      <c r="BT400">
        <v>399</v>
      </c>
      <c r="BU400">
        <v>139.29</v>
      </c>
      <c r="BV400">
        <f t="shared" si="80"/>
        <v>181.8</v>
      </c>
      <c r="BW400">
        <v>27.8</v>
      </c>
      <c r="BX400">
        <f t="shared" si="83"/>
        <v>163.268</v>
      </c>
      <c r="BY400" t="s">
        <v>0</v>
      </c>
    </row>
    <row r="401" spans="1:77" x14ac:dyDescent="0.25">
      <c r="A401">
        <v>401</v>
      </c>
      <c r="B401">
        <v>0.42</v>
      </c>
      <c r="C401">
        <v>401</v>
      </c>
      <c r="D401">
        <f t="shared" si="81"/>
        <v>0</v>
      </c>
      <c r="E401" s="1">
        <f t="shared" si="82"/>
        <v>0.32000000000000006</v>
      </c>
      <c r="Q401">
        <v>400</v>
      </c>
      <c r="R401" s="4">
        <v>72.17</v>
      </c>
      <c r="S401" s="4">
        <f t="shared" si="73"/>
        <v>0.77</v>
      </c>
      <c r="T401" s="4">
        <v>0.77</v>
      </c>
      <c r="U401" s="4">
        <f t="shared" si="84"/>
        <v>-1.236</v>
      </c>
      <c r="AF401">
        <v>400</v>
      </c>
      <c r="AG401" s="4">
        <v>96</v>
      </c>
      <c r="AH401" s="4">
        <f t="shared" si="74"/>
        <v>0</v>
      </c>
      <c r="AI401" s="4">
        <v>-7.72</v>
      </c>
      <c r="AJ401" s="4">
        <f t="shared" si="76"/>
        <v>1</v>
      </c>
      <c r="AT401">
        <v>400</v>
      </c>
      <c r="AU401">
        <v>75.69</v>
      </c>
      <c r="AV401">
        <f t="shared" si="75"/>
        <v>0</v>
      </c>
      <c r="AW401">
        <v>-10.039999999999999</v>
      </c>
      <c r="AX401" s="1">
        <f t="shared" si="77"/>
        <v>97</v>
      </c>
      <c r="BH401">
        <v>400</v>
      </c>
      <c r="BI401">
        <v>123.88</v>
      </c>
      <c r="BJ401">
        <f t="shared" si="78"/>
        <v>0</v>
      </c>
      <c r="BK401">
        <v>-3.09</v>
      </c>
      <c r="BL401" s="1">
        <f t="shared" si="79"/>
        <v>138.30000000000001</v>
      </c>
      <c r="BT401">
        <v>400</v>
      </c>
      <c r="BU401">
        <v>139.94999999999999</v>
      </c>
      <c r="BV401">
        <f t="shared" si="80"/>
        <v>180.26</v>
      </c>
      <c r="BW401">
        <v>26.26</v>
      </c>
      <c r="BX401">
        <f t="shared" si="83"/>
        <v>153.38400000000001</v>
      </c>
      <c r="BY401" t="s">
        <v>0</v>
      </c>
    </row>
    <row r="402" spans="1:77" x14ac:dyDescent="0.25">
      <c r="A402">
        <v>402</v>
      </c>
      <c r="B402">
        <v>0.42</v>
      </c>
      <c r="C402">
        <v>402</v>
      </c>
      <c r="D402">
        <f t="shared" si="81"/>
        <v>0</v>
      </c>
      <c r="E402" s="1">
        <f t="shared" si="82"/>
        <v>0</v>
      </c>
      <c r="Q402">
        <v>401</v>
      </c>
      <c r="R402" s="4">
        <v>72.17</v>
      </c>
      <c r="S402" s="4">
        <f t="shared" si="73"/>
        <v>0</v>
      </c>
      <c r="T402" s="4">
        <v>0</v>
      </c>
      <c r="U402" s="4">
        <f t="shared" si="84"/>
        <v>-0.154</v>
      </c>
      <c r="AF402">
        <v>401</v>
      </c>
      <c r="AG402" s="4">
        <v>95.65</v>
      </c>
      <c r="AH402" s="4">
        <f t="shared" si="74"/>
        <v>0</v>
      </c>
      <c r="AI402" s="4">
        <v>-6.95</v>
      </c>
      <c r="AJ402" s="4">
        <f t="shared" si="76"/>
        <v>1.1539999999999999</v>
      </c>
      <c r="AT402">
        <v>401</v>
      </c>
      <c r="AU402">
        <v>75.150000000000006</v>
      </c>
      <c r="AV402">
        <f t="shared" si="75"/>
        <v>0</v>
      </c>
      <c r="AW402">
        <v>-10.81</v>
      </c>
      <c r="AX402" s="1">
        <f t="shared" si="77"/>
        <v>96.846000000000004</v>
      </c>
      <c r="BH402">
        <v>401</v>
      </c>
      <c r="BI402">
        <v>123.3</v>
      </c>
      <c r="BJ402">
        <f t="shared" si="78"/>
        <v>0</v>
      </c>
      <c r="BK402">
        <v>-11.59</v>
      </c>
      <c r="BL402" s="1">
        <f t="shared" si="79"/>
        <v>138.30000000000001</v>
      </c>
      <c r="BT402">
        <v>401</v>
      </c>
      <c r="BU402">
        <v>140.30000000000001</v>
      </c>
      <c r="BV402">
        <f t="shared" si="80"/>
        <v>167.9</v>
      </c>
      <c r="BW402">
        <v>13.9</v>
      </c>
      <c r="BX402">
        <f t="shared" si="83"/>
        <v>149.05600000000001</v>
      </c>
      <c r="BY402" t="s">
        <v>0</v>
      </c>
    </row>
    <row r="403" spans="1:77" x14ac:dyDescent="0.25">
      <c r="A403">
        <v>403</v>
      </c>
      <c r="B403">
        <v>0.42</v>
      </c>
      <c r="C403">
        <v>403</v>
      </c>
      <c r="D403">
        <f t="shared" si="81"/>
        <v>0</v>
      </c>
      <c r="E403" s="1">
        <f t="shared" si="82"/>
        <v>0</v>
      </c>
      <c r="Q403">
        <v>402</v>
      </c>
      <c r="R403" s="4">
        <v>71.790000000000006</v>
      </c>
      <c r="S403" s="4">
        <f t="shared" si="73"/>
        <v>0</v>
      </c>
      <c r="T403" s="4">
        <v>-7.72</v>
      </c>
      <c r="U403" s="4">
        <f t="shared" si="84"/>
        <v>-1.544</v>
      </c>
      <c r="AF403">
        <v>402</v>
      </c>
      <c r="AG403" s="4">
        <v>95.42</v>
      </c>
      <c r="AH403" s="4">
        <f t="shared" si="74"/>
        <v>0</v>
      </c>
      <c r="AI403" s="4">
        <v>-4.63</v>
      </c>
      <c r="AJ403" s="4">
        <f t="shared" si="76"/>
        <v>1.464</v>
      </c>
      <c r="AT403">
        <v>402</v>
      </c>
      <c r="AU403">
        <v>74.569999999999993</v>
      </c>
      <c r="AV403">
        <f t="shared" si="75"/>
        <v>0</v>
      </c>
      <c r="AW403">
        <v>-11.59</v>
      </c>
      <c r="AX403" s="1">
        <f t="shared" si="77"/>
        <v>96.843999999999994</v>
      </c>
      <c r="BH403">
        <v>402</v>
      </c>
      <c r="BI403">
        <v>122.49</v>
      </c>
      <c r="BJ403">
        <f t="shared" si="78"/>
        <v>0</v>
      </c>
      <c r="BK403">
        <v>-16.22</v>
      </c>
      <c r="BL403" s="1">
        <f t="shared" si="79"/>
        <v>139.07400000000001</v>
      </c>
      <c r="BT403">
        <v>402</v>
      </c>
      <c r="BU403">
        <v>139.99</v>
      </c>
      <c r="BV403">
        <f t="shared" si="80"/>
        <v>0</v>
      </c>
      <c r="BW403">
        <v>-12.36</v>
      </c>
      <c r="BX403">
        <f t="shared" si="83"/>
        <v>143.49600000000001</v>
      </c>
      <c r="BY403" t="s">
        <v>0</v>
      </c>
    </row>
    <row r="404" spans="1:77" x14ac:dyDescent="0.25">
      <c r="A404">
        <v>404</v>
      </c>
      <c r="B404">
        <v>0.35</v>
      </c>
      <c r="C404">
        <v>404</v>
      </c>
      <c r="D404">
        <f t="shared" si="81"/>
        <v>-1.4000000000000001</v>
      </c>
      <c r="E404" s="1">
        <f t="shared" si="82"/>
        <v>-0.28000000000000003</v>
      </c>
      <c r="Q404">
        <v>403</v>
      </c>
      <c r="R404" s="4">
        <v>71.44</v>
      </c>
      <c r="S404" s="4">
        <f t="shared" si="73"/>
        <v>0</v>
      </c>
      <c r="T404" s="4">
        <v>-6.95</v>
      </c>
      <c r="U404" s="4">
        <f t="shared" si="84"/>
        <v>0.15399999999999991</v>
      </c>
      <c r="AF404">
        <v>403</v>
      </c>
      <c r="AG404" s="4">
        <v>95.04</v>
      </c>
      <c r="AH404" s="4">
        <f t="shared" si="74"/>
        <v>0</v>
      </c>
      <c r="AI404" s="4">
        <v>-7.72</v>
      </c>
      <c r="AJ404" s="4">
        <f t="shared" si="76"/>
        <v>0.38200000000000001</v>
      </c>
      <c r="AT404">
        <v>403</v>
      </c>
      <c r="AU404">
        <v>74.14</v>
      </c>
      <c r="AV404">
        <f t="shared" si="75"/>
        <v>0</v>
      </c>
      <c r="AW404">
        <v>-8.5</v>
      </c>
      <c r="AX404" s="1">
        <f t="shared" si="77"/>
        <v>97.617999999999995</v>
      </c>
      <c r="BH404">
        <v>403</v>
      </c>
      <c r="BI404">
        <v>121.99</v>
      </c>
      <c r="BJ404">
        <f t="shared" si="78"/>
        <v>0</v>
      </c>
      <c r="BK404">
        <v>-10.039999999999999</v>
      </c>
      <c r="BL404" s="1">
        <f t="shared" si="79"/>
        <v>141.23599999999999</v>
      </c>
      <c r="BT404">
        <v>403</v>
      </c>
      <c r="BU404">
        <v>139.72</v>
      </c>
      <c r="BV404">
        <f t="shared" si="80"/>
        <v>0</v>
      </c>
      <c r="BW404">
        <v>-10.81</v>
      </c>
      <c r="BX404">
        <f t="shared" si="83"/>
        <v>154.62</v>
      </c>
      <c r="BY404" t="s">
        <v>0</v>
      </c>
    </row>
    <row r="405" spans="1:77" x14ac:dyDescent="0.25">
      <c r="A405">
        <v>405</v>
      </c>
      <c r="B405">
        <v>0.31</v>
      </c>
      <c r="C405">
        <v>405</v>
      </c>
      <c r="D405">
        <f t="shared" si="81"/>
        <v>-0.7999999999999996</v>
      </c>
      <c r="E405" s="1">
        <f t="shared" si="82"/>
        <v>0.12000000000000011</v>
      </c>
      <c r="Q405">
        <v>404</v>
      </c>
      <c r="R405" s="4">
        <v>71.209999999999994</v>
      </c>
      <c r="S405" s="4">
        <f t="shared" si="73"/>
        <v>0</v>
      </c>
      <c r="T405" s="4">
        <v>-4.63</v>
      </c>
      <c r="U405" s="4">
        <f t="shared" si="84"/>
        <v>0.46400000000000008</v>
      </c>
      <c r="AF405">
        <v>404</v>
      </c>
      <c r="AG405" s="6">
        <v>94.61</v>
      </c>
      <c r="AH405" s="4">
        <f t="shared" si="74"/>
        <v>0</v>
      </c>
      <c r="AI405" s="4">
        <v>-8.5</v>
      </c>
      <c r="AJ405" s="4">
        <f t="shared" si="76"/>
        <v>0.84399999999999997</v>
      </c>
      <c r="AT405">
        <v>404</v>
      </c>
      <c r="AU405">
        <v>73.599999999999994</v>
      </c>
      <c r="AV405">
        <f t="shared" si="75"/>
        <v>0</v>
      </c>
      <c r="AW405">
        <v>-10.81</v>
      </c>
      <c r="AX405" s="1">
        <f t="shared" si="77"/>
        <v>96.537999999999997</v>
      </c>
      <c r="BH405">
        <v>404</v>
      </c>
      <c r="BI405">
        <v>121.41</v>
      </c>
      <c r="BJ405">
        <f t="shared" si="78"/>
        <v>0</v>
      </c>
      <c r="BK405">
        <v>-11.58</v>
      </c>
      <c r="BL405" s="1">
        <f t="shared" si="79"/>
        <v>139.69200000000001</v>
      </c>
      <c r="BT405">
        <v>404</v>
      </c>
      <c r="BU405">
        <v>139.1</v>
      </c>
      <c r="BV405">
        <f t="shared" si="80"/>
        <v>0</v>
      </c>
      <c r="BW405">
        <v>-24.71</v>
      </c>
      <c r="BX405">
        <f t="shared" si="83"/>
        <v>148.44</v>
      </c>
      <c r="BY405" t="s">
        <v>0</v>
      </c>
    </row>
    <row r="406" spans="1:77" x14ac:dyDescent="0.25">
      <c r="A406">
        <v>406</v>
      </c>
      <c r="B406">
        <v>0.31</v>
      </c>
      <c r="C406">
        <v>406</v>
      </c>
      <c r="D406">
        <f t="shared" si="81"/>
        <v>0</v>
      </c>
      <c r="E406" s="1">
        <f t="shared" si="82"/>
        <v>0.15999999999999992</v>
      </c>
      <c r="Q406">
        <v>405</v>
      </c>
      <c r="R406" s="4">
        <v>71.02</v>
      </c>
      <c r="S406" s="4">
        <f t="shared" si="73"/>
        <v>0</v>
      </c>
      <c r="T406" s="4">
        <v>-3.86</v>
      </c>
      <c r="U406" s="4">
        <f t="shared" si="84"/>
        <v>0.154</v>
      </c>
      <c r="AF406">
        <v>405</v>
      </c>
      <c r="AG406" s="6">
        <v>95.5</v>
      </c>
      <c r="AH406" s="4">
        <f t="shared" si="74"/>
        <v>18.760000000000002</v>
      </c>
      <c r="AI406" s="4">
        <v>17.760000000000002</v>
      </c>
      <c r="AJ406" s="4">
        <f t="shared" si="76"/>
        <v>6.2520000000000007</v>
      </c>
      <c r="AT406">
        <v>405</v>
      </c>
      <c r="AU406">
        <v>73.180000000000007</v>
      </c>
      <c r="AV406">
        <f t="shared" si="75"/>
        <v>0</v>
      </c>
      <c r="AW406">
        <v>-8.5</v>
      </c>
      <c r="AX406" s="1">
        <f t="shared" si="77"/>
        <v>97.462000000000003</v>
      </c>
      <c r="BH406">
        <v>405</v>
      </c>
      <c r="BI406">
        <v>120.99</v>
      </c>
      <c r="BJ406">
        <f t="shared" si="78"/>
        <v>0</v>
      </c>
      <c r="BK406">
        <v>-8.5</v>
      </c>
      <c r="BL406" s="1">
        <f t="shared" si="79"/>
        <v>140.61600000000001</v>
      </c>
      <c r="BT406">
        <v>405</v>
      </c>
      <c r="BU406">
        <v>138.4</v>
      </c>
      <c r="BV406">
        <f t="shared" si="80"/>
        <v>0</v>
      </c>
      <c r="BW406">
        <v>-27.8</v>
      </c>
      <c r="BX406">
        <f t="shared" si="83"/>
        <v>152.76400000000001</v>
      </c>
      <c r="BY406" t="s">
        <v>0</v>
      </c>
    </row>
    <row r="407" spans="1:77" x14ac:dyDescent="0.25">
      <c r="A407">
        <v>407</v>
      </c>
      <c r="B407">
        <v>0.23</v>
      </c>
      <c r="C407">
        <v>407</v>
      </c>
      <c r="D407">
        <f t="shared" si="81"/>
        <v>-1.5999999999999996</v>
      </c>
      <c r="E407" s="1">
        <f t="shared" si="82"/>
        <v>-0.31999999999999995</v>
      </c>
      <c r="Q407">
        <v>406</v>
      </c>
      <c r="R407" s="4">
        <v>70.67</v>
      </c>
      <c r="S407" s="4">
        <f t="shared" si="73"/>
        <v>0</v>
      </c>
      <c r="T407" s="4">
        <v>-6.95</v>
      </c>
      <c r="U407" s="4">
        <f t="shared" si="84"/>
        <v>-0.6180000000000001</v>
      </c>
      <c r="AF407">
        <v>406</v>
      </c>
      <c r="AG407" s="6">
        <v>96.54</v>
      </c>
      <c r="AH407" s="4">
        <f t="shared" si="74"/>
        <v>21.85</v>
      </c>
      <c r="AI407" s="4">
        <v>20.85</v>
      </c>
      <c r="AJ407" s="4">
        <f t="shared" si="76"/>
        <v>1.6179999999999999</v>
      </c>
      <c r="AT407">
        <v>406</v>
      </c>
      <c r="AU407">
        <v>72.75</v>
      </c>
      <c r="AV407">
        <f t="shared" si="75"/>
        <v>0</v>
      </c>
      <c r="AW407">
        <v>-8.5</v>
      </c>
      <c r="AX407" s="1">
        <f t="shared" si="77"/>
        <v>97</v>
      </c>
      <c r="BH407">
        <v>406</v>
      </c>
      <c r="BI407">
        <v>120.56</v>
      </c>
      <c r="BJ407">
        <f t="shared" si="78"/>
        <v>0</v>
      </c>
      <c r="BK407">
        <v>-8.5</v>
      </c>
      <c r="BL407" s="1">
        <f t="shared" si="79"/>
        <v>140</v>
      </c>
      <c r="BT407">
        <v>406</v>
      </c>
      <c r="BU407">
        <v>137.86000000000001</v>
      </c>
      <c r="BV407">
        <f t="shared" si="80"/>
        <v>0</v>
      </c>
      <c r="BW407">
        <v>-21.63</v>
      </c>
      <c r="BX407">
        <f t="shared" si="83"/>
        <v>156.46799999999999</v>
      </c>
      <c r="BY407" t="s">
        <v>0</v>
      </c>
    </row>
    <row r="408" spans="1:77" x14ac:dyDescent="0.25">
      <c r="A408">
        <v>408</v>
      </c>
      <c r="B408">
        <v>0.19</v>
      </c>
      <c r="C408">
        <v>408</v>
      </c>
      <c r="D408">
        <f t="shared" si="81"/>
        <v>-0.80000000000000016</v>
      </c>
      <c r="E408" s="1">
        <f t="shared" si="82"/>
        <v>0.15999999999999989</v>
      </c>
      <c r="Q408">
        <v>407</v>
      </c>
      <c r="R408" s="4">
        <v>70.319999999999993</v>
      </c>
      <c r="S408" s="4">
        <f t="shared" si="73"/>
        <v>0</v>
      </c>
      <c r="T408" s="4">
        <v>-6.95</v>
      </c>
      <c r="U408" s="4">
        <f t="shared" si="84"/>
        <v>0</v>
      </c>
      <c r="AF408">
        <v>407</v>
      </c>
      <c r="AG408" s="4">
        <v>96.47</v>
      </c>
      <c r="AH408" s="4">
        <f t="shared" si="74"/>
        <v>0</v>
      </c>
      <c r="AI408" s="4">
        <v>-1.54</v>
      </c>
      <c r="AJ408" s="4">
        <f t="shared" si="76"/>
        <v>-3.4779999999999998</v>
      </c>
      <c r="AT408">
        <v>407</v>
      </c>
      <c r="AU408">
        <v>72.33</v>
      </c>
      <c r="AV408">
        <f t="shared" si="75"/>
        <v>0</v>
      </c>
      <c r="AW408">
        <v>-8.5</v>
      </c>
      <c r="AX408" s="1">
        <f t="shared" si="77"/>
        <v>97</v>
      </c>
      <c r="BH408">
        <v>407</v>
      </c>
      <c r="BI408">
        <v>120.25</v>
      </c>
      <c r="BJ408">
        <f t="shared" si="78"/>
        <v>0</v>
      </c>
      <c r="BK408">
        <v>-6.18</v>
      </c>
      <c r="BL408" s="1">
        <f t="shared" si="79"/>
        <v>140.464</v>
      </c>
      <c r="BT408">
        <v>407</v>
      </c>
      <c r="BU408">
        <v>137.59</v>
      </c>
      <c r="BV408">
        <f t="shared" si="80"/>
        <v>0</v>
      </c>
      <c r="BW408">
        <v>-10.81</v>
      </c>
      <c r="BX408">
        <f t="shared" si="83"/>
        <v>158.328</v>
      </c>
      <c r="BY408" t="s">
        <v>0</v>
      </c>
    </row>
    <row r="409" spans="1:77" x14ac:dyDescent="0.25">
      <c r="A409">
        <v>409</v>
      </c>
      <c r="B409">
        <v>0.12</v>
      </c>
      <c r="C409">
        <v>409</v>
      </c>
      <c r="D409">
        <f t="shared" si="81"/>
        <v>-1.4000000000000001</v>
      </c>
      <c r="E409" s="1">
        <f t="shared" si="82"/>
        <v>-0.12</v>
      </c>
      <c r="Q409">
        <v>408</v>
      </c>
      <c r="R409" s="4">
        <v>70.05</v>
      </c>
      <c r="S409" s="4">
        <f t="shared" si="73"/>
        <v>0</v>
      </c>
      <c r="T409" s="4">
        <v>-5.41</v>
      </c>
      <c r="U409" s="4">
        <f t="shared" si="84"/>
        <v>0.308</v>
      </c>
      <c r="AF409">
        <v>408</v>
      </c>
      <c r="AG409" s="4">
        <v>96.08</v>
      </c>
      <c r="AH409" s="4">
        <f t="shared" si="74"/>
        <v>0</v>
      </c>
      <c r="AI409" s="4">
        <v>-7.72</v>
      </c>
      <c r="AJ409" s="4">
        <f t="shared" si="76"/>
        <v>-0.23599999999999999</v>
      </c>
      <c r="AT409">
        <v>408</v>
      </c>
      <c r="AU409">
        <v>71.94</v>
      </c>
      <c r="AV409">
        <f t="shared" si="75"/>
        <v>0</v>
      </c>
      <c r="AW409">
        <v>-7.72</v>
      </c>
      <c r="AX409" s="1">
        <f t="shared" si="77"/>
        <v>97.156000000000006</v>
      </c>
      <c r="BH409">
        <v>408</v>
      </c>
      <c r="BI409">
        <v>119.91</v>
      </c>
      <c r="BJ409">
        <f t="shared" si="78"/>
        <v>0</v>
      </c>
      <c r="BK409">
        <v>-6.95</v>
      </c>
      <c r="BL409" s="1">
        <f t="shared" si="79"/>
        <v>139.846</v>
      </c>
      <c r="BT409">
        <v>408</v>
      </c>
      <c r="BU409">
        <v>137.4</v>
      </c>
      <c r="BV409">
        <f t="shared" si="80"/>
        <v>0</v>
      </c>
      <c r="BW409">
        <v>-7.72</v>
      </c>
      <c r="BX409">
        <f t="shared" si="83"/>
        <v>155.23599999999999</v>
      </c>
      <c r="BY409" t="s">
        <v>0</v>
      </c>
    </row>
    <row r="410" spans="1:77" x14ac:dyDescent="0.25">
      <c r="A410">
        <v>410</v>
      </c>
      <c r="B410">
        <v>0.19</v>
      </c>
      <c r="C410">
        <v>410</v>
      </c>
      <c r="D410">
        <f t="shared" si="81"/>
        <v>1.4000000000000001</v>
      </c>
      <c r="E410" s="1">
        <f t="shared" si="82"/>
        <v>0.56000000000000005</v>
      </c>
      <c r="Q410">
        <v>409</v>
      </c>
      <c r="R410" s="4">
        <v>69.819999999999993</v>
      </c>
      <c r="S410" s="4">
        <f t="shared" si="73"/>
        <v>0</v>
      </c>
      <c r="T410" s="4">
        <v>-4.63</v>
      </c>
      <c r="U410" s="4">
        <f t="shared" si="84"/>
        <v>0.15600000000000006</v>
      </c>
      <c r="AF410">
        <v>409</v>
      </c>
      <c r="AG410" s="4">
        <v>95.31</v>
      </c>
      <c r="AH410" s="4">
        <f t="shared" si="74"/>
        <v>0</v>
      </c>
      <c r="AI410" s="4">
        <v>-15.45</v>
      </c>
      <c r="AJ410" s="4">
        <f t="shared" si="76"/>
        <v>-0.54599999999999982</v>
      </c>
      <c r="AT410">
        <v>409</v>
      </c>
      <c r="AU410">
        <v>71.599999999999994</v>
      </c>
      <c r="AV410">
        <f t="shared" si="75"/>
        <v>0</v>
      </c>
      <c r="AW410">
        <v>-6.95</v>
      </c>
      <c r="AX410" s="1">
        <f t="shared" si="77"/>
        <v>97.153999999999996</v>
      </c>
      <c r="BH410">
        <v>409</v>
      </c>
      <c r="BI410">
        <v>119.64</v>
      </c>
      <c r="BJ410">
        <f t="shared" si="78"/>
        <v>0</v>
      </c>
      <c r="BK410">
        <v>-5.41</v>
      </c>
      <c r="BL410" s="1">
        <f t="shared" si="79"/>
        <v>140.30799999999999</v>
      </c>
      <c r="BT410">
        <v>409</v>
      </c>
      <c r="BU410">
        <v>137.24</v>
      </c>
      <c r="BV410">
        <f t="shared" si="80"/>
        <v>0</v>
      </c>
      <c r="BW410">
        <v>-6.18</v>
      </c>
      <c r="BX410">
        <f t="shared" si="83"/>
        <v>154.61600000000001</v>
      </c>
      <c r="BY410" t="s">
        <v>0</v>
      </c>
    </row>
    <row r="411" spans="1:77" x14ac:dyDescent="0.25">
      <c r="A411">
        <v>411</v>
      </c>
      <c r="B411">
        <v>0.19</v>
      </c>
      <c r="C411">
        <v>411</v>
      </c>
      <c r="D411">
        <f t="shared" si="81"/>
        <v>0</v>
      </c>
      <c r="E411" s="1">
        <f t="shared" si="82"/>
        <v>-0.28000000000000003</v>
      </c>
      <c r="Q411">
        <v>410</v>
      </c>
      <c r="R411" s="4">
        <v>69.63</v>
      </c>
      <c r="S411" s="4">
        <f t="shared" si="73"/>
        <v>0</v>
      </c>
      <c r="T411" s="4">
        <v>-3.86</v>
      </c>
      <c r="U411" s="4">
        <f t="shared" si="84"/>
        <v>0.154</v>
      </c>
      <c r="AF411">
        <v>410</v>
      </c>
      <c r="AG411" s="4">
        <v>94.5</v>
      </c>
      <c r="AH411" s="4">
        <f t="shared" si="74"/>
        <v>0</v>
      </c>
      <c r="AI411" s="4">
        <v>-16.22</v>
      </c>
      <c r="AJ411" s="4">
        <f t="shared" si="76"/>
        <v>0.84600000000000009</v>
      </c>
      <c r="AT411">
        <v>410</v>
      </c>
      <c r="AU411">
        <v>72.209999999999994</v>
      </c>
      <c r="AV411">
        <f t="shared" si="75"/>
        <v>109.36</v>
      </c>
      <c r="AW411">
        <v>12.36</v>
      </c>
      <c r="AX411" s="1">
        <f t="shared" si="77"/>
        <v>100.86199999999999</v>
      </c>
      <c r="BH411">
        <v>410</v>
      </c>
      <c r="BI411">
        <v>119.6</v>
      </c>
      <c r="BJ411">
        <f t="shared" si="78"/>
        <v>0</v>
      </c>
      <c r="BK411">
        <v>-0.77</v>
      </c>
      <c r="BL411" s="1">
        <f t="shared" si="79"/>
        <v>140.928</v>
      </c>
      <c r="BT411">
        <v>410</v>
      </c>
      <c r="BU411">
        <v>137.01</v>
      </c>
      <c r="BV411">
        <f t="shared" si="80"/>
        <v>0</v>
      </c>
      <c r="BW411">
        <v>-9.27</v>
      </c>
      <c r="BX411">
        <f t="shared" si="83"/>
        <v>152.76400000000001</v>
      </c>
      <c r="BY411" t="s">
        <v>0</v>
      </c>
    </row>
    <row r="412" spans="1:77" x14ac:dyDescent="0.25">
      <c r="A412">
        <v>412</v>
      </c>
      <c r="B412">
        <v>0.12</v>
      </c>
      <c r="C412">
        <v>412</v>
      </c>
      <c r="D412">
        <f t="shared" si="81"/>
        <v>-1.4000000000000001</v>
      </c>
      <c r="E412" s="1">
        <f t="shared" si="82"/>
        <v>-0.28000000000000003</v>
      </c>
      <c r="Q412">
        <v>411</v>
      </c>
      <c r="R412" s="4">
        <v>69.430000000000007</v>
      </c>
      <c r="S412" s="4">
        <f t="shared" si="73"/>
        <v>0</v>
      </c>
      <c r="T412" s="4">
        <v>-3.86</v>
      </c>
      <c r="U412" s="4">
        <f t="shared" si="84"/>
        <v>0</v>
      </c>
      <c r="AF412">
        <v>411</v>
      </c>
      <c r="AG412" s="4">
        <v>93.68</v>
      </c>
      <c r="AH412" s="4">
        <f t="shared" si="74"/>
        <v>0</v>
      </c>
      <c r="AI412" s="4">
        <v>-16.22</v>
      </c>
      <c r="AJ412" s="4">
        <f t="shared" si="76"/>
        <v>1</v>
      </c>
      <c r="AT412">
        <v>411</v>
      </c>
      <c r="AU412">
        <v>73.72</v>
      </c>
      <c r="AV412">
        <f t="shared" si="75"/>
        <v>127.12</v>
      </c>
      <c r="AW412">
        <v>30.12</v>
      </c>
      <c r="AX412" s="1">
        <f t="shared" si="77"/>
        <v>100.55200000000001</v>
      </c>
      <c r="BH412">
        <v>411</v>
      </c>
      <c r="BI412">
        <v>120.37</v>
      </c>
      <c r="BJ412">
        <f t="shared" si="78"/>
        <v>155.44999999999999</v>
      </c>
      <c r="BK412">
        <v>15.45</v>
      </c>
      <c r="BL412" s="1">
        <f t="shared" si="79"/>
        <v>143.244</v>
      </c>
      <c r="BT412">
        <v>411</v>
      </c>
      <c r="BU412">
        <v>136.86000000000001</v>
      </c>
      <c r="BV412">
        <f t="shared" si="80"/>
        <v>0</v>
      </c>
      <c r="BW412">
        <v>-6.18</v>
      </c>
      <c r="BX412">
        <f t="shared" si="83"/>
        <v>155.23599999999999</v>
      </c>
      <c r="BY412" t="s">
        <v>0</v>
      </c>
    </row>
    <row r="413" spans="1:77" x14ac:dyDescent="0.25">
      <c r="A413">
        <v>413</v>
      </c>
      <c r="B413">
        <v>0.12</v>
      </c>
      <c r="C413">
        <v>413</v>
      </c>
      <c r="D413">
        <f t="shared" si="81"/>
        <v>0</v>
      </c>
      <c r="E413" s="1">
        <f t="shared" si="82"/>
        <v>0.28000000000000003</v>
      </c>
      <c r="Q413">
        <v>412</v>
      </c>
      <c r="R413" s="4">
        <v>69.63</v>
      </c>
      <c r="S413" s="4">
        <f t="shared" si="73"/>
        <v>3.86</v>
      </c>
      <c r="T413" s="4">
        <v>3.86</v>
      </c>
      <c r="U413" s="4">
        <f t="shared" si="84"/>
        <v>1.544</v>
      </c>
      <c r="AF413">
        <v>412</v>
      </c>
      <c r="AG413" s="4">
        <v>92.95</v>
      </c>
      <c r="AH413" s="4">
        <f t="shared" si="74"/>
        <v>0</v>
      </c>
      <c r="AI413" s="4">
        <v>-14.67</v>
      </c>
      <c r="AJ413" s="4">
        <f t="shared" si="76"/>
        <v>1.3099999999999998</v>
      </c>
      <c r="AT413">
        <v>412</v>
      </c>
      <c r="AU413">
        <v>74.34</v>
      </c>
      <c r="AV413">
        <f t="shared" si="75"/>
        <v>109.36</v>
      </c>
      <c r="AW413">
        <v>12.36</v>
      </c>
      <c r="AX413" s="1">
        <f t="shared" si="77"/>
        <v>93.447999999999993</v>
      </c>
      <c r="BH413">
        <v>412</v>
      </c>
      <c r="BI413">
        <v>120.56</v>
      </c>
      <c r="BJ413">
        <f t="shared" si="78"/>
        <v>143.86000000000001</v>
      </c>
      <c r="BK413">
        <v>3.86</v>
      </c>
      <c r="BL413" s="1">
        <f t="shared" si="79"/>
        <v>137.68199999999999</v>
      </c>
      <c r="BT413">
        <v>412</v>
      </c>
      <c r="BU413">
        <v>136.69999999999999</v>
      </c>
      <c r="BV413">
        <f t="shared" si="80"/>
        <v>0</v>
      </c>
      <c r="BW413">
        <v>-6.18</v>
      </c>
      <c r="BX413">
        <f t="shared" si="83"/>
        <v>154</v>
      </c>
      <c r="BY413" t="s">
        <v>0</v>
      </c>
    </row>
    <row r="414" spans="1:77" x14ac:dyDescent="0.25">
      <c r="A414">
        <v>414</v>
      </c>
      <c r="B414">
        <v>0.12</v>
      </c>
      <c r="C414">
        <v>414</v>
      </c>
      <c r="D414">
        <f t="shared" si="81"/>
        <v>0</v>
      </c>
      <c r="E414" s="1">
        <f t="shared" si="82"/>
        <v>0</v>
      </c>
      <c r="Q414">
        <v>413</v>
      </c>
      <c r="R414" s="4">
        <v>69.86</v>
      </c>
      <c r="S414" s="4">
        <f t="shared" si="73"/>
        <v>4.63</v>
      </c>
      <c r="T414" s="4">
        <v>4.63</v>
      </c>
      <c r="U414" s="4">
        <f t="shared" si="84"/>
        <v>0.154</v>
      </c>
      <c r="AF414">
        <v>413</v>
      </c>
      <c r="AG414" s="4">
        <v>92.49</v>
      </c>
      <c r="AH414" s="4">
        <f t="shared" si="74"/>
        <v>0</v>
      </c>
      <c r="AI414" s="4">
        <v>-9.27</v>
      </c>
      <c r="AJ414" s="4">
        <f t="shared" si="76"/>
        <v>2.08</v>
      </c>
      <c r="AT414">
        <v>413</v>
      </c>
      <c r="AU414">
        <v>74.3</v>
      </c>
      <c r="AV414">
        <f t="shared" si="75"/>
        <v>0</v>
      </c>
      <c r="AW414">
        <v>-0.77</v>
      </c>
      <c r="AX414" s="1">
        <f t="shared" si="77"/>
        <v>94.373999999999995</v>
      </c>
      <c r="BH414">
        <v>413</v>
      </c>
      <c r="BI414">
        <v>120.37</v>
      </c>
      <c r="BJ414">
        <f t="shared" si="78"/>
        <v>0</v>
      </c>
      <c r="BK414">
        <v>-3.86</v>
      </c>
      <c r="BL414" s="1">
        <f t="shared" si="79"/>
        <v>138.45599999999999</v>
      </c>
      <c r="BT414">
        <v>413</v>
      </c>
      <c r="BU414">
        <v>136.47</v>
      </c>
      <c r="BV414">
        <f t="shared" si="80"/>
        <v>0</v>
      </c>
      <c r="BW414">
        <v>-9.27</v>
      </c>
      <c r="BX414">
        <f t="shared" si="83"/>
        <v>152.76400000000001</v>
      </c>
      <c r="BY414" t="s">
        <v>0</v>
      </c>
    </row>
    <row r="415" spans="1:77" x14ac:dyDescent="0.25">
      <c r="A415">
        <v>415</v>
      </c>
      <c r="B415">
        <v>0.08</v>
      </c>
      <c r="C415">
        <v>415</v>
      </c>
      <c r="D415">
        <f t="shared" si="81"/>
        <v>-0.79999999999999982</v>
      </c>
      <c r="E415" s="1">
        <f t="shared" si="82"/>
        <v>-0.15999999999999998</v>
      </c>
      <c r="Q415">
        <v>414</v>
      </c>
      <c r="R415" s="4">
        <v>69.819999999999993</v>
      </c>
      <c r="S415" s="4">
        <f t="shared" si="73"/>
        <v>0</v>
      </c>
      <c r="T415" s="4">
        <v>-0.77</v>
      </c>
      <c r="U415" s="4">
        <f t="shared" si="84"/>
        <v>-1.08</v>
      </c>
      <c r="AF415">
        <v>414</v>
      </c>
      <c r="AG415" s="4">
        <v>92.18</v>
      </c>
      <c r="AH415" s="4">
        <f t="shared" si="74"/>
        <v>0</v>
      </c>
      <c r="AI415" s="4">
        <v>-6.18</v>
      </c>
      <c r="AJ415" s="4">
        <f t="shared" si="76"/>
        <v>1.6179999999999999</v>
      </c>
      <c r="AT415">
        <v>414</v>
      </c>
      <c r="AU415">
        <v>74.03</v>
      </c>
      <c r="AV415">
        <f t="shared" si="75"/>
        <v>0</v>
      </c>
      <c r="AW415">
        <v>-5.41</v>
      </c>
      <c r="AX415" s="1">
        <f t="shared" si="77"/>
        <v>96.072000000000003</v>
      </c>
      <c r="BH415">
        <v>414</v>
      </c>
      <c r="BI415">
        <v>119.75</v>
      </c>
      <c r="BJ415">
        <f t="shared" si="78"/>
        <v>0</v>
      </c>
      <c r="BK415">
        <v>-12.36</v>
      </c>
      <c r="BL415" s="1">
        <f t="shared" si="79"/>
        <v>138.30000000000001</v>
      </c>
      <c r="BT415">
        <v>414</v>
      </c>
      <c r="BU415">
        <v>136.32</v>
      </c>
      <c r="BV415">
        <f t="shared" si="80"/>
        <v>0</v>
      </c>
      <c r="BW415">
        <v>-6.18</v>
      </c>
      <c r="BX415">
        <f t="shared" si="83"/>
        <v>155.23599999999999</v>
      </c>
      <c r="BY415" t="s">
        <v>0</v>
      </c>
    </row>
    <row r="416" spans="1:77" x14ac:dyDescent="0.25">
      <c r="A416">
        <v>416</v>
      </c>
      <c r="B416">
        <v>0.08</v>
      </c>
      <c r="C416">
        <v>416</v>
      </c>
      <c r="D416">
        <f t="shared" si="81"/>
        <v>0</v>
      </c>
      <c r="E416" s="1">
        <f t="shared" si="82"/>
        <v>0.15999999999999998</v>
      </c>
      <c r="Q416">
        <v>415</v>
      </c>
      <c r="R416" s="4">
        <v>69.739999999999995</v>
      </c>
      <c r="S416" s="4">
        <f t="shared" si="73"/>
        <v>0</v>
      </c>
      <c r="T416" s="4">
        <v>-1.54</v>
      </c>
      <c r="U416" s="4">
        <f t="shared" si="84"/>
        <v>-0.154</v>
      </c>
      <c r="AF416">
        <v>415</v>
      </c>
      <c r="AG416" s="4">
        <v>91.79</v>
      </c>
      <c r="AH416" s="4">
        <f t="shared" si="74"/>
        <v>0</v>
      </c>
      <c r="AI416" s="4">
        <v>-7.72</v>
      </c>
      <c r="AJ416" s="4">
        <f t="shared" si="76"/>
        <v>0.69199999999999995</v>
      </c>
      <c r="AT416">
        <v>415</v>
      </c>
      <c r="AU416">
        <v>73.489999999999995</v>
      </c>
      <c r="AV416">
        <f t="shared" si="75"/>
        <v>0</v>
      </c>
      <c r="AW416">
        <v>-10.81</v>
      </c>
      <c r="AX416" s="1">
        <f t="shared" si="77"/>
        <v>95.92</v>
      </c>
      <c r="BH416">
        <v>415</v>
      </c>
      <c r="BI416">
        <v>118.98</v>
      </c>
      <c r="BJ416">
        <f t="shared" si="78"/>
        <v>0</v>
      </c>
      <c r="BK416">
        <v>-15.45</v>
      </c>
      <c r="BL416" s="1">
        <f t="shared" si="79"/>
        <v>139.38200000000001</v>
      </c>
      <c r="BT416">
        <v>415</v>
      </c>
      <c r="BU416">
        <v>136.12</v>
      </c>
      <c r="BV416">
        <f t="shared" si="80"/>
        <v>0</v>
      </c>
      <c r="BW416">
        <v>-7.72</v>
      </c>
      <c r="BX416">
        <f t="shared" si="83"/>
        <v>153.38399999999999</v>
      </c>
      <c r="BY416" t="s">
        <v>0</v>
      </c>
    </row>
    <row r="417" spans="1:77" x14ac:dyDescent="0.25">
      <c r="A417">
        <v>417</v>
      </c>
      <c r="B417">
        <v>0</v>
      </c>
      <c r="C417">
        <v>417</v>
      </c>
      <c r="D417">
        <f t="shared" si="81"/>
        <v>-1.5999999999999999</v>
      </c>
      <c r="E417" s="1">
        <f t="shared" si="82"/>
        <v>-0.31999999999999995</v>
      </c>
      <c r="Q417">
        <v>416</v>
      </c>
      <c r="R417" s="4">
        <v>69.16</v>
      </c>
      <c r="S417" s="4">
        <f t="shared" si="73"/>
        <v>0</v>
      </c>
      <c r="T417" s="4">
        <v>-11.59</v>
      </c>
      <c r="U417" s="4">
        <f t="shared" si="84"/>
        <v>-2.0100000000000002</v>
      </c>
      <c r="AF417">
        <v>416</v>
      </c>
      <c r="AG417" s="4">
        <v>91.48</v>
      </c>
      <c r="AH417" s="4">
        <f t="shared" si="74"/>
        <v>0</v>
      </c>
      <c r="AI417" s="4">
        <v>-6.18</v>
      </c>
      <c r="AJ417" s="4">
        <f t="shared" si="76"/>
        <v>1.3080000000000001</v>
      </c>
      <c r="AT417">
        <v>416</v>
      </c>
      <c r="AU417">
        <v>73.02</v>
      </c>
      <c r="AV417">
        <f t="shared" si="75"/>
        <v>0</v>
      </c>
      <c r="AW417">
        <v>-9.27</v>
      </c>
      <c r="AX417" s="1">
        <f t="shared" si="77"/>
        <v>97.308000000000007</v>
      </c>
      <c r="BH417">
        <v>416</v>
      </c>
      <c r="BI417">
        <v>118.44</v>
      </c>
      <c r="BJ417">
        <f t="shared" si="78"/>
        <v>0</v>
      </c>
      <c r="BK417">
        <v>-10.81</v>
      </c>
      <c r="BL417" s="1">
        <f t="shared" si="79"/>
        <v>140.928</v>
      </c>
      <c r="BT417">
        <v>416</v>
      </c>
      <c r="BU417">
        <v>135.97</v>
      </c>
      <c r="BV417">
        <f t="shared" si="80"/>
        <v>0</v>
      </c>
      <c r="BW417">
        <v>-6.18</v>
      </c>
      <c r="BX417">
        <f t="shared" si="83"/>
        <v>154.61600000000001</v>
      </c>
      <c r="BY417" t="s">
        <v>0</v>
      </c>
    </row>
    <row r="418" spans="1:77" x14ac:dyDescent="0.25">
      <c r="A418">
        <v>418</v>
      </c>
      <c r="B418">
        <v>0</v>
      </c>
      <c r="C418">
        <v>418</v>
      </c>
      <c r="D418">
        <f t="shared" si="81"/>
        <v>0</v>
      </c>
      <c r="E418" s="1">
        <f t="shared" si="82"/>
        <v>0.31999999999999995</v>
      </c>
      <c r="Q418">
        <v>417</v>
      </c>
      <c r="R418" s="4">
        <v>68.58</v>
      </c>
      <c r="S418" s="4">
        <f t="shared" si="73"/>
        <v>0</v>
      </c>
      <c r="T418" s="4">
        <v>-11.59</v>
      </c>
      <c r="U418" s="4">
        <f t="shared" si="84"/>
        <v>0</v>
      </c>
      <c r="AF418">
        <v>417</v>
      </c>
      <c r="AG418" s="4">
        <v>91.1</v>
      </c>
      <c r="AH418" s="4">
        <f t="shared" si="74"/>
        <v>0</v>
      </c>
      <c r="AI418" s="4">
        <v>-7.72</v>
      </c>
      <c r="AJ418" s="4">
        <f t="shared" si="76"/>
        <v>0.69199999999999995</v>
      </c>
      <c r="AT418">
        <v>417</v>
      </c>
      <c r="AU418">
        <v>72.72</v>
      </c>
      <c r="AV418">
        <f t="shared" si="75"/>
        <v>0</v>
      </c>
      <c r="AW418">
        <v>-6.18</v>
      </c>
      <c r="AX418" s="1">
        <f t="shared" si="77"/>
        <v>97.617999999999995</v>
      </c>
      <c r="BH418">
        <v>417</v>
      </c>
      <c r="BI418">
        <v>118.01</v>
      </c>
      <c r="BJ418">
        <f t="shared" si="78"/>
        <v>0</v>
      </c>
      <c r="BK418">
        <v>-8.5</v>
      </c>
      <c r="BL418" s="1">
        <f t="shared" si="79"/>
        <v>140.46199999999999</v>
      </c>
      <c r="BT418">
        <v>417</v>
      </c>
      <c r="BU418">
        <v>135.85</v>
      </c>
      <c r="BV418">
        <f t="shared" si="80"/>
        <v>0</v>
      </c>
      <c r="BW418">
        <v>-4.63</v>
      </c>
      <c r="BX418">
        <f t="shared" si="83"/>
        <v>154.62</v>
      </c>
      <c r="BY418" t="s">
        <v>0</v>
      </c>
    </row>
    <row r="419" spans="1:77" x14ac:dyDescent="0.25">
      <c r="Q419">
        <v>418</v>
      </c>
      <c r="R419" s="4">
        <v>68.16</v>
      </c>
      <c r="S419" s="4">
        <f t="shared" si="73"/>
        <v>0</v>
      </c>
      <c r="T419" s="4">
        <v>-8.5</v>
      </c>
      <c r="U419" s="4">
        <f t="shared" si="84"/>
        <v>0.61799999999999999</v>
      </c>
      <c r="AF419">
        <v>418</v>
      </c>
      <c r="AG419" s="6">
        <v>90.87</v>
      </c>
      <c r="AH419" s="4">
        <f t="shared" si="74"/>
        <v>0</v>
      </c>
      <c r="AI419" s="4">
        <v>-4.63</v>
      </c>
      <c r="AJ419" s="4">
        <f t="shared" si="76"/>
        <v>1.6179999999999999</v>
      </c>
      <c r="AT419">
        <v>418</v>
      </c>
      <c r="AU419">
        <v>72.33</v>
      </c>
      <c r="AV419">
        <f t="shared" si="75"/>
        <v>0</v>
      </c>
      <c r="AW419">
        <v>-7.72</v>
      </c>
      <c r="AX419" s="1">
        <f t="shared" si="77"/>
        <v>96.691999999999993</v>
      </c>
      <c r="BH419">
        <v>418</v>
      </c>
      <c r="BI419">
        <v>117.63</v>
      </c>
      <c r="BJ419">
        <f t="shared" si="78"/>
        <v>0</v>
      </c>
      <c r="BK419">
        <v>-7.72</v>
      </c>
      <c r="BL419" s="1">
        <f t="shared" si="79"/>
        <v>140.15600000000001</v>
      </c>
      <c r="BT419">
        <v>418</v>
      </c>
      <c r="BU419">
        <v>136.36000000000001</v>
      </c>
      <c r="BV419">
        <f t="shared" si="80"/>
        <v>174.07999999999998</v>
      </c>
      <c r="BW419">
        <v>20.079999999999998</v>
      </c>
      <c r="BX419">
        <f t="shared" si="83"/>
        <v>163.88399999999999</v>
      </c>
      <c r="BY419" t="s">
        <v>0</v>
      </c>
    </row>
    <row r="420" spans="1:77" x14ac:dyDescent="0.25">
      <c r="Q420">
        <v>419</v>
      </c>
      <c r="R420" s="4">
        <v>67.89</v>
      </c>
      <c r="S420" s="4">
        <f t="shared" si="73"/>
        <v>0</v>
      </c>
      <c r="T420" s="4">
        <v>-5.41</v>
      </c>
      <c r="U420" s="4">
        <f t="shared" si="84"/>
        <v>0.61799999999999999</v>
      </c>
      <c r="AF420">
        <v>419</v>
      </c>
      <c r="AG420" s="6">
        <v>92.18</v>
      </c>
      <c r="AH420" s="4">
        <f t="shared" si="74"/>
        <v>27.26</v>
      </c>
      <c r="AI420" s="4">
        <v>26.26</v>
      </c>
      <c r="AJ420" s="4">
        <f t="shared" si="76"/>
        <v>7.1779999999999999</v>
      </c>
      <c r="AT420">
        <v>419</v>
      </c>
      <c r="AU420">
        <v>71.900000000000006</v>
      </c>
      <c r="AV420">
        <f t="shared" si="75"/>
        <v>0</v>
      </c>
      <c r="AW420">
        <v>-8.5</v>
      </c>
      <c r="AX420" s="1">
        <f t="shared" si="77"/>
        <v>96.843999999999994</v>
      </c>
      <c r="BH420">
        <v>419</v>
      </c>
      <c r="BI420">
        <v>117.28</v>
      </c>
      <c r="BJ420">
        <f t="shared" si="78"/>
        <v>0</v>
      </c>
      <c r="BK420">
        <v>-6.95</v>
      </c>
      <c r="BL420" s="1">
        <f t="shared" si="79"/>
        <v>140.154</v>
      </c>
      <c r="BT420">
        <v>419</v>
      </c>
      <c r="BU420">
        <v>137.13</v>
      </c>
      <c r="BV420">
        <f t="shared" si="80"/>
        <v>184.89</v>
      </c>
      <c r="BW420">
        <v>30.89</v>
      </c>
      <c r="BX420">
        <f t="shared" si="83"/>
        <v>158.32400000000001</v>
      </c>
      <c r="BY420" t="s">
        <v>0</v>
      </c>
    </row>
    <row r="421" spans="1:77" x14ac:dyDescent="0.25">
      <c r="Q421">
        <v>420</v>
      </c>
      <c r="R421" s="4">
        <v>67.7</v>
      </c>
      <c r="S421" s="4">
        <f t="shared" si="73"/>
        <v>0</v>
      </c>
      <c r="T421" s="4">
        <v>-3.86</v>
      </c>
      <c r="U421" s="4">
        <f t="shared" si="84"/>
        <v>0.31000000000000005</v>
      </c>
      <c r="AF421">
        <v>420</v>
      </c>
      <c r="AG421" s="6">
        <v>92.84</v>
      </c>
      <c r="AH421" s="4">
        <f t="shared" si="74"/>
        <v>14.13</v>
      </c>
      <c r="AI421" s="4">
        <v>13.13</v>
      </c>
      <c r="AJ421" s="4">
        <f t="shared" si="76"/>
        <v>-1.6260000000000003</v>
      </c>
      <c r="AT421">
        <v>420</v>
      </c>
      <c r="AU421">
        <v>71.48</v>
      </c>
      <c r="AV421">
        <f t="shared" si="75"/>
        <v>0</v>
      </c>
      <c r="AW421">
        <v>-8.5</v>
      </c>
      <c r="AX421" s="1">
        <f t="shared" si="77"/>
        <v>97</v>
      </c>
      <c r="BH421">
        <v>420</v>
      </c>
      <c r="BI421">
        <v>116.97</v>
      </c>
      <c r="BJ421">
        <f t="shared" si="78"/>
        <v>0</v>
      </c>
      <c r="BK421">
        <v>-6.18</v>
      </c>
      <c r="BL421" s="1">
        <f t="shared" si="79"/>
        <v>140.154</v>
      </c>
      <c r="BT421">
        <v>420</v>
      </c>
      <c r="BU421">
        <v>137.71</v>
      </c>
      <c r="BV421">
        <f t="shared" si="80"/>
        <v>177.17000000000002</v>
      </c>
      <c r="BW421">
        <v>23.17</v>
      </c>
      <c r="BX421">
        <f t="shared" si="83"/>
        <v>150.91200000000001</v>
      </c>
      <c r="BY421" t="s">
        <v>0</v>
      </c>
    </row>
    <row r="422" spans="1:77" x14ac:dyDescent="0.25">
      <c r="Q422">
        <v>421</v>
      </c>
      <c r="R422" s="4">
        <v>67.5</v>
      </c>
      <c r="S422" s="4">
        <f t="shared" si="73"/>
        <v>0</v>
      </c>
      <c r="T422" s="4">
        <v>-3.86</v>
      </c>
      <c r="U422" s="4">
        <f t="shared" si="84"/>
        <v>0</v>
      </c>
      <c r="AF422">
        <v>421</v>
      </c>
      <c r="AG422" s="4">
        <v>92.8</v>
      </c>
      <c r="AH422" s="4">
        <f t="shared" si="74"/>
        <v>0</v>
      </c>
      <c r="AI422" s="4">
        <v>-0.77</v>
      </c>
      <c r="AJ422" s="4">
        <f t="shared" si="76"/>
        <v>-1.7800000000000002</v>
      </c>
      <c r="AT422">
        <v>421</v>
      </c>
      <c r="AU422">
        <v>71.06</v>
      </c>
      <c r="AV422">
        <f t="shared" si="75"/>
        <v>0</v>
      </c>
      <c r="AW422">
        <v>-8.5</v>
      </c>
      <c r="AX422" s="1">
        <f t="shared" si="77"/>
        <v>97</v>
      </c>
      <c r="BH422">
        <v>421</v>
      </c>
      <c r="BI422">
        <v>116.66</v>
      </c>
      <c r="BJ422">
        <f t="shared" si="78"/>
        <v>0</v>
      </c>
      <c r="BK422">
        <v>-6.18</v>
      </c>
      <c r="BL422" s="1">
        <f t="shared" si="79"/>
        <v>140</v>
      </c>
      <c r="BT422">
        <v>421</v>
      </c>
      <c r="BU422">
        <v>137.71</v>
      </c>
      <c r="BV422">
        <f t="shared" si="80"/>
        <v>0</v>
      </c>
      <c r="BW422">
        <v>0</v>
      </c>
      <c r="BX422">
        <f t="shared" si="83"/>
        <v>144.732</v>
      </c>
      <c r="BY422" t="s">
        <v>0</v>
      </c>
    </row>
    <row r="423" spans="1:77" x14ac:dyDescent="0.25">
      <c r="Q423">
        <v>422</v>
      </c>
      <c r="R423" s="4">
        <v>67.39</v>
      </c>
      <c r="S423" s="4">
        <f t="shared" si="73"/>
        <v>0</v>
      </c>
      <c r="T423" s="4">
        <v>-2.3199999999999998</v>
      </c>
      <c r="U423" s="4">
        <f t="shared" si="84"/>
        <v>0.308</v>
      </c>
      <c r="AF423">
        <v>422</v>
      </c>
      <c r="AG423" s="4">
        <v>92.45</v>
      </c>
      <c r="AH423" s="4">
        <f t="shared" si="74"/>
        <v>0</v>
      </c>
      <c r="AI423" s="4">
        <v>-6.95</v>
      </c>
      <c r="AJ423" s="4">
        <f t="shared" si="76"/>
        <v>-0.23599999999999999</v>
      </c>
      <c r="AT423">
        <v>422</v>
      </c>
      <c r="AU423">
        <v>70.67</v>
      </c>
      <c r="AV423">
        <f t="shared" si="75"/>
        <v>0</v>
      </c>
      <c r="AW423">
        <v>-7.72</v>
      </c>
      <c r="AX423" s="1">
        <f t="shared" si="77"/>
        <v>97.156000000000006</v>
      </c>
      <c r="BH423">
        <v>422</v>
      </c>
      <c r="BI423">
        <v>116.39</v>
      </c>
      <c r="BJ423">
        <f t="shared" si="78"/>
        <v>0</v>
      </c>
      <c r="BK423">
        <v>-5.41</v>
      </c>
      <c r="BL423" s="1">
        <f t="shared" si="79"/>
        <v>140.154</v>
      </c>
      <c r="BT423">
        <v>422</v>
      </c>
      <c r="BU423">
        <v>137.4</v>
      </c>
      <c r="BV423">
        <f t="shared" si="80"/>
        <v>0</v>
      </c>
      <c r="BW423">
        <v>-12.36</v>
      </c>
      <c r="BX423">
        <f t="shared" si="83"/>
        <v>149.05600000000001</v>
      </c>
      <c r="BY423" t="s">
        <v>0</v>
      </c>
    </row>
    <row r="424" spans="1:77" x14ac:dyDescent="0.25">
      <c r="Q424">
        <v>423</v>
      </c>
      <c r="R424" s="4">
        <v>67.150000000000006</v>
      </c>
      <c r="S424" s="4">
        <f t="shared" si="73"/>
        <v>0</v>
      </c>
      <c r="T424" s="4">
        <v>-4.63</v>
      </c>
      <c r="U424" s="4">
        <f t="shared" si="84"/>
        <v>-0.46200000000000002</v>
      </c>
      <c r="AF424">
        <v>423</v>
      </c>
      <c r="AG424" s="4">
        <v>91.72</v>
      </c>
      <c r="AH424" s="4">
        <f t="shared" si="74"/>
        <v>0</v>
      </c>
      <c r="AI424" s="4">
        <v>-14.67</v>
      </c>
      <c r="AJ424" s="4">
        <f t="shared" si="76"/>
        <v>-0.54400000000000004</v>
      </c>
      <c r="AT424">
        <v>423</v>
      </c>
      <c r="AU424">
        <v>70.209999999999994</v>
      </c>
      <c r="AV424">
        <f t="shared" si="75"/>
        <v>0</v>
      </c>
      <c r="AW424">
        <v>-9.27</v>
      </c>
      <c r="AX424" s="1">
        <f t="shared" si="77"/>
        <v>96.69</v>
      </c>
      <c r="BH424">
        <v>423</v>
      </c>
      <c r="BI424">
        <v>116.7</v>
      </c>
      <c r="BJ424">
        <f t="shared" si="78"/>
        <v>146.18</v>
      </c>
      <c r="BK424">
        <v>6.18</v>
      </c>
      <c r="BL424" s="1">
        <f t="shared" si="79"/>
        <v>142.31800000000001</v>
      </c>
      <c r="BT424">
        <v>423</v>
      </c>
      <c r="BU424">
        <v>136.97</v>
      </c>
      <c r="BV424">
        <f t="shared" si="80"/>
        <v>0</v>
      </c>
      <c r="BW424">
        <v>-16.989999999999998</v>
      </c>
      <c r="BX424">
        <f t="shared" si="83"/>
        <v>152.148</v>
      </c>
      <c r="BY424" t="s">
        <v>0</v>
      </c>
    </row>
    <row r="425" spans="1:77" x14ac:dyDescent="0.25">
      <c r="Q425">
        <v>424</v>
      </c>
      <c r="R425" s="4">
        <v>67.040000000000006</v>
      </c>
      <c r="S425" s="4">
        <f t="shared" si="73"/>
        <v>0</v>
      </c>
      <c r="T425" s="4">
        <v>-2.3199999999999998</v>
      </c>
      <c r="U425" s="4">
        <f t="shared" si="84"/>
        <v>0.46200000000000002</v>
      </c>
      <c r="AF425">
        <v>424</v>
      </c>
      <c r="AG425" s="4">
        <v>91.06</v>
      </c>
      <c r="AH425" s="4">
        <f t="shared" si="74"/>
        <v>0</v>
      </c>
      <c r="AI425" s="4">
        <v>-13.13</v>
      </c>
      <c r="AJ425" s="4">
        <f t="shared" si="76"/>
        <v>1.3079999999999998</v>
      </c>
      <c r="AT425">
        <v>424</v>
      </c>
      <c r="AU425">
        <v>69.78</v>
      </c>
      <c r="AV425">
        <f t="shared" si="75"/>
        <v>0</v>
      </c>
      <c r="AW425">
        <v>-8.5</v>
      </c>
      <c r="AX425" s="1">
        <f t="shared" si="77"/>
        <v>97.153999999999996</v>
      </c>
      <c r="BH425">
        <v>424</v>
      </c>
      <c r="BI425">
        <v>117.51</v>
      </c>
      <c r="BJ425">
        <f t="shared" si="78"/>
        <v>156.22</v>
      </c>
      <c r="BK425">
        <v>16.22</v>
      </c>
      <c r="BL425" s="1">
        <f t="shared" si="79"/>
        <v>142.00800000000001</v>
      </c>
      <c r="BT425">
        <v>424</v>
      </c>
      <c r="BU425">
        <v>136.36000000000001</v>
      </c>
      <c r="BV425">
        <f t="shared" si="80"/>
        <v>0</v>
      </c>
      <c r="BW425">
        <v>-24.71</v>
      </c>
      <c r="BX425">
        <f t="shared" si="83"/>
        <v>150.91200000000001</v>
      </c>
      <c r="BY425" t="s">
        <v>0</v>
      </c>
    </row>
    <row r="426" spans="1:77" x14ac:dyDescent="0.25">
      <c r="Q426">
        <v>425</v>
      </c>
      <c r="R426" s="4">
        <v>66.959999999999994</v>
      </c>
      <c r="S426" s="4">
        <f t="shared" si="73"/>
        <v>0</v>
      </c>
      <c r="T426" s="4">
        <v>-1.54</v>
      </c>
      <c r="U426" s="4">
        <f t="shared" si="84"/>
        <v>0.15599999999999997</v>
      </c>
      <c r="AF426">
        <v>425</v>
      </c>
      <c r="AG426" s="4">
        <v>90.4</v>
      </c>
      <c r="AH426" s="4">
        <f t="shared" si="74"/>
        <v>0</v>
      </c>
      <c r="AI426" s="4">
        <v>-13.13</v>
      </c>
      <c r="AJ426" s="4">
        <f t="shared" si="76"/>
        <v>1</v>
      </c>
      <c r="AT426">
        <v>425</v>
      </c>
      <c r="AU426">
        <v>69.39</v>
      </c>
      <c r="AV426">
        <f t="shared" si="75"/>
        <v>0</v>
      </c>
      <c r="AW426">
        <v>-7.72</v>
      </c>
      <c r="AX426" s="1">
        <f t="shared" si="77"/>
        <v>97.156000000000006</v>
      </c>
      <c r="BH426">
        <v>425</v>
      </c>
      <c r="BI426">
        <v>117.43</v>
      </c>
      <c r="BJ426">
        <f t="shared" si="78"/>
        <v>0</v>
      </c>
      <c r="BK426">
        <v>-1.54</v>
      </c>
      <c r="BL426" s="1">
        <f t="shared" si="79"/>
        <v>136.44800000000001</v>
      </c>
      <c r="BT426">
        <v>425</v>
      </c>
      <c r="BU426">
        <v>135.69999999999999</v>
      </c>
      <c r="BV426">
        <f t="shared" si="80"/>
        <v>0</v>
      </c>
      <c r="BW426">
        <v>-26.26</v>
      </c>
      <c r="BX426">
        <f t="shared" si="83"/>
        <v>153.38</v>
      </c>
      <c r="BY426" t="s">
        <v>0</v>
      </c>
    </row>
    <row r="427" spans="1:77" x14ac:dyDescent="0.25">
      <c r="Q427">
        <v>426</v>
      </c>
      <c r="R427" s="4">
        <v>67.150000000000006</v>
      </c>
      <c r="S427" s="4">
        <f t="shared" si="73"/>
        <v>3.86</v>
      </c>
      <c r="T427" s="4">
        <v>3.86</v>
      </c>
      <c r="U427" s="4">
        <f t="shared" si="84"/>
        <v>1.08</v>
      </c>
      <c r="AF427">
        <v>426</v>
      </c>
      <c r="AG427" s="4">
        <v>89.75</v>
      </c>
      <c r="AH427" s="4">
        <f t="shared" si="74"/>
        <v>0</v>
      </c>
      <c r="AI427" s="4">
        <v>-13.13</v>
      </c>
      <c r="AJ427" s="4">
        <f t="shared" si="76"/>
        <v>1</v>
      </c>
      <c r="AT427">
        <v>426</v>
      </c>
      <c r="AU427">
        <v>69.09</v>
      </c>
      <c r="AV427">
        <f t="shared" si="75"/>
        <v>0</v>
      </c>
      <c r="AW427">
        <v>-6.18</v>
      </c>
      <c r="AX427" s="1">
        <f t="shared" si="77"/>
        <v>97.308000000000007</v>
      </c>
      <c r="BH427">
        <v>426</v>
      </c>
      <c r="BI427">
        <v>117.13</v>
      </c>
      <c r="BJ427">
        <f t="shared" si="78"/>
        <v>0</v>
      </c>
      <c r="BK427">
        <v>-6.18</v>
      </c>
      <c r="BL427" s="1">
        <f t="shared" si="79"/>
        <v>139.072</v>
      </c>
      <c r="BT427">
        <v>426</v>
      </c>
      <c r="BU427">
        <v>135.24</v>
      </c>
      <c r="BV427">
        <f t="shared" si="80"/>
        <v>0</v>
      </c>
      <c r="BW427">
        <v>-18.54</v>
      </c>
      <c r="BX427">
        <f t="shared" si="83"/>
        <v>157.08799999999999</v>
      </c>
      <c r="BY427" t="s">
        <v>0</v>
      </c>
    </row>
    <row r="428" spans="1:77" x14ac:dyDescent="0.25">
      <c r="Q428">
        <v>427</v>
      </c>
      <c r="R428" s="4">
        <v>67.430000000000007</v>
      </c>
      <c r="S428" s="4">
        <f t="shared" si="73"/>
        <v>5.41</v>
      </c>
      <c r="T428" s="4">
        <v>5.41</v>
      </c>
      <c r="U428" s="4">
        <f t="shared" si="84"/>
        <v>0.31000000000000005</v>
      </c>
      <c r="AF428">
        <v>427</v>
      </c>
      <c r="AG428" s="4">
        <v>89.09</v>
      </c>
      <c r="AH428" s="4">
        <f t="shared" si="74"/>
        <v>0</v>
      </c>
      <c r="AI428" s="4">
        <v>-13.13</v>
      </c>
      <c r="AJ428" s="4">
        <f t="shared" si="76"/>
        <v>1</v>
      </c>
      <c r="AT428">
        <v>427</v>
      </c>
      <c r="AU428">
        <v>68.540000000000006</v>
      </c>
      <c r="AV428">
        <f t="shared" si="75"/>
        <v>0</v>
      </c>
      <c r="AW428">
        <v>-10.81</v>
      </c>
      <c r="AX428" s="1">
        <f t="shared" si="77"/>
        <v>96.073999999999998</v>
      </c>
      <c r="BH428">
        <v>427</v>
      </c>
      <c r="BI428">
        <v>116.39</v>
      </c>
      <c r="BJ428">
        <f t="shared" si="78"/>
        <v>0</v>
      </c>
      <c r="BK428">
        <v>-14.67</v>
      </c>
      <c r="BL428" s="1">
        <f t="shared" si="79"/>
        <v>138.30199999999999</v>
      </c>
      <c r="BT428">
        <v>427</v>
      </c>
      <c r="BU428">
        <v>135.04</v>
      </c>
      <c r="BV428">
        <f t="shared" si="80"/>
        <v>0</v>
      </c>
      <c r="BW428">
        <v>-7.72</v>
      </c>
      <c r="BX428">
        <f t="shared" si="83"/>
        <v>158.328</v>
      </c>
      <c r="BY428" t="s">
        <v>0</v>
      </c>
    </row>
    <row r="429" spans="1:77" x14ac:dyDescent="0.25">
      <c r="Q429">
        <v>428</v>
      </c>
      <c r="R429" s="4">
        <v>67.58</v>
      </c>
      <c r="S429" s="4">
        <f t="shared" si="73"/>
        <v>3.09</v>
      </c>
      <c r="T429" s="4">
        <v>3.09</v>
      </c>
      <c r="U429" s="4">
        <f t="shared" si="84"/>
        <v>-0.46400000000000008</v>
      </c>
      <c r="AF429">
        <v>428</v>
      </c>
      <c r="AG429" s="4">
        <v>88.55</v>
      </c>
      <c r="AH429" s="4">
        <f t="shared" si="74"/>
        <v>0</v>
      </c>
      <c r="AI429" s="4">
        <v>-10.81</v>
      </c>
      <c r="AJ429" s="4">
        <f t="shared" si="76"/>
        <v>1.464</v>
      </c>
      <c r="AT429">
        <v>428</v>
      </c>
      <c r="AU429">
        <v>68.239999999999995</v>
      </c>
      <c r="AV429">
        <f t="shared" si="75"/>
        <v>0</v>
      </c>
      <c r="AW429">
        <v>-6.18</v>
      </c>
      <c r="AX429" s="1">
        <f t="shared" si="77"/>
        <v>97.926000000000002</v>
      </c>
      <c r="BH429">
        <v>428</v>
      </c>
      <c r="BI429">
        <v>115.7</v>
      </c>
      <c r="BJ429">
        <f t="shared" si="78"/>
        <v>0</v>
      </c>
      <c r="BK429">
        <v>-13.9</v>
      </c>
      <c r="BL429" s="1">
        <f t="shared" si="79"/>
        <v>140.154</v>
      </c>
      <c r="BT429">
        <v>428</v>
      </c>
      <c r="BU429">
        <v>134.88999999999999</v>
      </c>
      <c r="BV429">
        <f t="shared" si="80"/>
        <v>0</v>
      </c>
      <c r="BW429">
        <v>-6.18</v>
      </c>
      <c r="BX429">
        <f t="shared" si="83"/>
        <v>154.61600000000001</v>
      </c>
      <c r="BY429" t="s">
        <v>0</v>
      </c>
    </row>
    <row r="430" spans="1:77" x14ac:dyDescent="0.25">
      <c r="Q430">
        <v>429</v>
      </c>
      <c r="R430" s="4">
        <v>67.77</v>
      </c>
      <c r="S430" s="4">
        <f t="shared" si="73"/>
        <v>3.86</v>
      </c>
      <c r="T430" s="4">
        <v>3.86</v>
      </c>
      <c r="U430" s="4">
        <f t="shared" si="84"/>
        <v>0.154</v>
      </c>
      <c r="AF430">
        <v>429</v>
      </c>
      <c r="AG430" s="4">
        <v>88.16</v>
      </c>
      <c r="AH430" s="4">
        <f t="shared" si="74"/>
        <v>0</v>
      </c>
      <c r="AI430" s="4">
        <v>-7.72</v>
      </c>
      <c r="AJ430" s="4">
        <f t="shared" si="76"/>
        <v>1.6180000000000001</v>
      </c>
      <c r="AT430">
        <v>429</v>
      </c>
      <c r="AU430">
        <v>67.77</v>
      </c>
      <c r="AV430">
        <f t="shared" si="75"/>
        <v>0</v>
      </c>
      <c r="AW430">
        <v>-9.27</v>
      </c>
      <c r="AX430" s="1">
        <f t="shared" si="77"/>
        <v>96.382000000000005</v>
      </c>
      <c r="BH430">
        <v>429</v>
      </c>
      <c r="BI430">
        <v>115.31</v>
      </c>
      <c r="BJ430">
        <f t="shared" si="78"/>
        <v>0</v>
      </c>
      <c r="BK430">
        <v>-7.72</v>
      </c>
      <c r="BL430" s="1">
        <f t="shared" si="79"/>
        <v>141.23599999999999</v>
      </c>
      <c r="BT430">
        <v>429</v>
      </c>
      <c r="BU430">
        <v>134.72999999999999</v>
      </c>
      <c r="BV430">
        <f t="shared" si="80"/>
        <v>0</v>
      </c>
      <c r="BW430">
        <v>-6.18</v>
      </c>
      <c r="BX430">
        <f t="shared" si="83"/>
        <v>154</v>
      </c>
      <c r="BY430" t="s">
        <v>0</v>
      </c>
    </row>
    <row r="431" spans="1:77" x14ac:dyDescent="0.25">
      <c r="Q431">
        <v>430</v>
      </c>
      <c r="R431" s="4">
        <v>67.62</v>
      </c>
      <c r="S431" s="4">
        <f t="shared" si="73"/>
        <v>0</v>
      </c>
      <c r="T431" s="4">
        <v>-3.09</v>
      </c>
      <c r="U431" s="4">
        <f t="shared" si="84"/>
        <v>-1.39</v>
      </c>
      <c r="AF431">
        <v>430</v>
      </c>
      <c r="AG431" s="4">
        <v>87.89</v>
      </c>
      <c r="AH431" s="4">
        <f t="shared" si="74"/>
        <v>0</v>
      </c>
      <c r="AI431" s="4">
        <v>-5.41</v>
      </c>
      <c r="AJ431" s="4">
        <f t="shared" si="76"/>
        <v>1.462</v>
      </c>
      <c r="AT431">
        <v>430</v>
      </c>
      <c r="AU431">
        <v>67.459999999999994</v>
      </c>
      <c r="AV431">
        <f t="shared" si="75"/>
        <v>0</v>
      </c>
      <c r="AW431">
        <v>-6.18</v>
      </c>
      <c r="AX431" s="1">
        <f t="shared" si="77"/>
        <v>97.617999999999995</v>
      </c>
      <c r="BH431">
        <v>430</v>
      </c>
      <c r="BI431">
        <v>114.89</v>
      </c>
      <c r="BJ431">
        <f t="shared" si="78"/>
        <v>0</v>
      </c>
      <c r="BK431">
        <v>-8.5</v>
      </c>
      <c r="BL431" s="1">
        <f t="shared" si="79"/>
        <v>139.84399999999999</v>
      </c>
      <c r="BT431">
        <v>430</v>
      </c>
      <c r="BU431">
        <v>134.5</v>
      </c>
      <c r="BV431">
        <f t="shared" si="80"/>
        <v>0</v>
      </c>
      <c r="BW431">
        <v>-9.27</v>
      </c>
      <c r="BX431">
        <f t="shared" si="83"/>
        <v>152.76400000000001</v>
      </c>
      <c r="BY431" t="s">
        <v>0</v>
      </c>
    </row>
    <row r="432" spans="1:77" x14ac:dyDescent="0.25">
      <c r="Q432">
        <v>431</v>
      </c>
      <c r="R432" s="4">
        <v>67.349999999999994</v>
      </c>
      <c r="S432" s="4">
        <f t="shared" si="73"/>
        <v>0</v>
      </c>
      <c r="T432" s="4">
        <v>-5.41</v>
      </c>
      <c r="U432" s="4">
        <f t="shared" si="84"/>
        <v>-0.46400000000000008</v>
      </c>
      <c r="AF432">
        <v>431</v>
      </c>
      <c r="AG432" s="4">
        <v>87.54</v>
      </c>
      <c r="AH432" s="4">
        <f t="shared" si="74"/>
        <v>0</v>
      </c>
      <c r="AI432" s="4">
        <v>-6.95</v>
      </c>
      <c r="AJ432" s="4">
        <f t="shared" si="76"/>
        <v>0.69199999999999995</v>
      </c>
      <c r="AT432">
        <v>431</v>
      </c>
      <c r="AU432">
        <v>68.16</v>
      </c>
      <c r="AV432">
        <f t="shared" si="75"/>
        <v>110.9</v>
      </c>
      <c r="AW432">
        <v>13.9</v>
      </c>
      <c r="AX432" s="1">
        <f t="shared" si="77"/>
        <v>101.01600000000001</v>
      </c>
      <c r="BH432">
        <v>431</v>
      </c>
      <c r="BI432">
        <v>114.5</v>
      </c>
      <c r="BJ432">
        <f t="shared" si="78"/>
        <v>0</v>
      </c>
      <c r="BK432">
        <v>-7.72</v>
      </c>
      <c r="BL432" s="1">
        <f t="shared" si="79"/>
        <v>140.15600000000001</v>
      </c>
      <c r="BT432">
        <v>431</v>
      </c>
      <c r="BU432">
        <v>134.35</v>
      </c>
      <c r="BV432">
        <f t="shared" si="80"/>
        <v>0</v>
      </c>
      <c r="BW432">
        <v>-6.18</v>
      </c>
      <c r="BX432">
        <f t="shared" si="83"/>
        <v>155.23599999999999</v>
      </c>
      <c r="BY432" t="s">
        <v>0</v>
      </c>
    </row>
    <row r="433" spans="17:77" x14ac:dyDescent="0.25">
      <c r="Q433">
        <v>432</v>
      </c>
      <c r="R433" s="4">
        <v>67.12</v>
      </c>
      <c r="S433" s="4">
        <f t="shared" si="73"/>
        <v>0</v>
      </c>
      <c r="T433" s="4">
        <v>-4.63</v>
      </c>
      <c r="U433" s="4">
        <f t="shared" si="84"/>
        <v>0.15600000000000006</v>
      </c>
      <c r="AF433">
        <v>432</v>
      </c>
      <c r="AG433" s="6">
        <v>87.35</v>
      </c>
      <c r="AH433" s="4">
        <f t="shared" si="74"/>
        <v>0</v>
      </c>
      <c r="AI433" s="4">
        <v>-3.86</v>
      </c>
      <c r="AJ433" s="4">
        <f t="shared" si="76"/>
        <v>1.6180000000000001</v>
      </c>
      <c r="AT433">
        <v>432</v>
      </c>
      <c r="AU433">
        <v>69.430000000000007</v>
      </c>
      <c r="AV433">
        <f t="shared" si="75"/>
        <v>122.49</v>
      </c>
      <c r="AW433">
        <v>25.49</v>
      </c>
      <c r="AX433" s="1">
        <f t="shared" si="77"/>
        <v>99.317999999999998</v>
      </c>
      <c r="BH433">
        <v>432</v>
      </c>
      <c r="BI433">
        <v>114.23</v>
      </c>
      <c r="BJ433">
        <f t="shared" si="78"/>
        <v>0</v>
      </c>
      <c r="BK433">
        <v>-5.41</v>
      </c>
      <c r="BL433" s="1">
        <f t="shared" si="79"/>
        <v>140.46199999999999</v>
      </c>
      <c r="BT433">
        <v>432</v>
      </c>
      <c r="BU433">
        <v>134.08000000000001</v>
      </c>
      <c r="BV433">
        <f t="shared" si="80"/>
        <v>0</v>
      </c>
      <c r="BW433">
        <v>-10.81</v>
      </c>
      <c r="BX433">
        <f t="shared" si="83"/>
        <v>152.148</v>
      </c>
      <c r="BY433" t="s">
        <v>0</v>
      </c>
    </row>
    <row r="434" spans="17:77" x14ac:dyDescent="0.25">
      <c r="Q434">
        <v>433</v>
      </c>
      <c r="R434" s="4">
        <v>66.73</v>
      </c>
      <c r="S434" s="4">
        <f t="shared" si="73"/>
        <v>0</v>
      </c>
      <c r="T434" s="4">
        <v>-7.72</v>
      </c>
      <c r="U434" s="4">
        <f t="shared" si="84"/>
        <v>-0.61799999999999999</v>
      </c>
      <c r="AF434">
        <v>433</v>
      </c>
      <c r="AG434" s="6">
        <v>87.66</v>
      </c>
      <c r="AH434" s="4">
        <f t="shared" si="74"/>
        <v>7.18</v>
      </c>
      <c r="AI434" s="4">
        <v>6.18</v>
      </c>
      <c r="AJ434" s="4">
        <f t="shared" si="76"/>
        <v>3.008</v>
      </c>
      <c r="AT434">
        <v>433</v>
      </c>
      <c r="AU434">
        <v>69.59</v>
      </c>
      <c r="AV434">
        <f t="shared" si="75"/>
        <v>100.09</v>
      </c>
      <c r="AW434">
        <v>3.09</v>
      </c>
      <c r="AX434" s="1">
        <f t="shared" si="77"/>
        <v>92.52</v>
      </c>
      <c r="BH434">
        <v>433</v>
      </c>
      <c r="BI434">
        <v>113.92</v>
      </c>
      <c r="BJ434">
        <f t="shared" si="78"/>
        <v>0</v>
      </c>
      <c r="BK434">
        <v>-6.18</v>
      </c>
      <c r="BL434" s="1">
        <f t="shared" si="79"/>
        <v>139.846</v>
      </c>
      <c r="BT434">
        <v>433</v>
      </c>
      <c r="BU434">
        <v>133.88</v>
      </c>
      <c r="BV434">
        <f t="shared" si="80"/>
        <v>0</v>
      </c>
      <c r="BW434">
        <v>-7.72</v>
      </c>
      <c r="BX434">
        <f t="shared" si="83"/>
        <v>155.23599999999999</v>
      </c>
      <c r="BY434" t="s">
        <v>0</v>
      </c>
    </row>
    <row r="435" spans="17:77" x14ac:dyDescent="0.25">
      <c r="Q435">
        <v>434</v>
      </c>
      <c r="R435" s="4">
        <v>66.5</v>
      </c>
      <c r="S435" s="4">
        <f t="shared" si="73"/>
        <v>0</v>
      </c>
      <c r="T435" s="4">
        <v>-4.63</v>
      </c>
      <c r="U435" s="4">
        <f t="shared" si="84"/>
        <v>0.61799999999999999</v>
      </c>
      <c r="AF435">
        <v>434</v>
      </c>
      <c r="AG435" s="6">
        <v>89.13</v>
      </c>
      <c r="AH435" s="4">
        <f t="shared" si="74"/>
        <v>30.35</v>
      </c>
      <c r="AI435" s="4">
        <v>29.35</v>
      </c>
      <c r="AJ435" s="4">
        <f t="shared" si="76"/>
        <v>5.6340000000000003</v>
      </c>
      <c r="AT435">
        <v>434</v>
      </c>
      <c r="AU435">
        <v>69.430000000000007</v>
      </c>
      <c r="AV435">
        <f t="shared" si="75"/>
        <v>0</v>
      </c>
      <c r="AW435">
        <v>-3.09</v>
      </c>
      <c r="AX435" s="1">
        <f t="shared" si="77"/>
        <v>95.763999999999996</v>
      </c>
      <c r="BH435">
        <v>434</v>
      </c>
      <c r="BI435">
        <v>113.65</v>
      </c>
      <c r="BJ435">
        <f t="shared" si="78"/>
        <v>0</v>
      </c>
      <c r="BK435">
        <v>-5.41</v>
      </c>
      <c r="BL435" s="1">
        <f t="shared" si="79"/>
        <v>140.154</v>
      </c>
      <c r="BT435">
        <v>434</v>
      </c>
      <c r="BU435">
        <v>133.72999999999999</v>
      </c>
      <c r="BV435">
        <f t="shared" si="80"/>
        <v>0</v>
      </c>
      <c r="BW435">
        <v>-6.18</v>
      </c>
      <c r="BX435">
        <f t="shared" si="83"/>
        <v>154.61600000000001</v>
      </c>
      <c r="BY435" t="s">
        <v>0</v>
      </c>
    </row>
    <row r="436" spans="17:77" x14ac:dyDescent="0.25">
      <c r="Q436">
        <v>435</v>
      </c>
      <c r="R436" s="4">
        <v>66.31</v>
      </c>
      <c r="S436" s="4">
        <f t="shared" si="73"/>
        <v>0</v>
      </c>
      <c r="T436" s="4">
        <v>-3.86</v>
      </c>
      <c r="U436" s="4">
        <f t="shared" si="84"/>
        <v>0.154</v>
      </c>
      <c r="AF436">
        <v>435</v>
      </c>
      <c r="AG436" s="6">
        <v>89.17</v>
      </c>
      <c r="AH436" s="4">
        <f t="shared" si="74"/>
        <v>1.77</v>
      </c>
      <c r="AI436" s="4">
        <v>0.77</v>
      </c>
      <c r="AJ436" s="4">
        <f t="shared" si="76"/>
        <v>-4.7160000000000002</v>
      </c>
      <c r="AT436">
        <v>435</v>
      </c>
      <c r="AU436">
        <v>69.12</v>
      </c>
      <c r="AV436">
        <f t="shared" si="75"/>
        <v>0</v>
      </c>
      <c r="AW436">
        <v>-6.18</v>
      </c>
      <c r="AX436" s="1">
        <f t="shared" si="77"/>
        <v>96.382000000000005</v>
      </c>
      <c r="BH436">
        <v>435</v>
      </c>
      <c r="BI436">
        <v>113.5</v>
      </c>
      <c r="BJ436">
        <f t="shared" si="78"/>
        <v>0</v>
      </c>
      <c r="BK436">
        <v>-3.09</v>
      </c>
      <c r="BL436" s="1">
        <f t="shared" si="79"/>
        <v>140.464</v>
      </c>
      <c r="BT436">
        <v>435</v>
      </c>
      <c r="BU436">
        <v>133.58000000000001</v>
      </c>
      <c r="BV436">
        <f t="shared" si="80"/>
        <v>0</v>
      </c>
      <c r="BW436">
        <v>-6.18</v>
      </c>
      <c r="BX436">
        <f t="shared" si="83"/>
        <v>154</v>
      </c>
      <c r="BY436" t="s">
        <v>0</v>
      </c>
    </row>
    <row r="437" spans="17:77" x14ac:dyDescent="0.25">
      <c r="Q437">
        <v>436</v>
      </c>
      <c r="R437" s="4">
        <v>66.150000000000006</v>
      </c>
      <c r="S437" s="4">
        <f t="shared" si="73"/>
        <v>0</v>
      </c>
      <c r="T437" s="4">
        <v>-3.09</v>
      </c>
      <c r="U437" s="4">
        <f t="shared" si="84"/>
        <v>0.154</v>
      </c>
      <c r="AF437">
        <v>436</v>
      </c>
      <c r="AG437" s="4">
        <v>88.93</v>
      </c>
      <c r="AH437" s="4">
        <f t="shared" si="74"/>
        <v>0</v>
      </c>
      <c r="AI437" s="4">
        <v>-4.63</v>
      </c>
      <c r="AJ437" s="4">
        <f t="shared" si="76"/>
        <v>-8.0000000000000071E-2</v>
      </c>
      <c r="AT437">
        <v>436</v>
      </c>
      <c r="AU437">
        <v>68.58</v>
      </c>
      <c r="AV437">
        <f t="shared" si="75"/>
        <v>0</v>
      </c>
      <c r="AW437">
        <v>-10.81</v>
      </c>
      <c r="AX437" s="1">
        <f t="shared" si="77"/>
        <v>96.073999999999998</v>
      </c>
      <c r="BH437">
        <v>436</v>
      </c>
      <c r="BI437">
        <v>114.27</v>
      </c>
      <c r="BJ437">
        <f t="shared" si="78"/>
        <v>155.44999999999999</v>
      </c>
      <c r="BK437">
        <v>15.45</v>
      </c>
      <c r="BL437" s="1">
        <f t="shared" si="79"/>
        <v>143.708</v>
      </c>
      <c r="BT437">
        <v>436</v>
      </c>
      <c r="BU437">
        <v>133.38</v>
      </c>
      <c r="BV437">
        <f t="shared" si="80"/>
        <v>0</v>
      </c>
      <c r="BW437">
        <v>-7.72</v>
      </c>
      <c r="BX437">
        <f t="shared" si="83"/>
        <v>153.38399999999999</v>
      </c>
      <c r="BY437" t="s">
        <v>0</v>
      </c>
    </row>
    <row r="438" spans="17:77" x14ac:dyDescent="0.25">
      <c r="Q438">
        <v>437</v>
      </c>
      <c r="R438" s="4">
        <v>65.88</v>
      </c>
      <c r="S438" s="4">
        <f t="shared" si="73"/>
        <v>0</v>
      </c>
      <c r="T438" s="4">
        <v>-5.41</v>
      </c>
      <c r="U438" s="4">
        <f t="shared" si="84"/>
        <v>-0.46400000000000008</v>
      </c>
      <c r="AF438">
        <v>437</v>
      </c>
      <c r="AG438" s="4">
        <v>88.51</v>
      </c>
      <c r="AH438" s="4">
        <f t="shared" si="74"/>
        <v>0</v>
      </c>
      <c r="AI438" s="4">
        <v>-8.5</v>
      </c>
      <c r="AJ438" s="4">
        <f t="shared" si="76"/>
        <v>0.22599999999999998</v>
      </c>
      <c r="AT438">
        <v>437</v>
      </c>
      <c r="AU438">
        <v>68.27</v>
      </c>
      <c r="AV438">
        <f t="shared" si="75"/>
        <v>0</v>
      </c>
      <c r="AW438">
        <v>-6.18</v>
      </c>
      <c r="AX438" s="1">
        <f t="shared" si="77"/>
        <v>97.926000000000002</v>
      </c>
      <c r="BH438">
        <v>437</v>
      </c>
      <c r="BI438">
        <v>114.65</v>
      </c>
      <c r="BJ438">
        <f t="shared" si="78"/>
        <v>147.72</v>
      </c>
      <c r="BK438">
        <v>7.72</v>
      </c>
      <c r="BL438" s="1">
        <f t="shared" si="79"/>
        <v>138.45400000000001</v>
      </c>
      <c r="BT438">
        <v>437</v>
      </c>
      <c r="BU438">
        <v>133.5</v>
      </c>
      <c r="BV438">
        <f t="shared" si="80"/>
        <v>158.63</v>
      </c>
      <c r="BW438">
        <v>4.63</v>
      </c>
      <c r="BX438">
        <f t="shared" si="83"/>
        <v>158.94</v>
      </c>
      <c r="BY438" t="s">
        <v>0</v>
      </c>
    </row>
    <row r="439" spans="17:77" x14ac:dyDescent="0.25">
      <c r="Q439">
        <v>438</v>
      </c>
      <c r="R439" s="4">
        <v>65.69</v>
      </c>
      <c r="S439" s="4">
        <f t="shared" si="73"/>
        <v>0</v>
      </c>
      <c r="T439" s="4">
        <v>-3.86</v>
      </c>
      <c r="U439" s="4">
        <f t="shared" si="84"/>
        <v>0.31000000000000005</v>
      </c>
      <c r="AF439">
        <v>438</v>
      </c>
      <c r="AG439" s="4">
        <v>87.78</v>
      </c>
      <c r="AH439" s="4">
        <f t="shared" si="74"/>
        <v>0</v>
      </c>
      <c r="AI439" s="4">
        <v>-14.67</v>
      </c>
      <c r="AJ439" s="4">
        <f t="shared" si="76"/>
        <v>-0.23399999999999999</v>
      </c>
      <c r="AT439">
        <v>438</v>
      </c>
      <c r="AU439">
        <v>68</v>
      </c>
      <c r="AV439">
        <f t="shared" si="75"/>
        <v>0</v>
      </c>
      <c r="AW439">
        <v>-5.41</v>
      </c>
      <c r="AX439" s="1">
        <f t="shared" si="77"/>
        <v>97.153999999999996</v>
      </c>
      <c r="BH439">
        <v>438</v>
      </c>
      <c r="BI439">
        <v>114.73</v>
      </c>
      <c r="BJ439">
        <f t="shared" si="78"/>
        <v>141.54</v>
      </c>
      <c r="BK439">
        <v>1.54</v>
      </c>
      <c r="BL439" s="1">
        <f t="shared" si="79"/>
        <v>138.76400000000001</v>
      </c>
      <c r="BT439">
        <v>438</v>
      </c>
      <c r="BU439">
        <v>134.16</v>
      </c>
      <c r="BV439">
        <f t="shared" si="80"/>
        <v>180.26</v>
      </c>
      <c r="BW439">
        <v>26.26</v>
      </c>
      <c r="BX439">
        <f t="shared" si="83"/>
        <v>162.65199999999999</v>
      </c>
      <c r="BY439" t="s">
        <v>0</v>
      </c>
    </row>
    <row r="440" spans="17:77" x14ac:dyDescent="0.25">
      <c r="Q440">
        <v>439</v>
      </c>
      <c r="R440" s="4">
        <v>65.34</v>
      </c>
      <c r="S440" s="4">
        <f t="shared" si="73"/>
        <v>0</v>
      </c>
      <c r="T440" s="4">
        <v>-6.95</v>
      </c>
      <c r="U440" s="4">
        <f t="shared" si="84"/>
        <v>-0.6180000000000001</v>
      </c>
      <c r="AF440">
        <v>439</v>
      </c>
      <c r="AG440" s="4">
        <v>87.31</v>
      </c>
      <c r="AH440" s="4">
        <f t="shared" si="74"/>
        <v>0</v>
      </c>
      <c r="AI440" s="4">
        <v>-9.27</v>
      </c>
      <c r="AJ440" s="4">
        <f t="shared" si="76"/>
        <v>2.08</v>
      </c>
      <c r="AT440">
        <v>439</v>
      </c>
      <c r="AU440">
        <v>67.73</v>
      </c>
      <c r="AV440">
        <f t="shared" si="75"/>
        <v>0</v>
      </c>
      <c r="AW440">
        <v>-5.41</v>
      </c>
      <c r="AX440" s="1">
        <f t="shared" si="77"/>
        <v>97</v>
      </c>
      <c r="BH440">
        <v>439</v>
      </c>
      <c r="BI440">
        <v>114.38</v>
      </c>
      <c r="BJ440">
        <f t="shared" si="78"/>
        <v>0</v>
      </c>
      <c r="BK440">
        <v>-6.95</v>
      </c>
      <c r="BL440" s="1">
        <f t="shared" si="79"/>
        <v>138.30199999999999</v>
      </c>
      <c r="BT440">
        <v>439</v>
      </c>
      <c r="BU440">
        <v>134.97</v>
      </c>
      <c r="BV440">
        <f t="shared" si="80"/>
        <v>186.44</v>
      </c>
      <c r="BW440">
        <v>32.44</v>
      </c>
      <c r="BX440">
        <f t="shared" si="83"/>
        <v>156.47200000000001</v>
      </c>
      <c r="BY440" t="s">
        <v>0</v>
      </c>
    </row>
    <row r="441" spans="17:77" x14ac:dyDescent="0.25">
      <c r="Q441">
        <v>440</v>
      </c>
      <c r="R441" s="4">
        <v>65.22</v>
      </c>
      <c r="S441" s="4">
        <f t="shared" si="73"/>
        <v>0</v>
      </c>
      <c r="T441" s="4">
        <v>-2.3199999999999998</v>
      </c>
      <c r="U441" s="4">
        <f t="shared" si="84"/>
        <v>0.92600000000000016</v>
      </c>
      <c r="AF441">
        <v>440</v>
      </c>
      <c r="AG441" s="4">
        <v>86.81</v>
      </c>
      <c r="AH441" s="4">
        <f t="shared" si="74"/>
        <v>0</v>
      </c>
      <c r="AI441" s="4">
        <v>-10.039999999999999</v>
      </c>
      <c r="AJ441" s="4">
        <f t="shared" si="76"/>
        <v>0.84600000000000009</v>
      </c>
      <c r="AT441">
        <v>440</v>
      </c>
      <c r="AU441">
        <v>67.39</v>
      </c>
      <c r="AV441">
        <f t="shared" si="75"/>
        <v>0</v>
      </c>
      <c r="AW441">
        <v>-6.95</v>
      </c>
      <c r="AX441" s="1">
        <f t="shared" si="77"/>
        <v>96.691999999999993</v>
      </c>
      <c r="BH441">
        <v>440</v>
      </c>
      <c r="BI441">
        <v>113.73</v>
      </c>
      <c r="BJ441">
        <f t="shared" si="78"/>
        <v>0</v>
      </c>
      <c r="BK441">
        <v>-13.13</v>
      </c>
      <c r="BL441" s="1">
        <f t="shared" si="79"/>
        <v>138.76400000000001</v>
      </c>
      <c r="BT441">
        <v>440</v>
      </c>
      <c r="BU441">
        <v>135.28</v>
      </c>
      <c r="BV441">
        <f t="shared" si="80"/>
        <v>166.36</v>
      </c>
      <c r="BW441">
        <v>12.36</v>
      </c>
      <c r="BX441">
        <f t="shared" si="83"/>
        <v>145.96799999999999</v>
      </c>
      <c r="BY441" t="s">
        <v>0</v>
      </c>
    </row>
    <row r="442" spans="17:77" x14ac:dyDescent="0.25">
      <c r="Q442">
        <v>441</v>
      </c>
      <c r="R442" s="4">
        <v>65.260000000000005</v>
      </c>
      <c r="S442" s="4">
        <f t="shared" si="73"/>
        <v>0.77</v>
      </c>
      <c r="T442" s="4">
        <v>0.77</v>
      </c>
      <c r="U442" s="4">
        <f t="shared" si="84"/>
        <v>0.61799999999999999</v>
      </c>
      <c r="AF442">
        <v>441</v>
      </c>
      <c r="AG442" s="4">
        <v>86.23</v>
      </c>
      <c r="AH442" s="4">
        <f t="shared" si="74"/>
        <v>0</v>
      </c>
      <c r="AI442" s="4">
        <v>-11.59</v>
      </c>
      <c r="AJ442" s="4">
        <f t="shared" si="76"/>
        <v>0.68999999999999984</v>
      </c>
      <c r="AT442">
        <v>441</v>
      </c>
      <c r="AU442">
        <v>67</v>
      </c>
      <c r="AV442">
        <f t="shared" si="75"/>
        <v>0</v>
      </c>
      <c r="AW442">
        <v>-7.72</v>
      </c>
      <c r="AX442" s="1">
        <f t="shared" si="77"/>
        <v>96.846000000000004</v>
      </c>
      <c r="BH442">
        <v>441</v>
      </c>
      <c r="BI442">
        <v>113.15</v>
      </c>
      <c r="BJ442">
        <f t="shared" si="78"/>
        <v>0</v>
      </c>
      <c r="BK442">
        <v>-11.58</v>
      </c>
      <c r="BL442" s="1">
        <f t="shared" si="79"/>
        <v>140.31</v>
      </c>
      <c r="BT442">
        <v>441</v>
      </c>
      <c r="BU442">
        <v>135.16</v>
      </c>
      <c r="BV442">
        <f t="shared" si="80"/>
        <v>0</v>
      </c>
      <c r="BW442">
        <v>-4.63</v>
      </c>
      <c r="BX442">
        <f t="shared" si="83"/>
        <v>147.20400000000001</v>
      </c>
      <c r="BY442" t="s">
        <v>0</v>
      </c>
    </row>
    <row r="443" spans="17:77" x14ac:dyDescent="0.25">
      <c r="Q443">
        <v>442</v>
      </c>
      <c r="R443" s="4">
        <v>65.069999999999993</v>
      </c>
      <c r="S443" s="4">
        <f t="shared" si="73"/>
        <v>0</v>
      </c>
      <c r="T443" s="4">
        <v>-3.86</v>
      </c>
      <c r="U443" s="4">
        <f t="shared" si="84"/>
        <v>-0.92599999999999993</v>
      </c>
      <c r="AF443">
        <v>442</v>
      </c>
      <c r="AG443" s="4">
        <v>85.58</v>
      </c>
      <c r="AH443" s="4">
        <f t="shared" si="74"/>
        <v>0</v>
      </c>
      <c r="AI443" s="4">
        <v>-13.13</v>
      </c>
      <c r="AJ443" s="4">
        <f t="shared" si="76"/>
        <v>0.69199999999999984</v>
      </c>
      <c r="AT443">
        <v>442</v>
      </c>
      <c r="AU443">
        <v>66.650000000000006</v>
      </c>
      <c r="AV443">
        <f t="shared" si="75"/>
        <v>0</v>
      </c>
      <c r="AW443">
        <v>-6.95</v>
      </c>
      <c r="AX443" s="1">
        <f t="shared" si="77"/>
        <v>97.153999999999996</v>
      </c>
      <c r="BH443">
        <v>442</v>
      </c>
      <c r="BI443">
        <v>112.57</v>
      </c>
      <c r="BJ443">
        <f t="shared" si="78"/>
        <v>0</v>
      </c>
      <c r="BK443">
        <v>-11.59</v>
      </c>
      <c r="BL443" s="1">
        <f t="shared" si="79"/>
        <v>139.99799999999999</v>
      </c>
      <c r="BT443">
        <v>442</v>
      </c>
      <c r="BU443">
        <v>134.97</v>
      </c>
      <c r="BV443">
        <f t="shared" si="80"/>
        <v>0</v>
      </c>
      <c r="BW443">
        <v>-7.72</v>
      </c>
      <c r="BX443">
        <f t="shared" si="83"/>
        <v>152.76400000000001</v>
      </c>
      <c r="BY443" t="s">
        <v>0</v>
      </c>
    </row>
    <row r="444" spans="17:77" x14ac:dyDescent="0.25">
      <c r="Q444">
        <v>443</v>
      </c>
      <c r="R444" s="4">
        <v>64.95</v>
      </c>
      <c r="S444" s="4">
        <f t="shared" si="73"/>
        <v>0</v>
      </c>
      <c r="T444" s="4">
        <v>-2.3199999999999998</v>
      </c>
      <c r="U444" s="4">
        <f t="shared" si="84"/>
        <v>0.308</v>
      </c>
      <c r="AF444">
        <v>443</v>
      </c>
      <c r="AG444" s="4">
        <v>84.96</v>
      </c>
      <c r="AH444" s="4">
        <f t="shared" si="74"/>
        <v>0</v>
      </c>
      <c r="AI444" s="4">
        <v>-12.36</v>
      </c>
      <c r="AJ444" s="4">
        <f t="shared" si="76"/>
        <v>1.1540000000000004</v>
      </c>
      <c r="AT444">
        <v>443</v>
      </c>
      <c r="AU444">
        <v>66.31</v>
      </c>
      <c r="AV444">
        <f t="shared" si="75"/>
        <v>0</v>
      </c>
      <c r="AW444">
        <v>-6.95</v>
      </c>
      <c r="AX444" s="1">
        <f t="shared" si="77"/>
        <v>97</v>
      </c>
      <c r="BH444">
        <v>443</v>
      </c>
      <c r="BI444">
        <v>112.1</v>
      </c>
      <c r="BJ444">
        <f t="shared" si="78"/>
        <v>0</v>
      </c>
      <c r="BK444">
        <v>-9.27</v>
      </c>
      <c r="BL444" s="1">
        <f t="shared" si="79"/>
        <v>140.464</v>
      </c>
      <c r="BT444">
        <v>443</v>
      </c>
      <c r="BU444">
        <v>134.5</v>
      </c>
      <c r="BV444">
        <f t="shared" si="80"/>
        <v>0</v>
      </c>
      <c r="BW444">
        <v>-18.54</v>
      </c>
      <c r="BX444">
        <f t="shared" si="83"/>
        <v>149.672</v>
      </c>
      <c r="BY444" t="s">
        <v>0</v>
      </c>
    </row>
    <row r="445" spans="17:77" x14ac:dyDescent="0.25">
      <c r="Q445">
        <v>444</v>
      </c>
      <c r="R445" s="4">
        <v>64.64</v>
      </c>
      <c r="S445" s="4">
        <f t="shared" si="73"/>
        <v>0</v>
      </c>
      <c r="T445" s="4">
        <v>-6.18</v>
      </c>
      <c r="U445" s="4">
        <f t="shared" si="84"/>
        <v>-0.77200000000000002</v>
      </c>
      <c r="AF445">
        <v>444</v>
      </c>
      <c r="AG445" s="4">
        <v>84.53</v>
      </c>
      <c r="AH445" s="4">
        <f t="shared" si="74"/>
        <v>0</v>
      </c>
      <c r="AI445" s="4">
        <v>-8.5</v>
      </c>
      <c r="AJ445" s="4">
        <f t="shared" si="76"/>
        <v>1.7719999999999998</v>
      </c>
      <c r="AT445">
        <v>444</v>
      </c>
      <c r="AU445">
        <v>66</v>
      </c>
      <c r="AV445">
        <f t="shared" si="75"/>
        <v>0</v>
      </c>
      <c r="AW445">
        <v>-6.18</v>
      </c>
      <c r="AX445" s="1">
        <f t="shared" si="77"/>
        <v>97.153999999999996</v>
      </c>
      <c r="BH445">
        <v>444</v>
      </c>
      <c r="BI445">
        <v>111.72</v>
      </c>
      <c r="BJ445">
        <f t="shared" si="78"/>
        <v>0</v>
      </c>
      <c r="BK445">
        <v>-7.72</v>
      </c>
      <c r="BL445" s="1">
        <f t="shared" si="79"/>
        <v>140.31</v>
      </c>
      <c r="BT445">
        <v>444</v>
      </c>
      <c r="BU445">
        <v>133.88</v>
      </c>
      <c r="BV445">
        <f t="shared" si="80"/>
        <v>0</v>
      </c>
      <c r="BW445">
        <v>-24.71</v>
      </c>
      <c r="BX445">
        <f t="shared" si="83"/>
        <v>151.53200000000001</v>
      </c>
      <c r="BY445" t="s">
        <v>0</v>
      </c>
    </row>
    <row r="446" spans="17:77" x14ac:dyDescent="0.25">
      <c r="Q446">
        <v>445</v>
      </c>
      <c r="R446" s="4">
        <v>64.45</v>
      </c>
      <c r="S446" s="4">
        <f t="shared" si="73"/>
        <v>0</v>
      </c>
      <c r="T446" s="4">
        <v>-3.86</v>
      </c>
      <c r="U446" s="4">
        <f t="shared" si="84"/>
        <v>0.46399999999999997</v>
      </c>
      <c r="AF446">
        <v>445</v>
      </c>
      <c r="AG446" s="4">
        <v>84.22</v>
      </c>
      <c r="AH446" s="4">
        <f t="shared" si="74"/>
        <v>0</v>
      </c>
      <c r="AI446" s="4">
        <v>-6.18</v>
      </c>
      <c r="AJ446" s="4">
        <f t="shared" si="76"/>
        <v>1.464</v>
      </c>
      <c r="AT446">
        <v>445</v>
      </c>
      <c r="AU446">
        <v>65.69</v>
      </c>
      <c r="AV446">
        <f t="shared" si="75"/>
        <v>0</v>
      </c>
      <c r="AW446">
        <v>-6.18</v>
      </c>
      <c r="AX446" s="1">
        <f t="shared" si="77"/>
        <v>97</v>
      </c>
      <c r="BH446">
        <v>445</v>
      </c>
      <c r="BI446">
        <v>111.41</v>
      </c>
      <c r="BJ446">
        <f t="shared" si="78"/>
        <v>0</v>
      </c>
      <c r="BK446">
        <v>-6.18</v>
      </c>
      <c r="BL446" s="1">
        <f t="shared" si="79"/>
        <v>140.30799999999999</v>
      </c>
      <c r="BT446">
        <v>445</v>
      </c>
      <c r="BU446">
        <v>133.34</v>
      </c>
      <c r="BV446">
        <f t="shared" si="80"/>
        <v>0</v>
      </c>
      <c r="BW446">
        <v>-21.63</v>
      </c>
      <c r="BX446">
        <f t="shared" si="83"/>
        <v>155.232</v>
      </c>
      <c r="BY446" t="s">
        <v>0</v>
      </c>
    </row>
    <row r="447" spans="17:77" x14ac:dyDescent="0.25">
      <c r="Q447">
        <v>446</v>
      </c>
      <c r="R447" s="4">
        <v>64.34</v>
      </c>
      <c r="S447" s="4">
        <f t="shared" si="73"/>
        <v>0</v>
      </c>
      <c r="T447" s="4">
        <v>-2.3199999999999998</v>
      </c>
      <c r="U447" s="4">
        <f t="shared" si="84"/>
        <v>0.308</v>
      </c>
      <c r="AF447">
        <v>446</v>
      </c>
      <c r="AG447" s="4">
        <v>84.03</v>
      </c>
      <c r="AH447" s="4">
        <f t="shared" si="74"/>
        <v>0</v>
      </c>
      <c r="AI447" s="4">
        <v>-3.86</v>
      </c>
      <c r="AJ447" s="4">
        <f t="shared" si="76"/>
        <v>1.464</v>
      </c>
      <c r="AT447">
        <v>446</v>
      </c>
      <c r="AU447">
        <v>65.34</v>
      </c>
      <c r="AV447">
        <f t="shared" si="75"/>
        <v>0</v>
      </c>
      <c r="AW447">
        <v>-6.95</v>
      </c>
      <c r="AX447" s="1">
        <f t="shared" si="77"/>
        <v>96.846000000000004</v>
      </c>
      <c r="BH447">
        <v>446</v>
      </c>
      <c r="BI447">
        <v>111.06</v>
      </c>
      <c r="BJ447">
        <f t="shared" si="78"/>
        <v>0</v>
      </c>
      <c r="BK447">
        <v>-6.95</v>
      </c>
      <c r="BL447" s="1">
        <f t="shared" si="79"/>
        <v>139.846</v>
      </c>
      <c r="BT447">
        <v>446</v>
      </c>
      <c r="BU447">
        <v>132.84</v>
      </c>
      <c r="BV447">
        <f t="shared" si="80"/>
        <v>0</v>
      </c>
      <c r="BW447">
        <v>-20.079999999999998</v>
      </c>
      <c r="BX447">
        <f t="shared" si="83"/>
        <v>154.62</v>
      </c>
      <c r="BY447" t="s">
        <v>0</v>
      </c>
    </row>
    <row r="448" spans="17:77" x14ac:dyDescent="0.25">
      <c r="Q448">
        <v>447</v>
      </c>
      <c r="R448" s="4">
        <v>64.03</v>
      </c>
      <c r="S448" s="4">
        <f t="shared" si="73"/>
        <v>0</v>
      </c>
      <c r="T448" s="4">
        <v>-6.18</v>
      </c>
      <c r="U448" s="4">
        <f t="shared" si="84"/>
        <v>-0.77200000000000002</v>
      </c>
      <c r="AF448">
        <v>447</v>
      </c>
      <c r="AG448" s="6">
        <v>83.84</v>
      </c>
      <c r="AH448" s="4">
        <f t="shared" si="74"/>
        <v>0</v>
      </c>
      <c r="AI448" s="4">
        <v>-3.86</v>
      </c>
      <c r="AJ448" s="4">
        <f t="shared" si="76"/>
        <v>1</v>
      </c>
      <c r="AT448">
        <v>447</v>
      </c>
      <c r="AU448">
        <v>64.989999999999995</v>
      </c>
      <c r="AV448">
        <f t="shared" si="75"/>
        <v>0</v>
      </c>
      <c r="AW448">
        <v>-6.95</v>
      </c>
      <c r="AX448" s="1">
        <f t="shared" si="77"/>
        <v>97</v>
      </c>
      <c r="BH448">
        <v>447</v>
      </c>
      <c r="BI448">
        <v>110.79</v>
      </c>
      <c r="BJ448">
        <f t="shared" si="78"/>
        <v>0</v>
      </c>
      <c r="BK448">
        <v>-5.41</v>
      </c>
      <c r="BL448" s="1">
        <f t="shared" si="79"/>
        <v>140.30799999999999</v>
      </c>
      <c r="BT448">
        <v>447</v>
      </c>
      <c r="BU448">
        <v>132.53</v>
      </c>
      <c r="BV448">
        <f t="shared" si="80"/>
        <v>0</v>
      </c>
      <c r="BW448">
        <v>-12.36</v>
      </c>
      <c r="BX448">
        <f t="shared" si="83"/>
        <v>157.08799999999999</v>
      </c>
      <c r="BY448" t="s">
        <v>0</v>
      </c>
    </row>
    <row r="449" spans="17:77" x14ac:dyDescent="0.25">
      <c r="Q449">
        <v>448</v>
      </c>
      <c r="R449" s="4">
        <v>63.72</v>
      </c>
      <c r="S449" s="4">
        <f t="shared" si="73"/>
        <v>0</v>
      </c>
      <c r="T449" s="4">
        <v>-6.18</v>
      </c>
      <c r="U449" s="4">
        <f t="shared" si="84"/>
        <v>0</v>
      </c>
      <c r="AF449">
        <v>448</v>
      </c>
      <c r="AG449" s="6">
        <v>85.42</v>
      </c>
      <c r="AH449" s="4">
        <f t="shared" si="74"/>
        <v>32.67</v>
      </c>
      <c r="AI449" s="4">
        <v>31.67</v>
      </c>
      <c r="AJ449" s="4">
        <f t="shared" si="76"/>
        <v>8.1059999999999999</v>
      </c>
      <c r="AT449">
        <v>448</v>
      </c>
      <c r="AU449">
        <v>64.64</v>
      </c>
      <c r="AV449">
        <f t="shared" si="75"/>
        <v>0</v>
      </c>
      <c r="AW449">
        <v>-6.95</v>
      </c>
      <c r="AX449" s="1">
        <f t="shared" si="77"/>
        <v>97</v>
      </c>
      <c r="BH449">
        <v>448</v>
      </c>
      <c r="BI449">
        <v>110.91</v>
      </c>
      <c r="BJ449">
        <f t="shared" si="78"/>
        <v>142.32</v>
      </c>
      <c r="BK449">
        <v>2.3199999999999998</v>
      </c>
      <c r="BL449" s="1">
        <f t="shared" si="79"/>
        <v>141.54599999999999</v>
      </c>
      <c r="BT449">
        <v>448</v>
      </c>
      <c r="BU449">
        <v>132.34</v>
      </c>
      <c r="BV449">
        <f t="shared" si="80"/>
        <v>0</v>
      </c>
      <c r="BW449">
        <v>-7.72</v>
      </c>
      <c r="BX449">
        <f t="shared" si="83"/>
        <v>155.85599999999999</v>
      </c>
      <c r="BY449" t="s">
        <v>0</v>
      </c>
    </row>
    <row r="450" spans="17:77" x14ac:dyDescent="0.25">
      <c r="Q450">
        <v>449</v>
      </c>
      <c r="R450" s="4">
        <v>63.49</v>
      </c>
      <c r="S450" s="4">
        <f t="shared" ref="S450:S501" si="85">IF(T450&gt;0,T450+S$1,0)</f>
        <v>0</v>
      </c>
      <c r="T450" s="4">
        <v>-4.63</v>
      </c>
      <c r="U450" s="4">
        <f t="shared" si="84"/>
        <v>0.30999999999999994</v>
      </c>
      <c r="AF450">
        <v>449</v>
      </c>
      <c r="AG450" s="6">
        <v>85.58</v>
      </c>
      <c r="AH450" s="4">
        <f t="shared" ref="AH450:AH513" si="86">IF(AI450&gt;0,AI450+AH$1,0)</f>
        <v>4.09</v>
      </c>
      <c r="AI450" s="4">
        <v>3.09</v>
      </c>
      <c r="AJ450" s="4">
        <f t="shared" si="76"/>
        <v>-4.7160000000000002</v>
      </c>
      <c r="AT450">
        <v>449</v>
      </c>
      <c r="AU450">
        <v>64.3</v>
      </c>
      <c r="AV450">
        <f t="shared" ref="AV450:AV513" si="87">IF(AW450&gt;0,AW450+AV$1,0)</f>
        <v>0</v>
      </c>
      <c r="AW450">
        <v>-6.95</v>
      </c>
      <c r="AX450" s="1">
        <f t="shared" si="77"/>
        <v>97</v>
      </c>
      <c r="BH450">
        <v>449</v>
      </c>
      <c r="BI450">
        <v>111.8</v>
      </c>
      <c r="BJ450">
        <f t="shared" si="78"/>
        <v>157.76</v>
      </c>
      <c r="BK450">
        <v>17.760000000000002</v>
      </c>
      <c r="BL450" s="1">
        <f t="shared" si="79"/>
        <v>143.08799999999999</v>
      </c>
      <c r="BT450">
        <v>449</v>
      </c>
      <c r="BU450">
        <v>132.03</v>
      </c>
      <c r="BV450">
        <f t="shared" si="80"/>
        <v>0</v>
      </c>
      <c r="BW450">
        <v>-12.36</v>
      </c>
      <c r="BX450">
        <f t="shared" si="83"/>
        <v>152.14400000000001</v>
      </c>
      <c r="BY450" t="s">
        <v>0</v>
      </c>
    </row>
    <row r="451" spans="17:77" x14ac:dyDescent="0.25">
      <c r="Q451">
        <v>450</v>
      </c>
      <c r="R451" s="4">
        <v>63.29</v>
      </c>
      <c r="S451" s="4">
        <f t="shared" si="85"/>
        <v>0</v>
      </c>
      <c r="T451" s="4">
        <v>-3.86</v>
      </c>
      <c r="U451" s="4">
        <f t="shared" si="84"/>
        <v>0.154</v>
      </c>
      <c r="AF451">
        <v>450</v>
      </c>
      <c r="AG451" s="4">
        <v>85.5</v>
      </c>
      <c r="AH451" s="4">
        <f t="shared" si="86"/>
        <v>0</v>
      </c>
      <c r="AI451" s="4">
        <v>-1.54</v>
      </c>
      <c r="AJ451" s="4">
        <f t="shared" ref="AJ451:AJ514" si="88">(AI451-AI450)/5+AH$1</f>
        <v>7.4000000000000066E-2</v>
      </c>
      <c r="AT451">
        <v>450</v>
      </c>
      <c r="AU451">
        <v>63.91</v>
      </c>
      <c r="AV451">
        <f t="shared" si="87"/>
        <v>0</v>
      </c>
      <c r="AW451">
        <v>-7.72</v>
      </c>
      <c r="AX451" s="1">
        <f t="shared" ref="AX451:AX514" si="89">(AW451-AW450)/5+AV$1</f>
        <v>96.846000000000004</v>
      </c>
      <c r="BH451">
        <v>450</v>
      </c>
      <c r="BI451">
        <v>111.99</v>
      </c>
      <c r="BJ451">
        <f t="shared" ref="BJ451:BJ514" si="90">IF(BK451&gt;0,BK451+BJ$1,0)</f>
        <v>143.86000000000001</v>
      </c>
      <c r="BK451">
        <v>3.86</v>
      </c>
      <c r="BL451" s="1">
        <f t="shared" ref="BL451:BL514" si="91">(BK451-BK450)/5+BJ$1</f>
        <v>137.22</v>
      </c>
      <c r="BT451">
        <v>450</v>
      </c>
      <c r="BU451">
        <v>131.88</v>
      </c>
      <c r="BV451">
        <f t="shared" ref="BV451:BV514" si="92">IF(BW451&gt;0,BW451+BV$1,0)</f>
        <v>0</v>
      </c>
      <c r="BW451">
        <v>-6.18</v>
      </c>
      <c r="BX451">
        <f t="shared" si="83"/>
        <v>156.47200000000001</v>
      </c>
      <c r="BY451" t="s">
        <v>0</v>
      </c>
    </row>
    <row r="452" spans="17:77" x14ac:dyDescent="0.25">
      <c r="Q452">
        <v>451</v>
      </c>
      <c r="R452" s="4">
        <v>63.1</v>
      </c>
      <c r="S452" s="4">
        <f t="shared" si="85"/>
        <v>0</v>
      </c>
      <c r="T452" s="4">
        <v>-3.86</v>
      </c>
      <c r="U452" s="4">
        <f t="shared" si="84"/>
        <v>0</v>
      </c>
      <c r="AF452">
        <v>451</v>
      </c>
      <c r="AG452" s="4">
        <v>85.11</v>
      </c>
      <c r="AH452" s="4">
        <f t="shared" si="86"/>
        <v>0</v>
      </c>
      <c r="AI452" s="4">
        <v>-7.72</v>
      </c>
      <c r="AJ452" s="4">
        <f t="shared" si="88"/>
        <v>-0.23599999999999999</v>
      </c>
      <c r="AT452">
        <v>451</v>
      </c>
      <c r="AU452">
        <v>64.45</v>
      </c>
      <c r="AV452">
        <f t="shared" si="87"/>
        <v>107.81</v>
      </c>
      <c r="AW452">
        <v>10.81</v>
      </c>
      <c r="AX452" s="1">
        <f t="shared" si="89"/>
        <v>100.706</v>
      </c>
      <c r="BH452">
        <v>451</v>
      </c>
      <c r="BI452">
        <v>111.99</v>
      </c>
      <c r="BJ452">
        <f t="shared" si="90"/>
        <v>0</v>
      </c>
      <c r="BK452">
        <v>0</v>
      </c>
      <c r="BL452" s="1">
        <f t="shared" si="91"/>
        <v>139.22800000000001</v>
      </c>
      <c r="BT452">
        <v>451</v>
      </c>
      <c r="BU452">
        <v>131.65</v>
      </c>
      <c r="BV452">
        <f t="shared" si="92"/>
        <v>0</v>
      </c>
      <c r="BW452">
        <v>-9.27</v>
      </c>
      <c r="BX452">
        <f t="shared" ref="BX452:BX515" si="93">BV$1+(BW452-BW451)/2.5</f>
        <v>152.76400000000001</v>
      </c>
      <c r="BY452" t="s">
        <v>0</v>
      </c>
    </row>
    <row r="453" spans="17:77" x14ac:dyDescent="0.25">
      <c r="Q453">
        <v>452</v>
      </c>
      <c r="R453" s="4">
        <v>62.95</v>
      </c>
      <c r="S453" s="4">
        <f t="shared" si="85"/>
        <v>0</v>
      </c>
      <c r="T453" s="4">
        <v>-3.09</v>
      </c>
      <c r="U453" s="4">
        <f t="shared" si="84"/>
        <v>0.154</v>
      </c>
      <c r="AF453">
        <v>452</v>
      </c>
      <c r="AG453" s="4">
        <v>84.49</v>
      </c>
      <c r="AH453" s="4">
        <f t="shared" si="86"/>
        <v>0</v>
      </c>
      <c r="AI453" s="4">
        <v>-12.36</v>
      </c>
      <c r="AJ453" s="4">
        <f t="shared" si="88"/>
        <v>7.2000000000000064E-2</v>
      </c>
      <c r="AT453">
        <v>452</v>
      </c>
      <c r="AU453">
        <v>65.34</v>
      </c>
      <c r="AV453">
        <f t="shared" si="87"/>
        <v>114.76</v>
      </c>
      <c r="AW453">
        <v>17.760000000000002</v>
      </c>
      <c r="AX453" s="1">
        <f t="shared" si="89"/>
        <v>98.39</v>
      </c>
      <c r="BH453">
        <v>452</v>
      </c>
      <c r="BI453">
        <v>111.72</v>
      </c>
      <c r="BJ453">
        <f t="shared" si="90"/>
        <v>0</v>
      </c>
      <c r="BK453">
        <v>-5.41</v>
      </c>
      <c r="BL453" s="1">
        <f t="shared" si="91"/>
        <v>138.91800000000001</v>
      </c>
      <c r="BT453">
        <v>452</v>
      </c>
      <c r="BU453">
        <v>131.44999999999999</v>
      </c>
      <c r="BV453">
        <f t="shared" si="92"/>
        <v>0</v>
      </c>
      <c r="BW453">
        <v>-7.72</v>
      </c>
      <c r="BX453">
        <f t="shared" si="93"/>
        <v>154.62</v>
      </c>
      <c r="BY453" t="s">
        <v>0</v>
      </c>
    </row>
    <row r="454" spans="17:77" x14ac:dyDescent="0.25">
      <c r="Q454">
        <v>453</v>
      </c>
      <c r="R454" s="4">
        <v>62.75</v>
      </c>
      <c r="S454" s="4">
        <f t="shared" si="85"/>
        <v>0</v>
      </c>
      <c r="T454" s="4">
        <v>-3.86</v>
      </c>
      <c r="U454" s="4">
        <f t="shared" ref="U454:U501" si="94">(T454-T453)/5</f>
        <v>-0.154</v>
      </c>
      <c r="AF454">
        <v>453</v>
      </c>
      <c r="AG454" s="4">
        <v>84.03</v>
      </c>
      <c r="AH454" s="4">
        <f t="shared" si="86"/>
        <v>0</v>
      </c>
      <c r="AI454" s="4">
        <v>-9.27</v>
      </c>
      <c r="AJ454" s="4">
        <f t="shared" si="88"/>
        <v>1.6179999999999999</v>
      </c>
      <c r="AT454">
        <v>453</v>
      </c>
      <c r="AU454">
        <v>65.38</v>
      </c>
      <c r="AV454">
        <f t="shared" si="87"/>
        <v>97.77</v>
      </c>
      <c r="AW454">
        <v>0.77</v>
      </c>
      <c r="AX454" s="1">
        <f t="shared" si="89"/>
        <v>93.602000000000004</v>
      </c>
      <c r="BH454">
        <v>453</v>
      </c>
      <c r="BI454">
        <v>111.22</v>
      </c>
      <c r="BJ454">
        <f t="shared" si="90"/>
        <v>0</v>
      </c>
      <c r="BK454">
        <v>-10.039999999999999</v>
      </c>
      <c r="BL454" s="1">
        <f t="shared" si="91"/>
        <v>139.07400000000001</v>
      </c>
      <c r="BT454">
        <v>453</v>
      </c>
      <c r="BU454">
        <v>131.26</v>
      </c>
      <c r="BV454">
        <f t="shared" si="92"/>
        <v>0</v>
      </c>
      <c r="BW454">
        <v>-7.72</v>
      </c>
      <c r="BX454">
        <f t="shared" si="93"/>
        <v>154</v>
      </c>
      <c r="BY454" t="s">
        <v>0</v>
      </c>
    </row>
    <row r="455" spans="17:77" x14ac:dyDescent="0.25">
      <c r="Q455">
        <v>454</v>
      </c>
      <c r="R455" s="4">
        <v>62.75</v>
      </c>
      <c r="S455" s="4">
        <f t="shared" si="85"/>
        <v>0</v>
      </c>
      <c r="T455" s="4">
        <v>0</v>
      </c>
      <c r="U455" s="4">
        <f t="shared" si="94"/>
        <v>0.77200000000000002</v>
      </c>
      <c r="AF455">
        <v>454</v>
      </c>
      <c r="AG455" s="4">
        <v>83.53</v>
      </c>
      <c r="AH455" s="4">
        <f t="shared" si="86"/>
        <v>0</v>
      </c>
      <c r="AI455" s="4">
        <v>-10.039999999999999</v>
      </c>
      <c r="AJ455" s="4">
        <f t="shared" si="88"/>
        <v>0.84600000000000009</v>
      </c>
      <c r="AT455">
        <v>454</v>
      </c>
      <c r="AU455">
        <v>65.19</v>
      </c>
      <c r="AV455">
        <f t="shared" si="87"/>
        <v>0</v>
      </c>
      <c r="AW455">
        <v>-3.86</v>
      </c>
      <c r="AX455" s="1">
        <f t="shared" si="89"/>
        <v>96.073999999999998</v>
      </c>
      <c r="BH455">
        <v>454</v>
      </c>
      <c r="BI455">
        <v>110.6</v>
      </c>
      <c r="BJ455">
        <f t="shared" si="90"/>
        <v>0</v>
      </c>
      <c r="BK455">
        <v>-12.36</v>
      </c>
      <c r="BL455" s="1">
        <f t="shared" si="91"/>
        <v>139.536</v>
      </c>
      <c r="BT455">
        <v>454</v>
      </c>
      <c r="BU455">
        <v>131.1</v>
      </c>
      <c r="BV455">
        <f t="shared" si="92"/>
        <v>0</v>
      </c>
      <c r="BW455">
        <v>-6.18</v>
      </c>
      <c r="BX455">
        <f t="shared" si="93"/>
        <v>154.61600000000001</v>
      </c>
      <c r="BY455" t="s">
        <v>0</v>
      </c>
    </row>
    <row r="456" spans="17:77" x14ac:dyDescent="0.25">
      <c r="Q456">
        <v>455</v>
      </c>
      <c r="R456" s="4">
        <v>62.95</v>
      </c>
      <c r="S456" s="4">
        <f t="shared" si="85"/>
        <v>3.86</v>
      </c>
      <c r="T456" s="4">
        <v>3.86</v>
      </c>
      <c r="U456" s="4">
        <f t="shared" si="94"/>
        <v>0.77200000000000002</v>
      </c>
      <c r="AF456">
        <v>455</v>
      </c>
      <c r="AG456" s="4">
        <v>83.03</v>
      </c>
      <c r="AH456" s="4">
        <f t="shared" si="86"/>
        <v>0</v>
      </c>
      <c r="AI456" s="4">
        <v>-10.039999999999999</v>
      </c>
      <c r="AJ456" s="4">
        <f t="shared" si="88"/>
        <v>1</v>
      </c>
      <c r="AT456">
        <v>455</v>
      </c>
      <c r="AU456">
        <v>64.92</v>
      </c>
      <c r="AV456">
        <f t="shared" si="87"/>
        <v>0</v>
      </c>
      <c r="AW456">
        <v>-5.41</v>
      </c>
      <c r="AX456" s="1">
        <f t="shared" si="89"/>
        <v>96.69</v>
      </c>
      <c r="BH456">
        <v>455</v>
      </c>
      <c r="BI456">
        <v>109.98</v>
      </c>
      <c r="BJ456">
        <f t="shared" si="90"/>
        <v>0</v>
      </c>
      <c r="BK456">
        <v>-12.36</v>
      </c>
      <c r="BL456" s="1">
        <f t="shared" si="91"/>
        <v>140</v>
      </c>
      <c r="BT456">
        <v>455</v>
      </c>
      <c r="BU456">
        <v>130.99</v>
      </c>
      <c r="BV456">
        <f t="shared" si="92"/>
        <v>0</v>
      </c>
      <c r="BW456">
        <v>-4.63</v>
      </c>
      <c r="BX456">
        <f t="shared" si="93"/>
        <v>154.62</v>
      </c>
      <c r="BY456" t="s">
        <v>0</v>
      </c>
    </row>
    <row r="457" spans="17:77" x14ac:dyDescent="0.25">
      <c r="Q457">
        <v>456</v>
      </c>
      <c r="R457" s="4">
        <v>62.95</v>
      </c>
      <c r="S457" s="4">
        <f t="shared" si="85"/>
        <v>0</v>
      </c>
      <c r="T457" s="4">
        <v>0</v>
      </c>
      <c r="U457" s="4">
        <f t="shared" si="94"/>
        <v>-0.77200000000000002</v>
      </c>
      <c r="AF457">
        <v>456</v>
      </c>
      <c r="AG457" s="4">
        <v>82.56</v>
      </c>
      <c r="AH457" s="4">
        <f t="shared" si="86"/>
        <v>0</v>
      </c>
      <c r="AI457" s="4">
        <v>-9.27</v>
      </c>
      <c r="AJ457" s="4">
        <f t="shared" si="88"/>
        <v>1.1539999999999999</v>
      </c>
      <c r="AT457">
        <v>456</v>
      </c>
      <c r="AU457">
        <v>64.45</v>
      </c>
      <c r="AV457">
        <f t="shared" si="87"/>
        <v>0</v>
      </c>
      <c r="AW457">
        <v>-9.27</v>
      </c>
      <c r="AX457" s="1">
        <f t="shared" si="89"/>
        <v>96.227999999999994</v>
      </c>
      <c r="BH457">
        <v>456</v>
      </c>
      <c r="BI457">
        <v>109.4</v>
      </c>
      <c r="BJ457">
        <f t="shared" si="90"/>
        <v>0</v>
      </c>
      <c r="BK457">
        <v>-11.58</v>
      </c>
      <c r="BL457" s="1">
        <f t="shared" si="91"/>
        <v>140.15600000000001</v>
      </c>
      <c r="BT457">
        <v>456</v>
      </c>
      <c r="BU457">
        <v>130.83000000000001</v>
      </c>
      <c r="BV457">
        <f t="shared" si="92"/>
        <v>0</v>
      </c>
      <c r="BW457">
        <v>-6.18</v>
      </c>
      <c r="BX457">
        <f t="shared" si="93"/>
        <v>153.38</v>
      </c>
      <c r="BY457" t="s">
        <v>0</v>
      </c>
    </row>
    <row r="458" spans="17:77" x14ac:dyDescent="0.25">
      <c r="Q458">
        <v>457</v>
      </c>
      <c r="R458" s="4">
        <v>62.95</v>
      </c>
      <c r="S458" s="4">
        <f t="shared" si="85"/>
        <v>0</v>
      </c>
      <c r="T458" s="4">
        <v>0</v>
      </c>
      <c r="U458" s="4">
        <f t="shared" si="94"/>
        <v>0</v>
      </c>
      <c r="AF458">
        <v>457</v>
      </c>
      <c r="AG458" s="4">
        <v>82.06</v>
      </c>
      <c r="AH458" s="4">
        <f t="shared" si="86"/>
        <v>0</v>
      </c>
      <c r="AI458" s="4">
        <v>-10.039999999999999</v>
      </c>
      <c r="AJ458" s="4">
        <f t="shared" si="88"/>
        <v>0.84600000000000009</v>
      </c>
      <c r="AT458">
        <v>457</v>
      </c>
      <c r="AU458">
        <v>64.14</v>
      </c>
      <c r="AV458">
        <f t="shared" si="87"/>
        <v>0</v>
      </c>
      <c r="AW458">
        <v>-6.18</v>
      </c>
      <c r="AX458" s="1">
        <f t="shared" si="89"/>
        <v>97.617999999999995</v>
      </c>
      <c r="BH458">
        <v>457</v>
      </c>
      <c r="BI458">
        <v>109.09</v>
      </c>
      <c r="BJ458">
        <f t="shared" si="90"/>
        <v>0</v>
      </c>
      <c r="BK458">
        <v>-6.18</v>
      </c>
      <c r="BL458" s="1">
        <f t="shared" si="91"/>
        <v>141.08000000000001</v>
      </c>
      <c r="BT458">
        <v>457</v>
      </c>
      <c r="BU458">
        <v>130.99</v>
      </c>
      <c r="BV458">
        <f t="shared" si="92"/>
        <v>160.18</v>
      </c>
      <c r="BW458">
        <v>6.18</v>
      </c>
      <c r="BX458">
        <f t="shared" si="93"/>
        <v>158.94399999999999</v>
      </c>
      <c r="BY458" t="s">
        <v>0</v>
      </c>
    </row>
    <row r="459" spans="17:77" x14ac:dyDescent="0.25">
      <c r="Q459">
        <v>458</v>
      </c>
      <c r="R459" s="4">
        <v>62.79</v>
      </c>
      <c r="S459" s="4">
        <f t="shared" si="85"/>
        <v>0</v>
      </c>
      <c r="T459" s="4">
        <v>-3.09</v>
      </c>
      <c r="U459" s="4">
        <f t="shared" si="94"/>
        <v>-0.61799999999999999</v>
      </c>
      <c r="AF459">
        <v>458</v>
      </c>
      <c r="AG459" s="4">
        <v>81.44</v>
      </c>
      <c r="AH459" s="4">
        <f t="shared" si="86"/>
        <v>0</v>
      </c>
      <c r="AI459" s="4">
        <v>-12.36</v>
      </c>
      <c r="AJ459" s="4">
        <f t="shared" si="88"/>
        <v>0.53599999999999992</v>
      </c>
      <c r="AT459">
        <v>458</v>
      </c>
      <c r="AU459">
        <v>64.03</v>
      </c>
      <c r="AV459">
        <f t="shared" si="87"/>
        <v>0</v>
      </c>
      <c r="AW459">
        <v>-2.3199999999999998</v>
      </c>
      <c r="AX459" s="1">
        <f t="shared" si="89"/>
        <v>97.772000000000006</v>
      </c>
      <c r="BH459">
        <v>458</v>
      </c>
      <c r="BI459">
        <v>108.82</v>
      </c>
      <c r="BJ459">
        <f t="shared" si="90"/>
        <v>0</v>
      </c>
      <c r="BK459">
        <v>-5.41</v>
      </c>
      <c r="BL459" s="1">
        <f t="shared" si="91"/>
        <v>140.154</v>
      </c>
      <c r="BT459">
        <v>458</v>
      </c>
      <c r="BU459">
        <v>131.72</v>
      </c>
      <c r="BV459">
        <f t="shared" si="92"/>
        <v>183.35</v>
      </c>
      <c r="BW459">
        <v>29.35</v>
      </c>
      <c r="BX459">
        <f t="shared" si="93"/>
        <v>163.268</v>
      </c>
      <c r="BY459" t="s">
        <v>0</v>
      </c>
    </row>
    <row r="460" spans="17:77" x14ac:dyDescent="0.25">
      <c r="Q460">
        <v>459</v>
      </c>
      <c r="R460" s="4">
        <v>62.56</v>
      </c>
      <c r="S460" s="4">
        <f t="shared" si="85"/>
        <v>0</v>
      </c>
      <c r="T460" s="4">
        <v>-4.63</v>
      </c>
      <c r="U460" s="4">
        <f t="shared" si="94"/>
        <v>-0.308</v>
      </c>
      <c r="AF460">
        <v>459</v>
      </c>
      <c r="AG460" s="4">
        <v>80.94</v>
      </c>
      <c r="AH460" s="4">
        <f t="shared" si="86"/>
        <v>0</v>
      </c>
      <c r="AI460" s="4">
        <v>-10.039999999999999</v>
      </c>
      <c r="AJ460" s="4">
        <f t="shared" si="88"/>
        <v>1.464</v>
      </c>
      <c r="AT460">
        <v>459</v>
      </c>
      <c r="AU460">
        <v>63.6</v>
      </c>
      <c r="AV460">
        <f t="shared" si="87"/>
        <v>0</v>
      </c>
      <c r="AW460">
        <v>-8.5</v>
      </c>
      <c r="AX460" s="1">
        <f t="shared" si="89"/>
        <v>95.763999999999996</v>
      </c>
      <c r="BH460">
        <v>459</v>
      </c>
      <c r="BI460">
        <v>108.51</v>
      </c>
      <c r="BJ460">
        <f t="shared" si="90"/>
        <v>0</v>
      </c>
      <c r="BK460">
        <v>-6.18</v>
      </c>
      <c r="BL460" s="1">
        <f t="shared" si="91"/>
        <v>139.846</v>
      </c>
      <c r="BT460">
        <v>459</v>
      </c>
      <c r="BU460">
        <v>132.49</v>
      </c>
      <c r="BV460">
        <f t="shared" si="92"/>
        <v>184.89</v>
      </c>
      <c r="BW460">
        <v>30.89</v>
      </c>
      <c r="BX460">
        <f t="shared" si="93"/>
        <v>154.61599999999999</v>
      </c>
      <c r="BY460" t="s">
        <v>0</v>
      </c>
    </row>
    <row r="461" spans="17:77" x14ac:dyDescent="0.25">
      <c r="Q461">
        <v>460</v>
      </c>
      <c r="R461" s="4">
        <v>62.29</v>
      </c>
      <c r="S461" s="4">
        <f t="shared" si="85"/>
        <v>0</v>
      </c>
      <c r="T461" s="4">
        <v>-5.41</v>
      </c>
      <c r="U461" s="4">
        <f t="shared" si="94"/>
        <v>-0.15600000000000006</v>
      </c>
      <c r="AF461">
        <v>460</v>
      </c>
      <c r="AG461" s="4">
        <v>80.63</v>
      </c>
      <c r="AH461" s="4">
        <f t="shared" si="86"/>
        <v>0</v>
      </c>
      <c r="AI461" s="4">
        <v>-6.18</v>
      </c>
      <c r="AJ461" s="4">
        <f t="shared" si="88"/>
        <v>1.7719999999999998</v>
      </c>
      <c r="AT461">
        <v>460</v>
      </c>
      <c r="AU461">
        <v>63.37</v>
      </c>
      <c r="AV461">
        <f t="shared" si="87"/>
        <v>0</v>
      </c>
      <c r="AW461">
        <v>-4.63</v>
      </c>
      <c r="AX461" s="1">
        <f t="shared" si="89"/>
        <v>97.774000000000001</v>
      </c>
      <c r="BH461">
        <v>460</v>
      </c>
      <c r="BI461">
        <v>108.24</v>
      </c>
      <c r="BJ461">
        <f t="shared" si="90"/>
        <v>0</v>
      </c>
      <c r="BK461">
        <v>-5.41</v>
      </c>
      <c r="BL461" s="1">
        <f t="shared" si="91"/>
        <v>140.154</v>
      </c>
      <c r="BT461">
        <v>460</v>
      </c>
      <c r="BU461">
        <v>132.72999999999999</v>
      </c>
      <c r="BV461">
        <f t="shared" si="92"/>
        <v>163.27000000000001</v>
      </c>
      <c r="BW461">
        <v>9.27</v>
      </c>
      <c r="BX461">
        <f t="shared" si="93"/>
        <v>145.352</v>
      </c>
      <c r="BY461" t="s">
        <v>0</v>
      </c>
    </row>
    <row r="462" spans="17:77" x14ac:dyDescent="0.25">
      <c r="Q462">
        <v>461</v>
      </c>
      <c r="R462" s="4">
        <v>62.1</v>
      </c>
      <c r="S462" s="4">
        <f t="shared" si="85"/>
        <v>0</v>
      </c>
      <c r="T462" s="4">
        <v>-3.86</v>
      </c>
      <c r="U462" s="4">
        <f t="shared" si="94"/>
        <v>0.31000000000000005</v>
      </c>
      <c r="AF462">
        <v>461</v>
      </c>
      <c r="AG462" s="6">
        <v>80.48</v>
      </c>
      <c r="AH462" s="4">
        <f t="shared" si="86"/>
        <v>0</v>
      </c>
      <c r="AI462" s="4">
        <v>-3.09</v>
      </c>
      <c r="AJ462" s="4">
        <f t="shared" si="88"/>
        <v>1.6179999999999999</v>
      </c>
      <c r="AT462">
        <v>461</v>
      </c>
      <c r="AU462">
        <v>63.06</v>
      </c>
      <c r="AV462">
        <f t="shared" si="87"/>
        <v>0</v>
      </c>
      <c r="AW462">
        <v>-6.18</v>
      </c>
      <c r="AX462" s="1">
        <f t="shared" si="89"/>
        <v>96.69</v>
      </c>
      <c r="BH462">
        <v>461</v>
      </c>
      <c r="BI462">
        <v>108.82</v>
      </c>
      <c r="BJ462">
        <f t="shared" si="90"/>
        <v>151.58000000000001</v>
      </c>
      <c r="BK462">
        <v>11.58</v>
      </c>
      <c r="BL462" s="1">
        <f t="shared" si="91"/>
        <v>143.398</v>
      </c>
      <c r="BT462">
        <v>461</v>
      </c>
      <c r="BU462">
        <v>132.57</v>
      </c>
      <c r="BV462">
        <f t="shared" si="92"/>
        <v>0</v>
      </c>
      <c r="BW462">
        <v>-6.18</v>
      </c>
      <c r="BX462">
        <f t="shared" si="93"/>
        <v>147.82</v>
      </c>
      <c r="BY462" t="s">
        <v>0</v>
      </c>
    </row>
    <row r="463" spans="17:77" x14ac:dyDescent="0.25">
      <c r="Q463">
        <v>462</v>
      </c>
      <c r="R463" s="4">
        <v>61.75</v>
      </c>
      <c r="S463" s="4">
        <f t="shared" si="85"/>
        <v>0</v>
      </c>
      <c r="T463" s="4">
        <v>-6.95</v>
      </c>
      <c r="U463" s="4">
        <f t="shared" si="94"/>
        <v>-0.6180000000000001</v>
      </c>
      <c r="AF463">
        <v>462</v>
      </c>
      <c r="AG463" s="6">
        <v>82.06</v>
      </c>
      <c r="AH463" s="4">
        <f t="shared" si="86"/>
        <v>32.67</v>
      </c>
      <c r="AI463" s="4">
        <v>31.67</v>
      </c>
      <c r="AJ463" s="4">
        <f t="shared" si="88"/>
        <v>7.9520000000000008</v>
      </c>
      <c r="AT463">
        <v>462</v>
      </c>
      <c r="AU463">
        <v>62.79</v>
      </c>
      <c r="AV463">
        <f t="shared" si="87"/>
        <v>0</v>
      </c>
      <c r="AW463">
        <v>-5.41</v>
      </c>
      <c r="AX463" s="1">
        <f t="shared" si="89"/>
        <v>97.153999999999996</v>
      </c>
      <c r="BH463">
        <v>462</v>
      </c>
      <c r="BI463">
        <v>109.48</v>
      </c>
      <c r="BJ463">
        <f t="shared" si="90"/>
        <v>153.13</v>
      </c>
      <c r="BK463">
        <v>13.13</v>
      </c>
      <c r="BL463" s="1">
        <f t="shared" si="91"/>
        <v>140.31</v>
      </c>
      <c r="BT463">
        <v>462</v>
      </c>
      <c r="BU463">
        <v>132.34</v>
      </c>
      <c r="BV463">
        <f t="shared" si="92"/>
        <v>0</v>
      </c>
      <c r="BW463">
        <v>-9.27</v>
      </c>
      <c r="BX463">
        <f t="shared" si="93"/>
        <v>152.76400000000001</v>
      </c>
      <c r="BY463" t="s">
        <v>0</v>
      </c>
    </row>
    <row r="464" spans="17:77" x14ac:dyDescent="0.25">
      <c r="Q464">
        <v>463</v>
      </c>
      <c r="R464" s="4">
        <v>61.56</v>
      </c>
      <c r="S464" s="4">
        <f t="shared" si="85"/>
        <v>0</v>
      </c>
      <c r="T464" s="4">
        <v>-3.86</v>
      </c>
      <c r="U464" s="4">
        <f t="shared" si="94"/>
        <v>0.6180000000000001</v>
      </c>
      <c r="AF464">
        <v>463</v>
      </c>
      <c r="AG464" s="6">
        <v>82.22</v>
      </c>
      <c r="AH464" s="4">
        <f t="shared" si="86"/>
        <v>4.09</v>
      </c>
      <c r="AI464" s="4">
        <v>3.09</v>
      </c>
      <c r="AJ464" s="4">
        <f t="shared" si="88"/>
        <v>-4.7160000000000002</v>
      </c>
      <c r="AT464">
        <v>463</v>
      </c>
      <c r="AU464">
        <v>62.52</v>
      </c>
      <c r="AV464">
        <f t="shared" si="87"/>
        <v>0</v>
      </c>
      <c r="AW464">
        <v>-5.41</v>
      </c>
      <c r="AX464" s="1">
        <f t="shared" si="89"/>
        <v>97</v>
      </c>
      <c r="BH464">
        <v>463</v>
      </c>
      <c r="BI464">
        <v>109.75</v>
      </c>
      <c r="BJ464">
        <f t="shared" si="90"/>
        <v>145.41</v>
      </c>
      <c r="BK464">
        <v>5.41</v>
      </c>
      <c r="BL464" s="1">
        <f t="shared" si="91"/>
        <v>138.45599999999999</v>
      </c>
      <c r="BT464">
        <v>463</v>
      </c>
      <c r="BU464">
        <v>131.91999999999999</v>
      </c>
      <c r="BV464">
        <f t="shared" si="92"/>
        <v>0</v>
      </c>
      <c r="BW464">
        <v>-16.989999999999998</v>
      </c>
      <c r="BX464">
        <f t="shared" si="93"/>
        <v>150.91200000000001</v>
      </c>
      <c r="BY464" t="s">
        <v>0</v>
      </c>
    </row>
    <row r="465" spans="17:77" x14ac:dyDescent="0.25">
      <c r="Q465">
        <v>464</v>
      </c>
      <c r="R465" s="4">
        <v>61.36</v>
      </c>
      <c r="S465" s="4">
        <f t="shared" si="85"/>
        <v>0</v>
      </c>
      <c r="T465" s="4">
        <v>-3.86</v>
      </c>
      <c r="U465" s="4">
        <f t="shared" si="94"/>
        <v>0</v>
      </c>
      <c r="AF465">
        <v>464</v>
      </c>
      <c r="AG465" s="4">
        <v>82.18</v>
      </c>
      <c r="AH465" s="4">
        <f t="shared" si="86"/>
        <v>0</v>
      </c>
      <c r="AI465" s="4">
        <v>-0.77</v>
      </c>
      <c r="AJ465" s="4">
        <f t="shared" si="88"/>
        <v>0.22799999999999998</v>
      </c>
      <c r="AT465">
        <v>464</v>
      </c>
      <c r="AU465">
        <v>62.21</v>
      </c>
      <c r="AV465">
        <f t="shared" si="87"/>
        <v>0</v>
      </c>
      <c r="AW465">
        <v>-6.18</v>
      </c>
      <c r="AX465" s="1">
        <f t="shared" si="89"/>
        <v>96.846000000000004</v>
      </c>
      <c r="BH465">
        <v>464</v>
      </c>
      <c r="BI465">
        <v>109.71</v>
      </c>
      <c r="BJ465">
        <f t="shared" si="90"/>
        <v>0</v>
      </c>
      <c r="BK465">
        <v>-0.77</v>
      </c>
      <c r="BL465" s="1">
        <f t="shared" si="91"/>
        <v>138.76400000000001</v>
      </c>
      <c r="BT465">
        <v>464</v>
      </c>
      <c r="BU465">
        <v>131.34</v>
      </c>
      <c r="BV465">
        <f t="shared" si="92"/>
        <v>0</v>
      </c>
      <c r="BW465">
        <v>-23.17</v>
      </c>
      <c r="BX465">
        <f t="shared" si="93"/>
        <v>151.52799999999999</v>
      </c>
      <c r="BY465" t="s">
        <v>0</v>
      </c>
    </row>
    <row r="466" spans="17:77" x14ac:dyDescent="0.25">
      <c r="Q466">
        <v>465</v>
      </c>
      <c r="R466" s="4">
        <v>61.09</v>
      </c>
      <c r="S466" s="4">
        <f t="shared" si="85"/>
        <v>0</v>
      </c>
      <c r="T466" s="4">
        <v>-5.41</v>
      </c>
      <c r="U466" s="4">
        <f t="shared" si="94"/>
        <v>-0.31000000000000005</v>
      </c>
      <c r="AF466">
        <v>465</v>
      </c>
      <c r="AG466" s="4">
        <v>81.790000000000006</v>
      </c>
      <c r="AH466" s="4">
        <f t="shared" si="86"/>
        <v>0</v>
      </c>
      <c r="AI466" s="4">
        <v>-7.72</v>
      </c>
      <c r="AJ466" s="4">
        <f t="shared" si="88"/>
        <v>-0.3899999999999999</v>
      </c>
      <c r="AT466">
        <v>465</v>
      </c>
      <c r="AU466">
        <v>61.86</v>
      </c>
      <c r="AV466">
        <f t="shared" si="87"/>
        <v>0</v>
      </c>
      <c r="AW466">
        <v>-6.95</v>
      </c>
      <c r="AX466" s="1">
        <f t="shared" si="89"/>
        <v>96.846000000000004</v>
      </c>
      <c r="BH466">
        <v>465</v>
      </c>
      <c r="BI466">
        <v>109.05</v>
      </c>
      <c r="BJ466">
        <f t="shared" si="90"/>
        <v>0</v>
      </c>
      <c r="BK466">
        <v>-13.13</v>
      </c>
      <c r="BL466" s="1">
        <f t="shared" si="91"/>
        <v>137.52799999999999</v>
      </c>
      <c r="BT466">
        <v>465</v>
      </c>
      <c r="BU466">
        <v>130.76</v>
      </c>
      <c r="BV466">
        <f t="shared" si="92"/>
        <v>0</v>
      </c>
      <c r="BW466">
        <v>-23.17</v>
      </c>
      <c r="BX466">
        <f t="shared" si="93"/>
        <v>154</v>
      </c>
      <c r="BY466" t="s">
        <v>0</v>
      </c>
    </row>
    <row r="467" spans="17:77" x14ac:dyDescent="0.25">
      <c r="Q467">
        <v>466</v>
      </c>
      <c r="R467" s="4">
        <v>60.9</v>
      </c>
      <c r="S467" s="4">
        <f t="shared" si="85"/>
        <v>0</v>
      </c>
      <c r="T467" s="4">
        <v>-3.86</v>
      </c>
      <c r="U467" s="4">
        <f t="shared" si="94"/>
        <v>0.31000000000000005</v>
      </c>
      <c r="AF467">
        <v>466</v>
      </c>
      <c r="AG467" s="4">
        <v>81.290000000000006</v>
      </c>
      <c r="AH467" s="4">
        <f t="shared" si="86"/>
        <v>0</v>
      </c>
      <c r="AI467" s="4">
        <v>-10.039999999999999</v>
      </c>
      <c r="AJ467" s="4">
        <f t="shared" si="88"/>
        <v>0.53600000000000014</v>
      </c>
      <c r="AT467">
        <v>466</v>
      </c>
      <c r="AU467">
        <v>61.67</v>
      </c>
      <c r="AV467">
        <f t="shared" si="87"/>
        <v>0</v>
      </c>
      <c r="AW467">
        <v>-3.86</v>
      </c>
      <c r="AX467" s="1">
        <f t="shared" si="89"/>
        <v>97.617999999999995</v>
      </c>
      <c r="BH467">
        <v>466</v>
      </c>
      <c r="BI467">
        <v>108.36</v>
      </c>
      <c r="BJ467">
        <f t="shared" si="90"/>
        <v>0</v>
      </c>
      <c r="BK467">
        <v>-13.9</v>
      </c>
      <c r="BL467" s="1">
        <f t="shared" si="91"/>
        <v>139.846</v>
      </c>
      <c r="BT467">
        <v>466</v>
      </c>
      <c r="BU467">
        <v>130.33000000000001</v>
      </c>
      <c r="BV467">
        <f t="shared" si="92"/>
        <v>0</v>
      </c>
      <c r="BW467">
        <v>-16.989999999999998</v>
      </c>
      <c r="BX467">
        <f t="shared" si="93"/>
        <v>156.47200000000001</v>
      </c>
      <c r="BY467" t="s">
        <v>0</v>
      </c>
    </row>
    <row r="468" spans="17:77" x14ac:dyDescent="0.25">
      <c r="Q468">
        <v>467</v>
      </c>
      <c r="R468" s="4">
        <v>60.59</v>
      </c>
      <c r="S468" s="4">
        <f t="shared" si="85"/>
        <v>0</v>
      </c>
      <c r="T468" s="4">
        <v>-6.18</v>
      </c>
      <c r="U468" s="4">
        <f t="shared" si="94"/>
        <v>-0.46399999999999997</v>
      </c>
      <c r="AF468">
        <v>467</v>
      </c>
      <c r="AG468" s="4">
        <v>80.790000000000006</v>
      </c>
      <c r="AH468" s="4">
        <f t="shared" si="86"/>
        <v>0</v>
      </c>
      <c r="AI468" s="4">
        <v>-10.039999999999999</v>
      </c>
      <c r="AJ468" s="4">
        <f t="shared" si="88"/>
        <v>1</v>
      </c>
      <c r="AT468">
        <v>467</v>
      </c>
      <c r="AU468">
        <v>61.44</v>
      </c>
      <c r="AV468">
        <f t="shared" si="87"/>
        <v>0</v>
      </c>
      <c r="AW468">
        <v>-4.63</v>
      </c>
      <c r="AX468" s="1">
        <f t="shared" si="89"/>
        <v>96.846000000000004</v>
      </c>
      <c r="BH468">
        <v>467</v>
      </c>
      <c r="BI468">
        <v>107.7</v>
      </c>
      <c r="BJ468">
        <f t="shared" si="90"/>
        <v>0</v>
      </c>
      <c r="BK468">
        <v>-13.13</v>
      </c>
      <c r="BL468" s="1">
        <f t="shared" si="91"/>
        <v>140.154</v>
      </c>
      <c r="BT468">
        <v>467</v>
      </c>
      <c r="BU468">
        <v>130.02000000000001</v>
      </c>
      <c r="BV468">
        <f t="shared" si="92"/>
        <v>0</v>
      </c>
      <c r="BW468">
        <v>-12.36</v>
      </c>
      <c r="BX468">
        <f t="shared" si="93"/>
        <v>155.852</v>
      </c>
      <c r="BY468" t="s">
        <v>0</v>
      </c>
    </row>
    <row r="469" spans="17:77" x14ac:dyDescent="0.25">
      <c r="Q469">
        <v>468</v>
      </c>
      <c r="R469" s="4">
        <v>60.32</v>
      </c>
      <c r="S469" s="4">
        <f t="shared" si="85"/>
        <v>0</v>
      </c>
      <c r="T469" s="4">
        <v>-5.41</v>
      </c>
      <c r="U469" s="4">
        <f t="shared" si="94"/>
        <v>0.15399999999999991</v>
      </c>
      <c r="AF469">
        <v>468</v>
      </c>
      <c r="AG469" s="4">
        <v>80.400000000000006</v>
      </c>
      <c r="AH469" s="4">
        <f t="shared" si="86"/>
        <v>0</v>
      </c>
      <c r="AI469" s="4">
        <v>-7.72</v>
      </c>
      <c r="AJ469" s="4">
        <f t="shared" si="88"/>
        <v>1.464</v>
      </c>
      <c r="AT469">
        <v>468</v>
      </c>
      <c r="AU469">
        <v>60.98</v>
      </c>
      <c r="AV469">
        <f t="shared" si="87"/>
        <v>0</v>
      </c>
      <c r="AW469">
        <v>-9.27</v>
      </c>
      <c r="AX469" s="1">
        <f t="shared" si="89"/>
        <v>96.072000000000003</v>
      </c>
      <c r="BH469">
        <v>468</v>
      </c>
      <c r="BI469">
        <v>107.08</v>
      </c>
      <c r="BJ469">
        <f t="shared" si="90"/>
        <v>0</v>
      </c>
      <c r="BK469">
        <v>-12.36</v>
      </c>
      <c r="BL469" s="1">
        <f t="shared" si="91"/>
        <v>140.154</v>
      </c>
      <c r="BT469">
        <v>468</v>
      </c>
      <c r="BU469">
        <v>129.71</v>
      </c>
      <c r="BV469">
        <f t="shared" si="92"/>
        <v>0</v>
      </c>
      <c r="BW469">
        <v>-12.36</v>
      </c>
      <c r="BX469">
        <f t="shared" si="93"/>
        <v>154</v>
      </c>
      <c r="BY469" t="s">
        <v>0</v>
      </c>
    </row>
    <row r="470" spans="17:77" x14ac:dyDescent="0.25">
      <c r="Q470">
        <v>469</v>
      </c>
      <c r="R470" s="4">
        <v>57.58</v>
      </c>
      <c r="S470" s="4">
        <f t="shared" si="85"/>
        <v>0</v>
      </c>
      <c r="T470" s="4">
        <v>-54.84</v>
      </c>
      <c r="U470" s="4">
        <f t="shared" si="94"/>
        <v>-9.886000000000001</v>
      </c>
      <c r="AF470">
        <v>469</v>
      </c>
      <c r="AG470" s="4">
        <v>80.010000000000005</v>
      </c>
      <c r="AH470" s="4">
        <f t="shared" si="86"/>
        <v>0</v>
      </c>
      <c r="AI470" s="4">
        <v>-7.72</v>
      </c>
      <c r="AJ470" s="4">
        <f t="shared" si="88"/>
        <v>1</v>
      </c>
      <c r="AT470">
        <v>469</v>
      </c>
      <c r="AU470">
        <v>60.9</v>
      </c>
      <c r="AV470">
        <f t="shared" si="87"/>
        <v>0</v>
      </c>
      <c r="AW470">
        <v>-1.54</v>
      </c>
      <c r="AX470" s="1">
        <f t="shared" si="89"/>
        <v>98.546000000000006</v>
      </c>
      <c r="BH470">
        <v>469</v>
      </c>
      <c r="BI470">
        <v>106.7</v>
      </c>
      <c r="BJ470">
        <f t="shared" si="90"/>
        <v>0</v>
      </c>
      <c r="BK470">
        <v>-7.72</v>
      </c>
      <c r="BL470" s="1">
        <f t="shared" si="91"/>
        <v>140.928</v>
      </c>
      <c r="BT470">
        <v>469</v>
      </c>
      <c r="BU470">
        <v>129.52000000000001</v>
      </c>
      <c r="BV470">
        <f t="shared" si="92"/>
        <v>0</v>
      </c>
      <c r="BW470">
        <v>-7.72</v>
      </c>
      <c r="BX470">
        <f t="shared" si="93"/>
        <v>155.85599999999999</v>
      </c>
      <c r="BY470" t="s">
        <v>0</v>
      </c>
    </row>
    <row r="471" spans="17:77" x14ac:dyDescent="0.25">
      <c r="Q471">
        <v>470</v>
      </c>
      <c r="R471" s="4">
        <v>49.55</v>
      </c>
      <c r="S471" s="4">
        <f t="shared" si="85"/>
        <v>0</v>
      </c>
      <c r="T471" s="4">
        <v>-160.65</v>
      </c>
      <c r="U471" s="4">
        <f t="shared" si="94"/>
        <v>-21.161999999999999</v>
      </c>
      <c r="AF471">
        <v>470</v>
      </c>
      <c r="AG471" s="4">
        <v>79.59</v>
      </c>
      <c r="AH471" s="4">
        <f t="shared" si="86"/>
        <v>0</v>
      </c>
      <c r="AI471" s="4">
        <v>-8.5</v>
      </c>
      <c r="AJ471" s="4">
        <f t="shared" si="88"/>
        <v>0.84399999999999997</v>
      </c>
      <c r="AT471">
        <v>470</v>
      </c>
      <c r="AU471">
        <v>61.63</v>
      </c>
      <c r="AV471">
        <f t="shared" si="87"/>
        <v>111.67</v>
      </c>
      <c r="AW471">
        <v>14.67</v>
      </c>
      <c r="AX471" s="1">
        <f t="shared" si="89"/>
        <v>100.242</v>
      </c>
      <c r="BH471">
        <v>470</v>
      </c>
      <c r="BI471">
        <v>106.47</v>
      </c>
      <c r="BJ471">
        <f t="shared" si="90"/>
        <v>0</v>
      </c>
      <c r="BK471">
        <v>-4.63</v>
      </c>
      <c r="BL471" s="1">
        <f t="shared" si="91"/>
        <v>140.61799999999999</v>
      </c>
      <c r="BT471">
        <v>470</v>
      </c>
      <c r="BU471">
        <v>129.29</v>
      </c>
      <c r="BV471">
        <f t="shared" si="92"/>
        <v>0</v>
      </c>
      <c r="BW471">
        <v>-9.27</v>
      </c>
      <c r="BX471">
        <f t="shared" si="93"/>
        <v>153.38</v>
      </c>
      <c r="BY471" t="s">
        <v>0</v>
      </c>
    </row>
    <row r="472" spans="17:77" x14ac:dyDescent="0.25">
      <c r="Q472">
        <v>471</v>
      </c>
      <c r="R472" s="4">
        <v>43.83</v>
      </c>
      <c r="S472" s="4">
        <f t="shared" si="85"/>
        <v>0</v>
      </c>
      <c r="T472" s="4">
        <v>-114.31</v>
      </c>
      <c r="U472" s="4">
        <f t="shared" si="94"/>
        <v>9.2680000000000007</v>
      </c>
      <c r="AF472">
        <v>471</v>
      </c>
      <c r="AG472" s="4">
        <v>79.13</v>
      </c>
      <c r="AH472" s="4">
        <f t="shared" si="86"/>
        <v>0</v>
      </c>
      <c r="AI472" s="4">
        <v>-9.27</v>
      </c>
      <c r="AJ472" s="4">
        <f t="shared" si="88"/>
        <v>0.84600000000000009</v>
      </c>
      <c r="AT472">
        <v>471</v>
      </c>
      <c r="AU472">
        <v>61.79</v>
      </c>
      <c r="AV472">
        <f t="shared" si="87"/>
        <v>100.09</v>
      </c>
      <c r="AW472">
        <v>3.09</v>
      </c>
      <c r="AX472" s="1">
        <f t="shared" si="89"/>
        <v>94.683999999999997</v>
      </c>
      <c r="BH472">
        <v>471</v>
      </c>
      <c r="BI472">
        <v>106.2</v>
      </c>
      <c r="BJ472">
        <f t="shared" si="90"/>
        <v>0</v>
      </c>
      <c r="BK472">
        <v>-5.41</v>
      </c>
      <c r="BL472" s="1">
        <f t="shared" si="91"/>
        <v>139.84399999999999</v>
      </c>
      <c r="BT472">
        <v>471</v>
      </c>
      <c r="BU472">
        <v>129.06</v>
      </c>
      <c r="BV472">
        <f t="shared" si="92"/>
        <v>0</v>
      </c>
      <c r="BW472">
        <v>-9.27</v>
      </c>
      <c r="BX472">
        <f t="shared" si="93"/>
        <v>154</v>
      </c>
      <c r="BY472" t="s">
        <v>0</v>
      </c>
    </row>
    <row r="473" spans="17:77" x14ac:dyDescent="0.25">
      <c r="Q473">
        <v>472</v>
      </c>
      <c r="R473" s="4">
        <v>39.200000000000003</v>
      </c>
      <c r="S473" s="4">
        <f t="shared" si="85"/>
        <v>0</v>
      </c>
      <c r="T473" s="4">
        <v>-92.68</v>
      </c>
      <c r="U473" s="4">
        <f t="shared" si="94"/>
        <v>4.3259999999999987</v>
      </c>
      <c r="AF473">
        <v>472</v>
      </c>
      <c r="AG473" s="4">
        <v>78.62</v>
      </c>
      <c r="AH473" s="4">
        <f t="shared" si="86"/>
        <v>0</v>
      </c>
      <c r="AI473" s="4">
        <v>-10.039999999999999</v>
      </c>
      <c r="AJ473" s="4">
        <f t="shared" si="88"/>
        <v>0.84600000000000009</v>
      </c>
      <c r="AT473">
        <v>472</v>
      </c>
      <c r="AU473">
        <v>61.63</v>
      </c>
      <c r="AV473">
        <f t="shared" si="87"/>
        <v>0</v>
      </c>
      <c r="AW473">
        <v>-3.09</v>
      </c>
      <c r="AX473" s="1">
        <f t="shared" si="89"/>
        <v>95.763999999999996</v>
      </c>
      <c r="BH473">
        <v>472</v>
      </c>
      <c r="BI473">
        <v>105.81</v>
      </c>
      <c r="BJ473">
        <f t="shared" si="90"/>
        <v>0</v>
      </c>
      <c r="BK473">
        <v>-7.72</v>
      </c>
      <c r="BL473" s="1">
        <f t="shared" si="91"/>
        <v>139.53800000000001</v>
      </c>
      <c r="BT473">
        <v>472</v>
      </c>
      <c r="BU473">
        <v>128.86000000000001</v>
      </c>
      <c r="BV473">
        <f t="shared" si="92"/>
        <v>0</v>
      </c>
      <c r="BW473">
        <v>-7.72</v>
      </c>
      <c r="BX473">
        <f t="shared" si="93"/>
        <v>154.62</v>
      </c>
      <c r="BY473" t="s">
        <v>0</v>
      </c>
    </row>
    <row r="474" spans="17:77" x14ac:dyDescent="0.25">
      <c r="Q474">
        <v>473</v>
      </c>
      <c r="R474" s="4">
        <v>35.03</v>
      </c>
      <c r="S474" s="4">
        <f t="shared" si="85"/>
        <v>0</v>
      </c>
      <c r="T474" s="4">
        <v>-83.41</v>
      </c>
      <c r="U474" s="4">
        <f t="shared" si="94"/>
        <v>1.8540000000000021</v>
      </c>
      <c r="AF474">
        <v>473</v>
      </c>
      <c r="AG474" s="4">
        <v>78.12</v>
      </c>
      <c r="AH474" s="4">
        <f t="shared" si="86"/>
        <v>0</v>
      </c>
      <c r="AI474" s="4">
        <v>-10.039999999999999</v>
      </c>
      <c r="AJ474" s="4">
        <f t="shared" si="88"/>
        <v>1</v>
      </c>
      <c r="AT474">
        <v>473</v>
      </c>
      <c r="AU474">
        <v>61.48</v>
      </c>
      <c r="AV474">
        <f t="shared" si="87"/>
        <v>0</v>
      </c>
      <c r="AW474">
        <v>-3.09</v>
      </c>
      <c r="AX474" s="1">
        <f t="shared" si="89"/>
        <v>97</v>
      </c>
      <c r="BH474">
        <v>473</v>
      </c>
      <c r="BI474">
        <v>105.85</v>
      </c>
      <c r="BJ474">
        <f t="shared" si="90"/>
        <v>140.77000000000001</v>
      </c>
      <c r="BK474">
        <v>0.77</v>
      </c>
      <c r="BL474" s="1">
        <f t="shared" si="91"/>
        <v>141.69800000000001</v>
      </c>
      <c r="BT474">
        <v>473</v>
      </c>
      <c r="BU474">
        <v>128.75</v>
      </c>
      <c r="BV474">
        <f t="shared" si="92"/>
        <v>0</v>
      </c>
      <c r="BW474">
        <v>-4.63</v>
      </c>
      <c r="BX474">
        <f t="shared" si="93"/>
        <v>155.23599999999999</v>
      </c>
      <c r="BY474" t="s">
        <v>0</v>
      </c>
    </row>
    <row r="475" spans="17:77" x14ac:dyDescent="0.25">
      <c r="Q475">
        <v>474</v>
      </c>
      <c r="R475" s="4">
        <v>31.55</v>
      </c>
      <c r="S475" s="4">
        <f t="shared" si="85"/>
        <v>0</v>
      </c>
      <c r="T475" s="4">
        <v>-69.510000000000005</v>
      </c>
      <c r="U475" s="4">
        <f t="shared" si="94"/>
        <v>2.7799999999999985</v>
      </c>
      <c r="AF475">
        <v>474</v>
      </c>
      <c r="AG475" s="4">
        <v>77.66</v>
      </c>
      <c r="AH475" s="4">
        <f t="shared" si="86"/>
        <v>0</v>
      </c>
      <c r="AI475" s="4">
        <v>-9.27</v>
      </c>
      <c r="AJ475" s="4">
        <f t="shared" si="88"/>
        <v>1.1539999999999999</v>
      </c>
      <c r="AT475">
        <v>474</v>
      </c>
      <c r="AU475">
        <v>61.01</v>
      </c>
      <c r="AV475">
        <f t="shared" si="87"/>
        <v>0</v>
      </c>
      <c r="AW475">
        <v>-9.27</v>
      </c>
      <c r="AX475" s="1">
        <f t="shared" si="89"/>
        <v>95.763999999999996</v>
      </c>
      <c r="BH475">
        <v>474</v>
      </c>
      <c r="BI475">
        <v>106.93</v>
      </c>
      <c r="BJ475">
        <f t="shared" si="90"/>
        <v>161.63</v>
      </c>
      <c r="BK475">
        <v>21.63</v>
      </c>
      <c r="BL475" s="1">
        <f t="shared" si="91"/>
        <v>144.172</v>
      </c>
      <c r="BT475">
        <v>474</v>
      </c>
      <c r="BU475">
        <v>128.52000000000001</v>
      </c>
      <c r="BV475">
        <f t="shared" si="92"/>
        <v>0</v>
      </c>
      <c r="BW475">
        <v>-9.27</v>
      </c>
      <c r="BX475">
        <f t="shared" si="93"/>
        <v>152.14400000000001</v>
      </c>
      <c r="BY475" t="s">
        <v>0</v>
      </c>
    </row>
    <row r="476" spans="17:77" x14ac:dyDescent="0.25">
      <c r="Q476">
        <v>475</v>
      </c>
      <c r="R476" s="4">
        <v>28.5</v>
      </c>
      <c r="S476" s="4">
        <f t="shared" si="85"/>
        <v>0</v>
      </c>
      <c r="T476" s="4">
        <v>-61.01</v>
      </c>
      <c r="U476" s="4">
        <f t="shared" si="94"/>
        <v>1.7000000000000015</v>
      </c>
      <c r="AF476">
        <v>475</v>
      </c>
      <c r="AG476" s="6">
        <v>77.27</v>
      </c>
      <c r="AH476" s="4">
        <f t="shared" si="86"/>
        <v>0</v>
      </c>
      <c r="AI476" s="4">
        <v>-7.72</v>
      </c>
      <c r="AJ476" s="4">
        <f t="shared" si="88"/>
        <v>1.31</v>
      </c>
      <c r="AT476">
        <v>475</v>
      </c>
      <c r="AU476">
        <v>60.82</v>
      </c>
      <c r="AV476">
        <f t="shared" si="87"/>
        <v>0</v>
      </c>
      <c r="AW476">
        <v>-3.86</v>
      </c>
      <c r="AX476" s="1">
        <f t="shared" si="89"/>
        <v>98.081999999999994</v>
      </c>
      <c r="BH476">
        <v>475</v>
      </c>
      <c r="BI476">
        <v>107.32</v>
      </c>
      <c r="BJ476">
        <f t="shared" si="90"/>
        <v>147.72</v>
      </c>
      <c r="BK476">
        <v>7.72</v>
      </c>
      <c r="BL476" s="1">
        <f t="shared" si="91"/>
        <v>137.21799999999999</v>
      </c>
      <c r="BT476">
        <v>475</v>
      </c>
      <c r="BU476">
        <v>128.4</v>
      </c>
      <c r="BV476">
        <f t="shared" si="92"/>
        <v>0</v>
      </c>
      <c r="BW476">
        <v>-4.63</v>
      </c>
      <c r="BX476">
        <f t="shared" si="93"/>
        <v>155.85599999999999</v>
      </c>
      <c r="BY476" t="s">
        <v>0</v>
      </c>
    </row>
    <row r="477" spans="17:77" x14ac:dyDescent="0.25">
      <c r="Q477">
        <v>476</v>
      </c>
      <c r="R477" s="4">
        <v>25.87</v>
      </c>
      <c r="S477" s="4">
        <f t="shared" si="85"/>
        <v>0</v>
      </c>
      <c r="T477" s="4">
        <v>-52.52</v>
      </c>
      <c r="U477" s="4">
        <f t="shared" si="94"/>
        <v>1.6979999999999991</v>
      </c>
      <c r="AF477">
        <v>476</v>
      </c>
      <c r="AG477" s="6">
        <v>77.81</v>
      </c>
      <c r="AH477" s="4">
        <f t="shared" si="86"/>
        <v>11.81</v>
      </c>
      <c r="AI477" s="4">
        <v>10.81</v>
      </c>
      <c r="AJ477" s="4">
        <f t="shared" si="88"/>
        <v>4.7060000000000004</v>
      </c>
      <c r="AT477">
        <v>476</v>
      </c>
      <c r="AU477">
        <v>60.59</v>
      </c>
      <c r="AV477">
        <f t="shared" si="87"/>
        <v>0</v>
      </c>
      <c r="AW477">
        <v>-4.63</v>
      </c>
      <c r="AX477" s="1">
        <f t="shared" si="89"/>
        <v>96.846000000000004</v>
      </c>
      <c r="BH477">
        <v>476</v>
      </c>
      <c r="BI477">
        <v>107.47</v>
      </c>
      <c r="BJ477">
        <f t="shared" si="90"/>
        <v>143.09</v>
      </c>
      <c r="BK477">
        <v>3.09</v>
      </c>
      <c r="BL477" s="1">
        <f t="shared" si="91"/>
        <v>139.07400000000001</v>
      </c>
      <c r="BT477">
        <v>476</v>
      </c>
      <c r="BU477">
        <v>128.29</v>
      </c>
      <c r="BV477">
        <f t="shared" si="92"/>
        <v>0</v>
      </c>
      <c r="BW477">
        <v>-4.63</v>
      </c>
      <c r="BX477">
        <f t="shared" si="93"/>
        <v>154</v>
      </c>
      <c r="BY477" t="s">
        <v>0</v>
      </c>
    </row>
    <row r="478" spans="17:77" x14ac:dyDescent="0.25">
      <c r="Q478">
        <v>477</v>
      </c>
      <c r="R478" s="4">
        <v>23.56</v>
      </c>
      <c r="S478" s="4">
        <f t="shared" si="85"/>
        <v>0</v>
      </c>
      <c r="T478" s="4">
        <v>-46.34</v>
      </c>
      <c r="U478" s="4">
        <f t="shared" si="94"/>
        <v>1.236</v>
      </c>
      <c r="AF478">
        <v>477</v>
      </c>
      <c r="AG478" s="6">
        <v>79.09</v>
      </c>
      <c r="AH478" s="4">
        <f t="shared" si="86"/>
        <v>26.49</v>
      </c>
      <c r="AI478" s="4">
        <v>25.49</v>
      </c>
      <c r="AJ478" s="4">
        <f t="shared" si="88"/>
        <v>3.9359999999999995</v>
      </c>
      <c r="AT478">
        <v>477</v>
      </c>
      <c r="AU478">
        <v>60.36</v>
      </c>
      <c r="AV478">
        <f t="shared" si="87"/>
        <v>0</v>
      </c>
      <c r="AW478">
        <v>-4.63</v>
      </c>
      <c r="AX478" s="1">
        <f t="shared" si="89"/>
        <v>97</v>
      </c>
      <c r="BH478">
        <v>477</v>
      </c>
      <c r="BI478">
        <v>106.93</v>
      </c>
      <c r="BJ478">
        <f t="shared" si="90"/>
        <v>0</v>
      </c>
      <c r="BK478">
        <v>-10.81</v>
      </c>
      <c r="BL478" s="1">
        <f t="shared" si="91"/>
        <v>137.22</v>
      </c>
      <c r="BT478">
        <v>477</v>
      </c>
      <c r="BU478">
        <v>128.36000000000001</v>
      </c>
      <c r="BV478">
        <f t="shared" si="92"/>
        <v>157.09</v>
      </c>
      <c r="BW478">
        <v>3.09</v>
      </c>
      <c r="BX478">
        <f t="shared" si="93"/>
        <v>157.08799999999999</v>
      </c>
      <c r="BY478" t="s">
        <v>0</v>
      </c>
    </row>
    <row r="479" spans="17:77" x14ac:dyDescent="0.25">
      <c r="Q479">
        <v>478</v>
      </c>
      <c r="R479" s="4">
        <v>21.47</v>
      </c>
      <c r="S479" s="4">
        <f t="shared" si="85"/>
        <v>0</v>
      </c>
      <c r="T479" s="4">
        <v>-41.71</v>
      </c>
      <c r="U479" s="4">
        <f t="shared" si="94"/>
        <v>0.92600000000000049</v>
      </c>
      <c r="AF479">
        <v>478</v>
      </c>
      <c r="AG479" s="6">
        <v>79.239999999999995</v>
      </c>
      <c r="AH479" s="4">
        <f t="shared" si="86"/>
        <v>4.09</v>
      </c>
      <c r="AI479" s="4">
        <v>3.09</v>
      </c>
      <c r="AJ479" s="4">
        <f t="shared" si="88"/>
        <v>-3.4799999999999995</v>
      </c>
      <c r="AT479">
        <v>478</v>
      </c>
      <c r="AU479">
        <v>60.17</v>
      </c>
      <c r="AV479">
        <f t="shared" si="87"/>
        <v>0</v>
      </c>
      <c r="AW479">
        <v>-3.86</v>
      </c>
      <c r="AX479" s="1">
        <f t="shared" si="89"/>
        <v>97.153999999999996</v>
      </c>
      <c r="BH479">
        <v>478</v>
      </c>
      <c r="BI479">
        <v>106.31</v>
      </c>
      <c r="BJ479">
        <f t="shared" si="90"/>
        <v>0</v>
      </c>
      <c r="BK479">
        <v>-12.36</v>
      </c>
      <c r="BL479" s="1">
        <f t="shared" si="91"/>
        <v>139.69</v>
      </c>
      <c r="BT479">
        <v>478</v>
      </c>
      <c r="BU479">
        <v>129.1</v>
      </c>
      <c r="BV479">
        <f t="shared" si="92"/>
        <v>183.35</v>
      </c>
      <c r="BW479">
        <v>29.35</v>
      </c>
      <c r="BX479">
        <f t="shared" si="93"/>
        <v>164.50399999999999</v>
      </c>
      <c r="BY479" t="s">
        <v>0</v>
      </c>
    </row>
    <row r="480" spans="17:77" x14ac:dyDescent="0.25">
      <c r="Q480">
        <v>479</v>
      </c>
      <c r="R480" s="4">
        <v>19.5</v>
      </c>
      <c r="S480" s="4">
        <f t="shared" si="85"/>
        <v>0</v>
      </c>
      <c r="T480" s="4">
        <v>-39.39</v>
      </c>
      <c r="U480" s="4">
        <f t="shared" si="94"/>
        <v>0.46400000000000008</v>
      </c>
      <c r="AF480">
        <v>479</v>
      </c>
      <c r="AG480" s="4">
        <v>79.010000000000005</v>
      </c>
      <c r="AH480" s="4">
        <f t="shared" si="86"/>
        <v>0</v>
      </c>
      <c r="AI480" s="4">
        <v>-4.63</v>
      </c>
      <c r="AJ480" s="4">
        <f t="shared" si="88"/>
        <v>-0.54400000000000004</v>
      </c>
      <c r="AT480">
        <v>479</v>
      </c>
      <c r="AU480">
        <v>59.82</v>
      </c>
      <c r="AV480">
        <f t="shared" si="87"/>
        <v>0</v>
      </c>
      <c r="AW480">
        <v>-6.95</v>
      </c>
      <c r="AX480" s="1">
        <f t="shared" si="89"/>
        <v>96.382000000000005</v>
      </c>
      <c r="BH480">
        <v>479</v>
      </c>
      <c r="BI480">
        <v>105.58</v>
      </c>
      <c r="BJ480">
        <f t="shared" si="90"/>
        <v>0</v>
      </c>
      <c r="BK480">
        <v>-14.67</v>
      </c>
      <c r="BL480" s="1">
        <f t="shared" si="91"/>
        <v>139.53800000000001</v>
      </c>
      <c r="BT480">
        <v>479</v>
      </c>
      <c r="BU480">
        <v>129.91</v>
      </c>
      <c r="BV480">
        <f t="shared" si="92"/>
        <v>186.44</v>
      </c>
      <c r="BW480">
        <v>32.44</v>
      </c>
      <c r="BX480">
        <f t="shared" si="93"/>
        <v>155.23599999999999</v>
      </c>
      <c r="BY480" t="s">
        <v>0</v>
      </c>
    </row>
    <row r="481" spans="17:77" x14ac:dyDescent="0.25">
      <c r="Q481">
        <v>480</v>
      </c>
      <c r="R481" s="4">
        <v>17.84</v>
      </c>
      <c r="S481" s="4">
        <f t="shared" si="85"/>
        <v>0</v>
      </c>
      <c r="T481" s="4">
        <v>-33.21</v>
      </c>
      <c r="U481" s="4">
        <f t="shared" si="94"/>
        <v>1.236</v>
      </c>
      <c r="AF481">
        <v>480</v>
      </c>
      <c r="AG481" s="4">
        <v>78.66</v>
      </c>
      <c r="AH481" s="4">
        <f t="shared" si="86"/>
        <v>0</v>
      </c>
      <c r="AI481" s="4">
        <v>-6.95</v>
      </c>
      <c r="AJ481" s="4">
        <f t="shared" si="88"/>
        <v>0.53599999999999992</v>
      </c>
      <c r="AT481">
        <v>480</v>
      </c>
      <c r="AU481">
        <v>59.51</v>
      </c>
      <c r="AV481">
        <f t="shared" si="87"/>
        <v>0</v>
      </c>
      <c r="AW481">
        <v>-6.18</v>
      </c>
      <c r="AX481" s="1">
        <f t="shared" si="89"/>
        <v>97.153999999999996</v>
      </c>
      <c r="BH481">
        <v>480</v>
      </c>
      <c r="BI481">
        <v>105</v>
      </c>
      <c r="BJ481">
        <f t="shared" si="90"/>
        <v>0</v>
      </c>
      <c r="BK481">
        <v>-11.58</v>
      </c>
      <c r="BL481" s="1">
        <f t="shared" si="91"/>
        <v>140.61799999999999</v>
      </c>
      <c r="BT481">
        <v>480</v>
      </c>
      <c r="BU481">
        <v>130.25</v>
      </c>
      <c r="BV481">
        <f t="shared" si="92"/>
        <v>167.9</v>
      </c>
      <c r="BW481">
        <v>13.9</v>
      </c>
      <c r="BX481">
        <f t="shared" si="93"/>
        <v>146.584</v>
      </c>
      <c r="BY481" t="s">
        <v>0</v>
      </c>
    </row>
    <row r="482" spans="17:77" x14ac:dyDescent="0.25">
      <c r="Q482">
        <v>481</v>
      </c>
      <c r="R482" s="4">
        <v>16.45</v>
      </c>
      <c r="S482" s="4">
        <f t="shared" si="85"/>
        <v>0</v>
      </c>
      <c r="T482" s="4">
        <v>-27.8</v>
      </c>
      <c r="U482" s="4">
        <f t="shared" si="94"/>
        <v>1.0820000000000001</v>
      </c>
      <c r="AF482">
        <v>481</v>
      </c>
      <c r="AG482" s="4">
        <v>78.010000000000005</v>
      </c>
      <c r="AH482" s="4">
        <f t="shared" si="86"/>
        <v>0</v>
      </c>
      <c r="AI482" s="4">
        <v>-13.13</v>
      </c>
      <c r="AJ482" s="4">
        <f t="shared" si="88"/>
        <v>-0.23600000000000021</v>
      </c>
      <c r="AT482">
        <v>481</v>
      </c>
      <c r="AU482">
        <v>59.28</v>
      </c>
      <c r="AV482">
        <f t="shared" si="87"/>
        <v>0</v>
      </c>
      <c r="AW482">
        <v>-4.63</v>
      </c>
      <c r="AX482" s="1">
        <f t="shared" si="89"/>
        <v>97.31</v>
      </c>
      <c r="BH482">
        <v>481</v>
      </c>
      <c r="BI482">
        <v>104.34</v>
      </c>
      <c r="BJ482">
        <f t="shared" si="90"/>
        <v>0</v>
      </c>
      <c r="BK482">
        <v>-13.13</v>
      </c>
      <c r="BL482" s="1">
        <f t="shared" si="91"/>
        <v>139.69</v>
      </c>
      <c r="BT482">
        <v>481</v>
      </c>
      <c r="BU482">
        <v>130.1</v>
      </c>
      <c r="BV482">
        <f t="shared" si="92"/>
        <v>0</v>
      </c>
      <c r="BW482">
        <v>-6.18</v>
      </c>
      <c r="BX482">
        <f t="shared" si="93"/>
        <v>145.96799999999999</v>
      </c>
      <c r="BY482" t="s">
        <v>0</v>
      </c>
    </row>
    <row r="483" spans="17:77" x14ac:dyDescent="0.25">
      <c r="Q483">
        <v>482</v>
      </c>
      <c r="R483" s="4">
        <v>15.22</v>
      </c>
      <c r="S483" s="4">
        <f t="shared" si="85"/>
        <v>0</v>
      </c>
      <c r="T483" s="4">
        <v>-24.71</v>
      </c>
      <c r="U483" s="4">
        <f t="shared" si="94"/>
        <v>0.61799999999999999</v>
      </c>
      <c r="AF483">
        <v>482</v>
      </c>
      <c r="AG483" s="4">
        <v>77.7</v>
      </c>
      <c r="AH483" s="4">
        <f t="shared" si="86"/>
        <v>0</v>
      </c>
      <c r="AI483" s="4">
        <v>-6.18</v>
      </c>
      <c r="AJ483" s="4">
        <f t="shared" si="88"/>
        <v>2.39</v>
      </c>
      <c r="AT483">
        <v>482</v>
      </c>
      <c r="AU483">
        <v>59.05</v>
      </c>
      <c r="AV483">
        <f t="shared" si="87"/>
        <v>0</v>
      </c>
      <c r="AW483">
        <v>-4.63</v>
      </c>
      <c r="AX483" s="1">
        <f t="shared" si="89"/>
        <v>97</v>
      </c>
      <c r="BH483">
        <v>482</v>
      </c>
      <c r="BI483">
        <v>103.96</v>
      </c>
      <c r="BJ483">
        <f t="shared" si="90"/>
        <v>0</v>
      </c>
      <c r="BK483">
        <v>-7.72</v>
      </c>
      <c r="BL483" s="1">
        <f t="shared" si="91"/>
        <v>141.08199999999999</v>
      </c>
      <c r="BT483">
        <v>482</v>
      </c>
      <c r="BU483">
        <v>129.91</v>
      </c>
      <c r="BV483">
        <f t="shared" si="92"/>
        <v>0</v>
      </c>
      <c r="BW483">
        <v>-7.72</v>
      </c>
      <c r="BX483">
        <f t="shared" si="93"/>
        <v>153.38399999999999</v>
      </c>
      <c r="BY483" t="s">
        <v>0</v>
      </c>
    </row>
    <row r="484" spans="17:77" x14ac:dyDescent="0.25">
      <c r="Q484">
        <v>483</v>
      </c>
      <c r="R484" s="4">
        <v>14.25</v>
      </c>
      <c r="S484" s="4">
        <f t="shared" si="85"/>
        <v>0</v>
      </c>
      <c r="T484" s="4">
        <v>-19.309999999999999</v>
      </c>
      <c r="U484" s="4">
        <f t="shared" si="94"/>
        <v>1.0800000000000005</v>
      </c>
      <c r="AF484">
        <v>483</v>
      </c>
      <c r="AG484" s="4">
        <v>77.27</v>
      </c>
      <c r="AH484" s="4">
        <f t="shared" si="86"/>
        <v>0</v>
      </c>
      <c r="AI484" s="4">
        <v>-8.5</v>
      </c>
      <c r="AJ484" s="4">
        <f t="shared" si="88"/>
        <v>0.53599999999999992</v>
      </c>
      <c r="AT484">
        <v>483</v>
      </c>
      <c r="AU484">
        <v>58.81</v>
      </c>
      <c r="AV484">
        <f t="shared" si="87"/>
        <v>0</v>
      </c>
      <c r="AW484">
        <v>-4.63</v>
      </c>
      <c r="AX484" s="1">
        <f t="shared" si="89"/>
        <v>97</v>
      </c>
      <c r="BH484">
        <v>483</v>
      </c>
      <c r="BI484">
        <v>103.61</v>
      </c>
      <c r="BJ484">
        <f t="shared" si="90"/>
        <v>0</v>
      </c>
      <c r="BK484">
        <v>-6.95</v>
      </c>
      <c r="BL484" s="1">
        <f t="shared" si="91"/>
        <v>140.154</v>
      </c>
      <c r="BT484">
        <v>483</v>
      </c>
      <c r="BU484">
        <v>129.47999999999999</v>
      </c>
      <c r="BV484">
        <f t="shared" si="92"/>
        <v>0</v>
      </c>
      <c r="BW484">
        <v>-16.989999999999998</v>
      </c>
      <c r="BX484">
        <f t="shared" si="93"/>
        <v>150.292</v>
      </c>
      <c r="BY484" t="s">
        <v>0</v>
      </c>
    </row>
    <row r="485" spans="17:77" x14ac:dyDescent="0.25">
      <c r="Q485">
        <v>484</v>
      </c>
      <c r="R485" s="4">
        <v>13.32</v>
      </c>
      <c r="S485" s="4">
        <f t="shared" si="85"/>
        <v>0</v>
      </c>
      <c r="T485" s="4">
        <v>-18.54</v>
      </c>
      <c r="U485" s="4">
        <f t="shared" si="94"/>
        <v>0.15399999999999991</v>
      </c>
      <c r="AF485">
        <v>484</v>
      </c>
      <c r="AG485" s="4">
        <v>76.92</v>
      </c>
      <c r="AH485" s="4">
        <f t="shared" si="86"/>
        <v>0</v>
      </c>
      <c r="AI485" s="4">
        <v>-6.95</v>
      </c>
      <c r="AJ485" s="4">
        <f t="shared" si="88"/>
        <v>1.31</v>
      </c>
      <c r="AT485">
        <v>484</v>
      </c>
      <c r="AU485">
        <v>58.54</v>
      </c>
      <c r="AV485">
        <f t="shared" si="87"/>
        <v>0</v>
      </c>
      <c r="AW485">
        <v>-5.41</v>
      </c>
      <c r="AX485" s="1">
        <f t="shared" si="89"/>
        <v>96.843999999999994</v>
      </c>
      <c r="BH485">
        <v>484</v>
      </c>
      <c r="BI485">
        <v>103.38</v>
      </c>
      <c r="BJ485">
        <f t="shared" si="90"/>
        <v>0</v>
      </c>
      <c r="BK485">
        <v>-4.63</v>
      </c>
      <c r="BL485" s="1">
        <f t="shared" si="91"/>
        <v>140.464</v>
      </c>
      <c r="BT485">
        <v>484</v>
      </c>
      <c r="BU485">
        <v>128.97999999999999</v>
      </c>
      <c r="BV485">
        <f t="shared" si="92"/>
        <v>0</v>
      </c>
      <c r="BW485">
        <v>-20.079999999999998</v>
      </c>
      <c r="BX485">
        <f t="shared" si="93"/>
        <v>152.76400000000001</v>
      </c>
      <c r="BY485" t="s">
        <v>0</v>
      </c>
    </row>
    <row r="486" spans="17:77" x14ac:dyDescent="0.25">
      <c r="Q486">
        <v>485</v>
      </c>
      <c r="R486" s="4">
        <v>12.4</v>
      </c>
      <c r="S486" s="4">
        <f t="shared" si="85"/>
        <v>0</v>
      </c>
      <c r="T486" s="4">
        <v>-18.54</v>
      </c>
      <c r="U486" s="4">
        <f t="shared" si="94"/>
        <v>0</v>
      </c>
      <c r="AF486">
        <v>485</v>
      </c>
      <c r="AG486" s="4">
        <v>76.5</v>
      </c>
      <c r="AH486" s="4">
        <f t="shared" si="86"/>
        <v>0</v>
      </c>
      <c r="AI486" s="4">
        <v>-8.5</v>
      </c>
      <c r="AJ486" s="4">
        <f t="shared" si="88"/>
        <v>0.69000000000000006</v>
      </c>
      <c r="AT486">
        <v>485</v>
      </c>
      <c r="AU486">
        <v>58.27</v>
      </c>
      <c r="AV486">
        <f t="shared" si="87"/>
        <v>0</v>
      </c>
      <c r="AW486">
        <v>-5.41</v>
      </c>
      <c r="AX486" s="1">
        <f t="shared" si="89"/>
        <v>97</v>
      </c>
      <c r="BH486">
        <v>485</v>
      </c>
      <c r="BI486">
        <v>103.11</v>
      </c>
      <c r="BJ486">
        <f t="shared" si="90"/>
        <v>0</v>
      </c>
      <c r="BK486">
        <v>-5.41</v>
      </c>
      <c r="BL486" s="1">
        <f t="shared" si="91"/>
        <v>139.84399999999999</v>
      </c>
      <c r="BT486">
        <v>485</v>
      </c>
      <c r="BU486">
        <v>128.4</v>
      </c>
      <c r="BV486">
        <f t="shared" si="92"/>
        <v>0</v>
      </c>
      <c r="BW486">
        <v>-23.17</v>
      </c>
      <c r="BX486">
        <f t="shared" si="93"/>
        <v>152.76400000000001</v>
      </c>
      <c r="BY486" t="s">
        <v>0</v>
      </c>
    </row>
    <row r="487" spans="17:77" x14ac:dyDescent="0.25">
      <c r="Q487">
        <v>486</v>
      </c>
      <c r="R487" s="4">
        <v>11.7</v>
      </c>
      <c r="S487" s="4">
        <f t="shared" si="85"/>
        <v>0</v>
      </c>
      <c r="T487" s="4">
        <v>-13.9</v>
      </c>
      <c r="U487" s="4">
        <f t="shared" si="94"/>
        <v>0.92799999999999971</v>
      </c>
      <c r="AF487">
        <v>486</v>
      </c>
      <c r="AG487" s="4">
        <v>76.08</v>
      </c>
      <c r="AH487" s="4">
        <f t="shared" si="86"/>
        <v>0</v>
      </c>
      <c r="AI487" s="4">
        <v>-8.5</v>
      </c>
      <c r="AJ487" s="4">
        <f t="shared" si="88"/>
        <v>1</v>
      </c>
      <c r="AT487">
        <v>486</v>
      </c>
      <c r="AU487">
        <v>58.08</v>
      </c>
      <c r="AV487">
        <f t="shared" si="87"/>
        <v>0</v>
      </c>
      <c r="AW487">
        <v>-3.86</v>
      </c>
      <c r="AX487" s="1">
        <f t="shared" si="89"/>
        <v>97.31</v>
      </c>
      <c r="BH487">
        <v>486</v>
      </c>
      <c r="BI487">
        <v>103.53</v>
      </c>
      <c r="BJ487">
        <f t="shared" si="90"/>
        <v>148.5</v>
      </c>
      <c r="BK487">
        <v>8.5</v>
      </c>
      <c r="BL487" s="1">
        <f t="shared" si="91"/>
        <v>142.78200000000001</v>
      </c>
      <c r="BT487">
        <v>486</v>
      </c>
      <c r="BU487">
        <v>128.02000000000001</v>
      </c>
      <c r="BV487">
        <f t="shared" si="92"/>
        <v>0</v>
      </c>
      <c r="BW487">
        <v>-15.45</v>
      </c>
      <c r="BX487">
        <f t="shared" si="93"/>
        <v>157.08799999999999</v>
      </c>
      <c r="BY487" t="s">
        <v>0</v>
      </c>
    </row>
    <row r="488" spans="17:77" x14ac:dyDescent="0.25">
      <c r="Q488">
        <v>487</v>
      </c>
      <c r="R488" s="4">
        <v>11.01</v>
      </c>
      <c r="S488" s="4">
        <f t="shared" si="85"/>
        <v>0</v>
      </c>
      <c r="T488" s="4">
        <v>-13.9</v>
      </c>
      <c r="U488" s="4">
        <f t="shared" si="94"/>
        <v>0</v>
      </c>
      <c r="AF488">
        <v>487</v>
      </c>
      <c r="AG488" s="4">
        <v>75.650000000000006</v>
      </c>
      <c r="AH488" s="4">
        <f t="shared" si="86"/>
        <v>0</v>
      </c>
      <c r="AI488" s="4">
        <v>-8.5</v>
      </c>
      <c r="AJ488" s="4">
        <f t="shared" si="88"/>
        <v>1</v>
      </c>
      <c r="AT488">
        <v>487</v>
      </c>
      <c r="AU488">
        <v>57.77</v>
      </c>
      <c r="AV488">
        <f t="shared" si="87"/>
        <v>0</v>
      </c>
      <c r="AW488">
        <v>-6.18</v>
      </c>
      <c r="AX488" s="1">
        <f t="shared" si="89"/>
        <v>96.536000000000001</v>
      </c>
      <c r="BH488">
        <v>487</v>
      </c>
      <c r="BI488">
        <v>104.5</v>
      </c>
      <c r="BJ488">
        <f t="shared" si="90"/>
        <v>159.31</v>
      </c>
      <c r="BK488">
        <v>19.309999999999999</v>
      </c>
      <c r="BL488" s="1">
        <f t="shared" si="91"/>
        <v>142.16200000000001</v>
      </c>
      <c r="BT488">
        <v>487</v>
      </c>
      <c r="BU488">
        <v>127.63</v>
      </c>
      <c r="BV488">
        <f t="shared" si="92"/>
        <v>0</v>
      </c>
      <c r="BW488">
        <v>-15.45</v>
      </c>
      <c r="BX488">
        <f t="shared" si="93"/>
        <v>154</v>
      </c>
      <c r="BY488" t="s">
        <v>0</v>
      </c>
    </row>
    <row r="489" spans="17:77" x14ac:dyDescent="0.25">
      <c r="Q489">
        <v>488</v>
      </c>
      <c r="R489" s="4">
        <v>10.39</v>
      </c>
      <c r="S489" s="4">
        <f t="shared" si="85"/>
        <v>0</v>
      </c>
      <c r="T489" s="4">
        <v>-12.36</v>
      </c>
      <c r="U489" s="4">
        <f t="shared" si="94"/>
        <v>0.30800000000000016</v>
      </c>
      <c r="AF489">
        <v>488</v>
      </c>
      <c r="AG489" s="4">
        <v>75.23</v>
      </c>
      <c r="AH489" s="4">
        <f t="shared" si="86"/>
        <v>0</v>
      </c>
      <c r="AI489" s="4">
        <v>-8.5</v>
      </c>
      <c r="AJ489" s="4">
        <f t="shared" si="88"/>
        <v>1</v>
      </c>
      <c r="AT489">
        <v>488</v>
      </c>
      <c r="AU489">
        <v>57.66</v>
      </c>
      <c r="AV489">
        <f t="shared" si="87"/>
        <v>0</v>
      </c>
      <c r="AW489">
        <v>-2.3199999999999998</v>
      </c>
      <c r="AX489" s="1">
        <f t="shared" si="89"/>
        <v>97.772000000000006</v>
      </c>
      <c r="BH489">
        <v>488</v>
      </c>
      <c r="BI489">
        <v>105</v>
      </c>
      <c r="BJ489">
        <f t="shared" si="90"/>
        <v>150.04</v>
      </c>
      <c r="BK489">
        <v>10.039999999999999</v>
      </c>
      <c r="BL489" s="1">
        <f t="shared" si="91"/>
        <v>138.14599999999999</v>
      </c>
      <c r="BT489">
        <v>488</v>
      </c>
      <c r="BU489">
        <v>127.4</v>
      </c>
      <c r="BV489">
        <f t="shared" si="92"/>
        <v>0</v>
      </c>
      <c r="BW489">
        <v>-9.27</v>
      </c>
      <c r="BX489">
        <f t="shared" si="93"/>
        <v>156.47200000000001</v>
      </c>
      <c r="BY489" t="s">
        <v>0</v>
      </c>
    </row>
    <row r="490" spans="17:77" x14ac:dyDescent="0.25">
      <c r="Q490">
        <v>489</v>
      </c>
      <c r="R490" s="4">
        <v>9.81</v>
      </c>
      <c r="S490" s="4">
        <f t="shared" si="85"/>
        <v>0</v>
      </c>
      <c r="T490" s="4">
        <v>-11.59</v>
      </c>
      <c r="U490" s="4">
        <f t="shared" si="94"/>
        <v>0.15399999999999991</v>
      </c>
      <c r="AF490">
        <v>489</v>
      </c>
      <c r="AG490" s="4">
        <v>74.760000000000005</v>
      </c>
      <c r="AH490" s="4">
        <f t="shared" si="86"/>
        <v>0</v>
      </c>
      <c r="AI490" s="4">
        <v>-9.27</v>
      </c>
      <c r="AJ490" s="4">
        <f t="shared" si="88"/>
        <v>0.84600000000000009</v>
      </c>
      <c r="AT490">
        <v>489</v>
      </c>
      <c r="AU490">
        <v>58.23</v>
      </c>
      <c r="AV490">
        <f t="shared" si="87"/>
        <v>108.59</v>
      </c>
      <c r="AW490">
        <v>11.59</v>
      </c>
      <c r="AX490" s="1">
        <f t="shared" si="89"/>
        <v>99.781999999999996</v>
      </c>
      <c r="BH490">
        <v>489</v>
      </c>
      <c r="BI490">
        <v>104.88</v>
      </c>
      <c r="BJ490">
        <f t="shared" si="90"/>
        <v>0</v>
      </c>
      <c r="BK490">
        <v>-2.3199999999999998</v>
      </c>
      <c r="BL490" s="1">
        <f t="shared" si="91"/>
        <v>137.52799999999999</v>
      </c>
      <c r="BT490">
        <v>489</v>
      </c>
      <c r="BU490">
        <v>127.13</v>
      </c>
      <c r="BV490">
        <f t="shared" si="92"/>
        <v>0</v>
      </c>
      <c r="BW490">
        <v>-10.81</v>
      </c>
      <c r="BX490">
        <f t="shared" si="93"/>
        <v>153.38399999999999</v>
      </c>
      <c r="BY490" t="s">
        <v>0</v>
      </c>
    </row>
    <row r="491" spans="17:77" x14ac:dyDescent="0.25">
      <c r="Q491">
        <v>490</v>
      </c>
      <c r="R491" s="4">
        <v>9.27</v>
      </c>
      <c r="S491" s="4">
        <f t="shared" si="85"/>
        <v>0</v>
      </c>
      <c r="T491" s="4">
        <v>-10.81</v>
      </c>
      <c r="U491" s="4">
        <f t="shared" si="94"/>
        <v>0.15599999999999986</v>
      </c>
      <c r="AF491">
        <v>490</v>
      </c>
      <c r="AG491" s="6">
        <v>74.38</v>
      </c>
      <c r="AH491" s="4">
        <f t="shared" si="86"/>
        <v>0</v>
      </c>
      <c r="AI491" s="4">
        <v>-7.72</v>
      </c>
      <c r="AJ491" s="4">
        <f t="shared" si="88"/>
        <v>1.31</v>
      </c>
      <c r="AT491">
        <v>490</v>
      </c>
      <c r="AU491">
        <v>58.39</v>
      </c>
      <c r="AV491">
        <f t="shared" si="87"/>
        <v>100.09</v>
      </c>
      <c r="AW491">
        <v>3.09</v>
      </c>
      <c r="AX491" s="1">
        <f t="shared" si="89"/>
        <v>95.3</v>
      </c>
      <c r="BH491">
        <v>490</v>
      </c>
      <c r="BI491">
        <v>104.19</v>
      </c>
      <c r="BJ491">
        <f t="shared" si="90"/>
        <v>0</v>
      </c>
      <c r="BK491">
        <v>-13.9</v>
      </c>
      <c r="BL491" s="1">
        <f t="shared" si="91"/>
        <v>137.684</v>
      </c>
      <c r="BT491">
        <v>490</v>
      </c>
      <c r="BU491">
        <v>126.97</v>
      </c>
      <c r="BV491">
        <f t="shared" si="92"/>
        <v>0</v>
      </c>
      <c r="BW491">
        <v>-6.18</v>
      </c>
      <c r="BX491">
        <f t="shared" si="93"/>
        <v>155.852</v>
      </c>
      <c r="BY491" t="s">
        <v>0</v>
      </c>
    </row>
    <row r="492" spans="17:77" x14ac:dyDescent="0.25">
      <c r="Q492">
        <v>491</v>
      </c>
      <c r="R492" s="4">
        <v>8.8000000000000007</v>
      </c>
      <c r="S492" s="4">
        <f t="shared" si="85"/>
        <v>0</v>
      </c>
      <c r="T492" s="4">
        <v>-9.27</v>
      </c>
      <c r="U492" s="4">
        <f t="shared" si="94"/>
        <v>0.30800000000000016</v>
      </c>
      <c r="AF492">
        <v>491</v>
      </c>
      <c r="AG492" s="6">
        <v>75.5</v>
      </c>
      <c r="AH492" s="4">
        <f t="shared" si="86"/>
        <v>23.4</v>
      </c>
      <c r="AI492" s="4">
        <v>22.4</v>
      </c>
      <c r="AJ492" s="4">
        <f t="shared" si="88"/>
        <v>7.0239999999999991</v>
      </c>
      <c r="AT492">
        <v>491</v>
      </c>
      <c r="AU492">
        <v>58.31</v>
      </c>
      <c r="AV492">
        <f t="shared" si="87"/>
        <v>0</v>
      </c>
      <c r="AW492">
        <v>-1.54</v>
      </c>
      <c r="AX492" s="1">
        <f t="shared" si="89"/>
        <v>96.073999999999998</v>
      </c>
      <c r="BH492">
        <v>491</v>
      </c>
      <c r="BI492">
        <v>103.49</v>
      </c>
      <c r="BJ492">
        <f t="shared" si="90"/>
        <v>0</v>
      </c>
      <c r="BK492">
        <v>-13.9</v>
      </c>
      <c r="BL492" s="1">
        <f t="shared" si="91"/>
        <v>140</v>
      </c>
      <c r="BT492">
        <v>491</v>
      </c>
      <c r="BU492">
        <v>126.78</v>
      </c>
      <c r="BV492">
        <f t="shared" si="92"/>
        <v>0</v>
      </c>
      <c r="BW492">
        <v>-7.72</v>
      </c>
      <c r="BX492">
        <f t="shared" si="93"/>
        <v>153.38399999999999</v>
      </c>
      <c r="BY492" t="s">
        <v>0</v>
      </c>
    </row>
    <row r="493" spans="17:77" x14ac:dyDescent="0.25">
      <c r="Q493">
        <v>492</v>
      </c>
      <c r="R493" s="4">
        <v>8.3000000000000007</v>
      </c>
      <c r="S493" s="4">
        <f t="shared" si="85"/>
        <v>0</v>
      </c>
      <c r="T493" s="4">
        <v>-10.039999999999999</v>
      </c>
      <c r="U493" s="4">
        <f t="shared" si="94"/>
        <v>-0.15399999999999991</v>
      </c>
      <c r="AF493">
        <v>492</v>
      </c>
      <c r="AG493" s="6">
        <v>75.959999999999994</v>
      </c>
      <c r="AH493" s="4">
        <f t="shared" si="86"/>
        <v>10.27</v>
      </c>
      <c r="AI493" s="4">
        <v>9.27</v>
      </c>
      <c r="AJ493" s="4">
        <f t="shared" si="88"/>
        <v>-1.6259999999999999</v>
      </c>
      <c r="AT493">
        <v>492</v>
      </c>
      <c r="AU493">
        <v>58.16</v>
      </c>
      <c r="AV493">
        <f t="shared" si="87"/>
        <v>0</v>
      </c>
      <c r="AW493">
        <v>-3.09</v>
      </c>
      <c r="AX493" s="1">
        <f t="shared" si="89"/>
        <v>96.69</v>
      </c>
      <c r="BH493">
        <v>492</v>
      </c>
      <c r="BI493">
        <v>102.95</v>
      </c>
      <c r="BJ493">
        <f t="shared" si="90"/>
        <v>0</v>
      </c>
      <c r="BK493">
        <v>-10.81</v>
      </c>
      <c r="BL493" s="1">
        <f t="shared" si="91"/>
        <v>140.61799999999999</v>
      </c>
      <c r="BT493">
        <v>492</v>
      </c>
      <c r="BU493">
        <v>126.55</v>
      </c>
      <c r="BV493">
        <f t="shared" si="92"/>
        <v>0</v>
      </c>
      <c r="BW493">
        <v>-9.27</v>
      </c>
      <c r="BX493">
        <f t="shared" si="93"/>
        <v>153.38</v>
      </c>
      <c r="BY493" t="s">
        <v>0</v>
      </c>
    </row>
    <row r="494" spans="17:77" x14ac:dyDescent="0.25">
      <c r="Q494">
        <v>493</v>
      </c>
      <c r="R494" s="4">
        <v>7.96</v>
      </c>
      <c r="S494" s="4">
        <f t="shared" si="85"/>
        <v>0</v>
      </c>
      <c r="T494" s="4">
        <v>-6.95</v>
      </c>
      <c r="U494" s="4">
        <f t="shared" si="94"/>
        <v>0.61799999999999977</v>
      </c>
      <c r="AF494">
        <v>493</v>
      </c>
      <c r="AG494" s="4">
        <v>75.959999999999994</v>
      </c>
      <c r="AH494" s="4">
        <f t="shared" si="86"/>
        <v>0</v>
      </c>
      <c r="AI494" s="4">
        <v>0</v>
      </c>
      <c r="AJ494" s="4">
        <f t="shared" si="88"/>
        <v>-0.85399999999999987</v>
      </c>
      <c r="AT494">
        <v>493</v>
      </c>
      <c r="AU494">
        <v>57.89</v>
      </c>
      <c r="AV494">
        <f t="shared" si="87"/>
        <v>0</v>
      </c>
      <c r="AW494">
        <v>-5.41</v>
      </c>
      <c r="AX494" s="1">
        <f t="shared" si="89"/>
        <v>96.536000000000001</v>
      </c>
      <c r="BH494">
        <v>493</v>
      </c>
      <c r="BI494">
        <v>102.37</v>
      </c>
      <c r="BJ494">
        <f t="shared" si="90"/>
        <v>0</v>
      </c>
      <c r="BK494">
        <v>-11.59</v>
      </c>
      <c r="BL494" s="1">
        <f t="shared" si="91"/>
        <v>139.84399999999999</v>
      </c>
      <c r="BT494">
        <v>493</v>
      </c>
      <c r="BU494">
        <v>126.35</v>
      </c>
      <c r="BV494">
        <f t="shared" si="92"/>
        <v>0</v>
      </c>
      <c r="BW494">
        <v>-7.72</v>
      </c>
      <c r="BX494">
        <f t="shared" si="93"/>
        <v>154.62</v>
      </c>
      <c r="BY494" t="s">
        <v>0</v>
      </c>
    </row>
    <row r="495" spans="17:77" x14ac:dyDescent="0.25">
      <c r="Q495">
        <v>494</v>
      </c>
      <c r="R495" s="4">
        <v>7.61</v>
      </c>
      <c r="S495" s="4">
        <f t="shared" si="85"/>
        <v>0</v>
      </c>
      <c r="T495" s="4">
        <v>-6.95</v>
      </c>
      <c r="U495" s="4">
        <f t="shared" si="94"/>
        <v>0</v>
      </c>
      <c r="AF495">
        <v>494</v>
      </c>
      <c r="AG495" s="4">
        <v>75.69</v>
      </c>
      <c r="AH495" s="4">
        <f t="shared" si="86"/>
        <v>0</v>
      </c>
      <c r="AI495" s="4">
        <v>-5.41</v>
      </c>
      <c r="AJ495" s="4">
        <f t="shared" si="88"/>
        <v>-8.2000000000000073E-2</v>
      </c>
      <c r="AT495">
        <v>494</v>
      </c>
      <c r="AU495">
        <v>57.62</v>
      </c>
      <c r="AV495">
        <f t="shared" si="87"/>
        <v>0</v>
      </c>
      <c r="AW495">
        <v>-5.41</v>
      </c>
      <c r="AX495" s="1">
        <f t="shared" si="89"/>
        <v>97</v>
      </c>
      <c r="BH495">
        <v>494</v>
      </c>
      <c r="BI495">
        <v>101.79</v>
      </c>
      <c r="BJ495">
        <f t="shared" si="90"/>
        <v>0</v>
      </c>
      <c r="BK495">
        <v>-11.58</v>
      </c>
      <c r="BL495" s="1">
        <f t="shared" si="91"/>
        <v>140.00200000000001</v>
      </c>
      <c r="BT495">
        <v>494</v>
      </c>
      <c r="BU495">
        <v>126.2</v>
      </c>
      <c r="BV495">
        <f t="shared" si="92"/>
        <v>0</v>
      </c>
      <c r="BW495">
        <v>-6.18</v>
      </c>
      <c r="BX495">
        <f t="shared" si="93"/>
        <v>154.61600000000001</v>
      </c>
      <c r="BY495" t="s">
        <v>0</v>
      </c>
    </row>
    <row r="496" spans="17:77" x14ac:dyDescent="0.25">
      <c r="Q496">
        <v>495</v>
      </c>
      <c r="R496" s="4">
        <v>7.22</v>
      </c>
      <c r="S496" s="4">
        <f t="shared" si="85"/>
        <v>0</v>
      </c>
      <c r="T496" s="4">
        <v>-7.72</v>
      </c>
      <c r="U496" s="4">
        <f t="shared" si="94"/>
        <v>-0.15399999999999991</v>
      </c>
      <c r="AF496">
        <v>495</v>
      </c>
      <c r="AG496" s="4">
        <v>75.23</v>
      </c>
      <c r="AH496" s="4">
        <f t="shared" si="86"/>
        <v>0</v>
      </c>
      <c r="AI496" s="4">
        <v>-9.27</v>
      </c>
      <c r="AJ496" s="4">
        <f t="shared" si="88"/>
        <v>0.22800000000000009</v>
      </c>
      <c r="AT496">
        <v>495</v>
      </c>
      <c r="AU496">
        <v>57.42</v>
      </c>
      <c r="AV496">
        <f t="shared" si="87"/>
        <v>0</v>
      </c>
      <c r="AW496">
        <v>-3.86</v>
      </c>
      <c r="AX496" s="1">
        <f t="shared" si="89"/>
        <v>97.31</v>
      </c>
      <c r="BH496">
        <v>495</v>
      </c>
      <c r="BI496">
        <v>101.29</v>
      </c>
      <c r="BJ496">
        <f t="shared" si="90"/>
        <v>0</v>
      </c>
      <c r="BK496">
        <v>-10.039999999999999</v>
      </c>
      <c r="BL496" s="1">
        <f t="shared" si="91"/>
        <v>140.30799999999999</v>
      </c>
      <c r="BT496">
        <v>495</v>
      </c>
      <c r="BU496">
        <v>126.01</v>
      </c>
      <c r="BV496">
        <f t="shared" si="92"/>
        <v>0</v>
      </c>
      <c r="BW496">
        <v>-7.72</v>
      </c>
      <c r="BX496">
        <f t="shared" si="93"/>
        <v>153.38399999999999</v>
      </c>
      <c r="BY496" t="s">
        <v>0</v>
      </c>
    </row>
    <row r="497" spans="17:77" x14ac:dyDescent="0.25">
      <c r="Q497">
        <v>496</v>
      </c>
      <c r="R497" s="4">
        <v>6.84</v>
      </c>
      <c r="S497" s="4">
        <f t="shared" si="85"/>
        <v>0</v>
      </c>
      <c r="T497" s="4">
        <v>-7.72</v>
      </c>
      <c r="U497" s="4">
        <f t="shared" si="94"/>
        <v>0</v>
      </c>
      <c r="AF497">
        <v>496</v>
      </c>
      <c r="AG497" s="4">
        <v>74.760000000000005</v>
      </c>
      <c r="AH497" s="4">
        <f t="shared" si="86"/>
        <v>0</v>
      </c>
      <c r="AI497" s="4">
        <v>-9.27</v>
      </c>
      <c r="AJ497" s="4">
        <f t="shared" si="88"/>
        <v>1</v>
      </c>
      <c r="AT497">
        <v>496</v>
      </c>
      <c r="AU497">
        <v>57.15</v>
      </c>
      <c r="AV497">
        <f t="shared" si="87"/>
        <v>0</v>
      </c>
      <c r="AW497">
        <v>-5.41</v>
      </c>
      <c r="AX497" s="1">
        <f t="shared" si="89"/>
        <v>96.69</v>
      </c>
      <c r="BH497">
        <v>496</v>
      </c>
      <c r="BI497">
        <v>100.94</v>
      </c>
      <c r="BJ497">
        <f t="shared" si="90"/>
        <v>0</v>
      </c>
      <c r="BK497">
        <v>-6.95</v>
      </c>
      <c r="BL497" s="1">
        <f t="shared" si="91"/>
        <v>140.61799999999999</v>
      </c>
      <c r="BT497">
        <v>496</v>
      </c>
      <c r="BU497">
        <v>125.89</v>
      </c>
      <c r="BV497">
        <f t="shared" si="92"/>
        <v>0</v>
      </c>
      <c r="BW497">
        <v>-4.63</v>
      </c>
      <c r="BX497">
        <f t="shared" si="93"/>
        <v>155.23599999999999</v>
      </c>
      <c r="BY497" t="s">
        <v>0</v>
      </c>
    </row>
    <row r="498" spans="17:77" x14ac:dyDescent="0.25">
      <c r="Q498">
        <v>497</v>
      </c>
      <c r="R498" s="4">
        <v>6.6</v>
      </c>
      <c r="S498" s="4">
        <f t="shared" si="85"/>
        <v>0</v>
      </c>
      <c r="T498" s="4">
        <v>-4.63</v>
      </c>
      <c r="U498" s="4">
        <f t="shared" si="94"/>
        <v>0.61799999999999999</v>
      </c>
      <c r="AF498">
        <v>497</v>
      </c>
      <c r="AG498" s="4">
        <v>74.489999999999995</v>
      </c>
      <c r="AH498" s="4">
        <f t="shared" si="86"/>
        <v>0</v>
      </c>
      <c r="AI498" s="4">
        <v>-5.41</v>
      </c>
      <c r="AJ498" s="4">
        <f t="shared" si="88"/>
        <v>1.7719999999999998</v>
      </c>
      <c r="AT498">
        <v>497</v>
      </c>
      <c r="AU498">
        <v>56.92</v>
      </c>
      <c r="AV498">
        <f t="shared" si="87"/>
        <v>0</v>
      </c>
      <c r="AW498">
        <v>-4.63</v>
      </c>
      <c r="AX498" s="1">
        <f t="shared" si="89"/>
        <v>97.156000000000006</v>
      </c>
      <c r="BH498">
        <v>497</v>
      </c>
      <c r="BI498">
        <v>100.67</v>
      </c>
      <c r="BJ498">
        <f t="shared" si="90"/>
        <v>0</v>
      </c>
      <c r="BK498">
        <v>-5.41</v>
      </c>
      <c r="BL498" s="1">
        <f t="shared" si="91"/>
        <v>140.30799999999999</v>
      </c>
      <c r="BT498">
        <v>497</v>
      </c>
      <c r="BU498">
        <v>126.05</v>
      </c>
      <c r="BV498">
        <f t="shared" si="92"/>
        <v>160.18</v>
      </c>
      <c r="BW498">
        <v>6.18</v>
      </c>
      <c r="BX498">
        <f t="shared" si="93"/>
        <v>158.32400000000001</v>
      </c>
      <c r="BY498" t="s">
        <v>0</v>
      </c>
    </row>
    <row r="499" spans="17:77" x14ac:dyDescent="0.25">
      <c r="Q499">
        <v>498</v>
      </c>
      <c r="R499" s="4">
        <v>6.37</v>
      </c>
      <c r="S499" s="4">
        <f t="shared" si="85"/>
        <v>0</v>
      </c>
      <c r="T499" s="4">
        <v>-4.63</v>
      </c>
      <c r="U499" s="4">
        <f t="shared" si="94"/>
        <v>0</v>
      </c>
      <c r="AF499">
        <v>498</v>
      </c>
      <c r="AG499" s="4">
        <v>74.11</v>
      </c>
      <c r="AH499" s="4">
        <f t="shared" si="86"/>
        <v>0</v>
      </c>
      <c r="AI499" s="4">
        <v>-7.72</v>
      </c>
      <c r="AJ499" s="4">
        <f t="shared" si="88"/>
        <v>0.53800000000000003</v>
      </c>
      <c r="AT499">
        <v>498</v>
      </c>
      <c r="AU499">
        <v>56.73</v>
      </c>
      <c r="AV499">
        <f t="shared" si="87"/>
        <v>0</v>
      </c>
      <c r="AW499">
        <v>-3.86</v>
      </c>
      <c r="AX499" s="1">
        <f t="shared" si="89"/>
        <v>97.153999999999996</v>
      </c>
      <c r="BH499">
        <v>498</v>
      </c>
      <c r="BI499">
        <v>100.33</v>
      </c>
      <c r="BJ499">
        <f t="shared" si="90"/>
        <v>0</v>
      </c>
      <c r="BK499">
        <v>-6.95</v>
      </c>
      <c r="BL499" s="1">
        <f t="shared" si="91"/>
        <v>139.69200000000001</v>
      </c>
      <c r="BT499">
        <v>498</v>
      </c>
      <c r="BU499">
        <v>126.82</v>
      </c>
      <c r="BV499">
        <f t="shared" si="92"/>
        <v>184.89</v>
      </c>
      <c r="BW499">
        <v>30.89</v>
      </c>
      <c r="BX499">
        <f t="shared" si="93"/>
        <v>163.88400000000001</v>
      </c>
      <c r="BY499" t="s">
        <v>0</v>
      </c>
    </row>
    <row r="500" spans="17:77" x14ac:dyDescent="0.25">
      <c r="Q500">
        <v>499</v>
      </c>
      <c r="R500" s="4">
        <v>6.18</v>
      </c>
      <c r="S500" s="4">
        <f t="shared" si="85"/>
        <v>0</v>
      </c>
      <c r="T500" s="4">
        <v>-3.86</v>
      </c>
      <c r="U500" s="4">
        <f t="shared" si="94"/>
        <v>0.154</v>
      </c>
      <c r="AF500">
        <v>499</v>
      </c>
      <c r="AG500" s="4">
        <v>73.760000000000005</v>
      </c>
      <c r="AH500" s="4">
        <f t="shared" si="86"/>
        <v>0</v>
      </c>
      <c r="AI500" s="4">
        <v>-6.95</v>
      </c>
      <c r="AJ500" s="4">
        <f t="shared" si="88"/>
        <v>1.1539999999999999</v>
      </c>
      <c r="AT500">
        <v>499</v>
      </c>
      <c r="AU500">
        <v>56.5</v>
      </c>
      <c r="AV500">
        <f t="shared" si="87"/>
        <v>0</v>
      </c>
      <c r="AW500">
        <v>-4.63</v>
      </c>
      <c r="AX500" s="1">
        <f t="shared" si="89"/>
        <v>96.846000000000004</v>
      </c>
      <c r="BH500">
        <v>499</v>
      </c>
      <c r="BI500">
        <v>100.87</v>
      </c>
      <c r="BJ500">
        <f t="shared" si="90"/>
        <v>150.81</v>
      </c>
      <c r="BK500">
        <v>10.81</v>
      </c>
      <c r="BL500" s="1">
        <f t="shared" si="91"/>
        <v>143.55199999999999</v>
      </c>
      <c r="BT500">
        <v>499</v>
      </c>
      <c r="BU500">
        <v>127.71</v>
      </c>
      <c r="BV500">
        <f t="shared" si="92"/>
        <v>189.53</v>
      </c>
      <c r="BW500">
        <v>35.53</v>
      </c>
      <c r="BX500">
        <f t="shared" si="93"/>
        <v>155.85599999999999</v>
      </c>
      <c r="BY500" t="s">
        <v>0</v>
      </c>
    </row>
    <row r="501" spans="17:77" x14ac:dyDescent="0.25">
      <c r="Q501">
        <v>500</v>
      </c>
      <c r="R501" s="4">
        <v>5.87</v>
      </c>
      <c r="S501" s="4">
        <f t="shared" si="85"/>
        <v>0</v>
      </c>
      <c r="T501" s="4">
        <v>-6.18</v>
      </c>
      <c r="U501" s="4">
        <f t="shared" si="94"/>
        <v>-0.46399999999999997</v>
      </c>
      <c r="AF501">
        <v>500</v>
      </c>
      <c r="AG501" s="4">
        <v>73.41</v>
      </c>
      <c r="AH501" s="4">
        <f t="shared" si="86"/>
        <v>0</v>
      </c>
      <c r="AI501" s="4">
        <v>-6.95</v>
      </c>
      <c r="AJ501" s="4">
        <f t="shared" si="88"/>
        <v>1</v>
      </c>
      <c r="AT501">
        <v>500</v>
      </c>
      <c r="AU501">
        <v>56.26</v>
      </c>
      <c r="AV501">
        <f t="shared" si="87"/>
        <v>0</v>
      </c>
      <c r="AW501">
        <v>-4.63</v>
      </c>
      <c r="AX501" s="1">
        <f t="shared" si="89"/>
        <v>97</v>
      </c>
      <c r="BH501">
        <v>500</v>
      </c>
      <c r="BI501">
        <v>101.95</v>
      </c>
      <c r="BJ501">
        <f t="shared" si="90"/>
        <v>161.63</v>
      </c>
      <c r="BK501">
        <v>21.63</v>
      </c>
      <c r="BL501" s="1">
        <f t="shared" si="91"/>
        <v>142.16399999999999</v>
      </c>
      <c r="BT501">
        <v>500</v>
      </c>
      <c r="BU501">
        <v>127.94</v>
      </c>
      <c r="BV501">
        <f t="shared" si="92"/>
        <v>163.27000000000001</v>
      </c>
      <c r="BW501">
        <v>9.27</v>
      </c>
      <c r="BX501">
        <f t="shared" si="93"/>
        <v>143.49600000000001</v>
      </c>
      <c r="BY501" t="s">
        <v>0</v>
      </c>
    </row>
    <row r="502" spans="17:77" x14ac:dyDescent="0.25">
      <c r="AF502">
        <v>501</v>
      </c>
      <c r="AG502" s="4">
        <v>72.989999999999995</v>
      </c>
      <c r="AH502" s="4">
        <f t="shared" si="86"/>
        <v>0</v>
      </c>
      <c r="AI502" s="4">
        <v>-8.5</v>
      </c>
      <c r="AJ502" s="4">
        <f t="shared" si="88"/>
        <v>0.69000000000000006</v>
      </c>
      <c r="AT502">
        <v>501</v>
      </c>
      <c r="AU502">
        <v>56.03</v>
      </c>
      <c r="AV502">
        <f t="shared" si="87"/>
        <v>0</v>
      </c>
      <c r="AW502">
        <v>-4.63</v>
      </c>
      <c r="AX502" s="1">
        <f t="shared" si="89"/>
        <v>97</v>
      </c>
      <c r="BH502">
        <v>501</v>
      </c>
      <c r="BI502">
        <v>102.3</v>
      </c>
      <c r="BJ502">
        <f t="shared" si="90"/>
        <v>146.94999999999999</v>
      </c>
      <c r="BK502">
        <v>6.95</v>
      </c>
      <c r="BL502" s="1">
        <f t="shared" si="91"/>
        <v>137.06399999999999</v>
      </c>
      <c r="BT502">
        <v>501</v>
      </c>
      <c r="BU502">
        <v>127.78</v>
      </c>
      <c r="BV502">
        <f t="shared" si="92"/>
        <v>0</v>
      </c>
      <c r="BW502">
        <v>-6.18</v>
      </c>
      <c r="BX502">
        <f t="shared" si="93"/>
        <v>147.82</v>
      </c>
      <c r="BY502" t="s">
        <v>0</v>
      </c>
    </row>
    <row r="503" spans="17:77" x14ac:dyDescent="0.25">
      <c r="AF503">
        <v>502</v>
      </c>
      <c r="AG503" s="4">
        <v>72.599999999999994</v>
      </c>
      <c r="AH503" s="4">
        <f t="shared" si="86"/>
        <v>0</v>
      </c>
      <c r="AI503" s="4">
        <v>-7.72</v>
      </c>
      <c r="AJ503" s="4">
        <f t="shared" si="88"/>
        <v>1.1560000000000001</v>
      </c>
      <c r="AT503">
        <v>502</v>
      </c>
      <c r="AU503">
        <v>55.8</v>
      </c>
      <c r="AV503">
        <f t="shared" si="87"/>
        <v>0</v>
      </c>
      <c r="AW503">
        <v>-4.63</v>
      </c>
      <c r="AX503" s="1">
        <f t="shared" si="89"/>
        <v>97</v>
      </c>
      <c r="BH503">
        <v>502</v>
      </c>
      <c r="BI503">
        <v>102.06</v>
      </c>
      <c r="BJ503">
        <f t="shared" si="90"/>
        <v>0</v>
      </c>
      <c r="BK503">
        <v>-4.63</v>
      </c>
      <c r="BL503" s="1">
        <f t="shared" si="91"/>
        <v>137.684</v>
      </c>
      <c r="BT503">
        <v>502</v>
      </c>
      <c r="BU503">
        <v>127.63</v>
      </c>
      <c r="BV503">
        <f t="shared" si="92"/>
        <v>0</v>
      </c>
      <c r="BW503">
        <v>-6.18</v>
      </c>
      <c r="BX503">
        <f t="shared" si="93"/>
        <v>154</v>
      </c>
      <c r="BY503" t="s">
        <v>0</v>
      </c>
    </row>
    <row r="504" spans="17:77" x14ac:dyDescent="0.25">
      <c r="AF504">
        <v>503</v>
      </c>
      <c r="AG504" s="4">
        <v>72.290000000000006</v>
      </c>
      <c r="AH504" s="4">
        <f t="shared" si="86"/>
        <v>0</v>
      </c>
      <c r="AI504" s="4">
        <v>-6.18</v>
      </c>
      <c r="AJ504" s="4">
        <f t="shared" si="88"/>
        <v>1.3080000000000001</v>
      </c>
      <c r="AT504">
        <v>503</v>
      </c>
      <c r="AU504">
        <v>55.57</v>
      </c>
      <c r="AV504">
        <f t="shared" si="87"/>
        <v>0</v>
      </c>
      <c r="AW504">
        <v>-4.63</v>
      </c>
      <c r="AX504" s="1">
        <f t="shared" si="89"/>
        <v>97</v>
      </c>
      <c r="BH504">
        <v>503</v>
      </c>
      <c r="BI504">
        <v>101.45</v>
      </c>
      <c r="BJ504">
        <f t="shared" si="90"/>
        <v>0</v>
      </c>
      <c r="BK504">
        <v>-12.36</v>
      </c>
      <c r="BL504" s="1">
        <f t="shared" si="91"/>
        <v>138.45400000000001</v>
      </c>
      <c r="BT504">
        <v>503</v>
      </c>
      <c r="BU504">
        <v>127.28</v>
      </c>
      <c r="BV504">
        <f t="shared" si="92"/>
        <v>0</v>
      </c>
      <c r="BW504">
        <v>-13.9</v>
      </c>
      <c r="BX504">
        <f t="shared" si="93"/>
        <v>150.91200000000001</v>
      </c>
      <c r="BY504" t="s">
        <v>0</v>
      </c>
    </row>
    <row r="505" spans="17:77" x14ac:dyDescent="0.25">
      <c r="AF505">
        <v>504</v>
      </c>
      <c r="AG505" s="6">
        <v>71.900000000000006</v>
      </c>
      <c r="AH505" s="4">
        <f t="shared" si="86"/>
        <v>0</v>
      </c>
      <c r="AI505" s="4">
        <v>-7.72</v>
      </c>
      <c r="AJ505" s="4">
        <f t="shared" si="88"/>
        <v>0.69199999999999995</v>
      </c>
      <c r="AT505">
        <v>504</v>
      </c>
      <c r="AU505">
        <v>55.34</v>
      </c>
      <c r="AV505">
        <f t="shared" si="87"/>
        <v>0</v>
      </c>
      <c r="AW505">
        <v>-4.63</v>
      </c>
      <c r="AX505" s="1">
        <f t="shared" si="89"/>
        <v>97</v>
      </c>
      <c r="BH505">
        <v>504</v>
      </c>
      <c r="BI505">
        <v>100.79</v>
      </c>
      <c r="BJ505">
        <f t="shared" si="90"/>
        <v>0</v>
      </c>
      <c r="BK505">
        <v>-13.13</v>
      </c>
      <c r="BL505" s="1">
        <f t="shared" si="91"/>
        <v>139.846</v>
      </c>
      <c r="BT505">
        <v>504</v>
      </c>
      <c r="BU505">
        <v>126.78</v>
      </c>
      <c r="BV505">
        <f t="shared" si="92"/>
        <v>0</v>
      </c>
      <c r="BW505">
        <v>-20.079999999999998</v>
      </c>
      <c r="BX505">
        <f t="shared" si="93"/>
        <v>151.52799999999999</v>
      </c>
      <c r="BY505" t="s">
        <v>0</v>
      </c>
    </row>
    <row r="506" spans="17:77" x14ac:dyDescent="0.25">
      <c r="AF506">
        <v>505</v>
      </c>
      <c r="AG506" s="6">
        <v>72.099999999999994</v>
      </c>
      <c r="AH506" s="4">
        <f t="shared" si="86"/>
        <v>4.8599999999999994</v>
      </c>
      <c r="AI506" s="4">
        <v>3.86</v>
      </c>
      <c r="AJ506" s="4">
        <f t="shared" si="88"/>
        <v>3.3159999999999998</v>
      </c>
      <c r="AT506">
        <v>505</v>
      </c>
      <c r="AU506">
        <v>55.11</v>
      </c>
      <c r="AV506">
        <f t="shared" si="87"/>
        <v>0</v>
      </c>
      <c r="AW506">
        <v>-4.63</v>
      </c>
      <c r="AX506" s="1">
        <f t="shared" si="89"/>
        <v>97</v>
      </c>
      <c r="BH506">
        <v>505</v>
      </c>
      <c r="BI506">
        <v>100.33</v>
      </c>
      <c r="BJ506">
        <f t="shared" si="90"/>
        <v>0</v>
      </c>
      <c r="BK506">
        <v>-9.27</v>
      </c>
      <c r="BL506" s="1">
        <f t="shared" si="91"/>
        <v>140.77199999999999</v>
      </c>
      <c r="BT506">
        <v>505</v>
      </c>
      <c r="BU506">
        <v>126.35</v>
      </c>
      <c r="BV506">
        <f t="shared" si="92"/>
        <v>0</v>
      </c>
      <c r="BW506">
        <v>-16.989999999999998</v>
      </c>
      <c r="BX506">
        <f t="shared" si="93"/>
        <v>155.23599999999999</v>
      </c>
      <c r="BY506" t="s">
        <v>0</v>
      </c>
    </row>
    <row r="507" spans="17:77" x14ac:dyDescent="0.25">
      <c r="AF507">
        <v>506</v>
      </c>
      <c r="AG507" s="6">
        <v>72.87</v>
      </c>
      <c r="AH507" s="4">
        <f t="shared" si="86"/>
        <v>16.45</v>
      </c>
      <c r="AI507" s="4">
        <v>15.45</v>
      </c>
      <c r="AJ507" s="4">
        <f t="shared" si="88"/>
        <v>3.3180000000000001</v>
      </c>
      <c r="AT507">
        <v>506</v>
      </c>
      <c r="AU507">
        <v>54.84</v>
      </c>
      <c r="AV507">
        <f t="shared" si="87"/>
        <v>0</v>
      </c>
      <c r="AW507">
        <v>-5.41</v>
      </c>
      <c r="AX507" s="1">
        <f t="shared" si="89"/>
        <v>96.843999999999994</v>
      </c>
      <c r="BH507">
        <v>506</v>
      </c>
      <c r="BI507">
        <v>99.82</v>
      </c>
      <c r="BJ507">
        <f t="shared" si="90"/>
        <v>0</v>
      </c>
      <c r="BK507">
        <v>-10.039999999999999</v>
      </c>
      <c r="BL507" s="1">
        <f t="shared" si="91"/>
        <v>139.846</v>
      </c>
      <c r="BT507">
        <v>506</v>
      </c>
      <c r="BU507">
        <v>126.01</v>
      </c>
      <c r="BV507">
        <f t="shared" si="92"/>
        <v>0</v>
      </c>
      <c r="BW507">
        <v>-13.9</v>
      </c>
      <c r="BX507">
        <f t="shared" si="93"/>
        <v>155.23599999999999</v>
      </c>
      <c r="BY507" t="s">
        <v>0</v>
      </c>
    </row>
    <row r="508" spans="17:77" x14ac:dyDescent="0.25">
      <c r="AF508">
        <v>507</v>
      </c>
      <c r="AG508" s="6">
        <v>73.06</v>
      </c>
      <c r="AH508" s="4">
        <f t="shared" si="86"/>
        <v>4.8599999999999994</v>
      </c>
      <c r="AI508" s="4">
        <v>3.86</v>
      </c>
      <c r="AJ508" s="4">
        <f t="shared" si="88"/>
        <v>-1.3180000000000001</v>
      </c>
      <c r="AT508">
        <v>507</v>
      </c>
      <c r="AU508">
        <v>54.68</v>
      </c>
      <c r="AV508">
        <f t="shared" si="87"/>
        <v>0</v>
      </c>
      <c r="AW508">
        <v>-3.09</v>
      </c>
      <c r="AX508" s="1">
        <f t="shared" si="89"/>
        <v>97.463999999999999</v>
      </c>
      <c r="BH508">
        <v>507</v>
      </c>
      <c r="BI508">
        <v>99.32</v>
      </c>
      <c r="BJ508">
        <f t="shared" si="90"/>
        <v>0</v>
      </c>
      <c r="BK508">
        <v>-10.039999999999999</v>
      </c>
      <c r="BL508" s="1">
        <f t="shared" si="91"/>
        <v>140</v>
      </c>
      <c r="BT508">
        <v>507</v>
      </c>
      <c r="BU508">
        <v>125.7</v>
      </c>
      <c r="BV508">
        <f t="shared" si="92"/>
        <v>0</v>
      </c>
      <c r="BW508">
        <v>-12.36</v>
      </c>
      <c r="BX508">
        <f t="shared" si="93"/>
        <v>154.61600000000001</v>
      </c>
      <c r="BY508" t="s">
        <v>0</v>
      </c>
    </row>
    <row r="509" spans="17:77" x14ac:dyDescent="0.25">
      <c r="AF509">
        <v>508</v>
      </c>
      <c r="AG509" s="4">
        <v>72.87</v>
      </c>
      <c r="AH509" s="4">
        <f t="shared" si="86"/>
        <v>0</v>
      </c>
      <c r="AI509" s="4">
        <v>-3.86</v>
      </c>
      <c r="AJ509" s="4">
        <f t="shared" si="88"/>
        <v>-0.54400000000000004</v>
      </c>
      <c r="AT509">
        <v>508</v>
      </c>
      <c r="AU509">
        <v>54.41</v>
      </c>
      <c r="AV509">
        <f t="shared" si="87"/>
        <v>0</v>
      </c>
      <c r="AW509">
        <v>-5.41</v>
      </c>
      <c r="AX509" s="1">
        <f t="shared" si="89"/>
        <v>96.536000000000001</v>
      </c>
      <c r="BH509">
        <v>508</v>
      </c>
      <c r="BI509">
        <v>98.86</v>
      </c>
      <c r="BJ509">
        <f t="shared" si="90"/>
        <v>0</v>
      </c>
      <c r="BK509">
        <v>-9.27</v>
      </c>
      <c r="BL509" s="1">
        <f t="shared" si="91"/>
        <v>140.154</v>
      </c>
      <c r="BT509">
        <v>508</v>
      </c>
      <c r="BU509">
        <v>125.27</v>
      </c>
      <c r="BV509">
        <f t="shared" si="92"/>
        <v>0</v>
      </c>
      <c r="BW509">
        <v>-16.989999999999998</v>
      </c>
      <c r="BX509">
        <f t="shared" si="93"/>
        <v>152.148</v>
      </c>
      <c r="BY509" t="s">
        <v>0</v>
      </c>
    </row>
    <row r="510" spans="17:77" x14ac:dyDescent="0.25">
      <c r="AF510">
        <v>509</v>
      </c>
      <c r="AG510" s="4">
        <v>72.599999999999994</v>
      </c>
      <c r="AH510" s="4">
        <f t="shared" si="86"/>
        <v>0</v>
      </c>
      <c r="AI510" s="4">
        <v>-5.41</v>
      </c>
      <c r="AJ510" s="4">
        <f t="shared" si="88"/>
        <v>0.69</v>
      </c>
      <c r="AT510">
        <v>509</v>
      </c>
      <c r="AU510">
        <v>54.14</v>
      </c>
      <c r="AV510">
        <f t="shared" si="87"/>
        <v>0</v>
      </c>
      <c r="AW510">
        <v>-5.41</v>
      </c>
      <c r="AX510" s="1">
        <f t="shared" si="89"/>
        <v>97</v>
      </c>
      <c r="BH510">
        <v>509</v>
      </c>
      <c r="BI510">
        <v>98.43</v>
      </c>
      <c r="BJ510">
        <f t="shared" si="90"/>
        <v>0</v>
      </c>
      <c r="BK510">
        <v>-8.5</v>
      </c>
      <c r="BL510" s="1">
        <f t="shared" si="91"/>
        <v>140.154</v>
      </c>
      <c r="BT510">
        <v>509</v>
      </c>
      <c r="BU510">
        <v>124.89</v>
      </c>
      <c r="BV510">
        <f t="shared" si="92"/>
        <v>0</v>
      </c>
      <c r="BW510">
        <v>-15.45</v>
      </c>
      <c r="BX510">
        <f t="shared" si="93"/>
        <v>154.61599999999999</v>
      </c>
      <c r="BY510" t="s">
        <v>0</v>
      </c>
    </row>
    <row r="511" spans="17:77" x14ac:dyDescent="0.25">
      <c r="AF511">
        <v>510</v>
      </c>
      <c r="AG511" s="4">
        <v>72.17</v>
      </c>
      <c r="AH511" s="4">
        <f t="shared" si="86"/>
        <v>0</v>
      </c>
      <c r="AI511" s="4">
        <v>-8.5</v>
      </c>
      <c r="AJ511" s="4">
        <f t="shared" si="88"/>
        <v>0.38200000000000001</v>
      </c>
      <c r="AT511">
        <v>510</v>
      </c>
      <c r="AU511">
        <v>54.53</v>
      </c>
      <c r="AV511">
        <f t="shared" si="87"/>
        <v>104.72</v>
      </c>
      <c r="AW511">
        <v>7.72</v>
      </c>
      <c r="AX511" s="1">
        <f t="shared" si="89"/>
        <v>99.626000000000005</v>
      </c>
      <c r="BH511">
        <v>510</v>
      </c>
      <c r="BI511">
        <v>98.16</v>
      </c>
      <c r="BJ511">
        <f t="shared" si="90"/>
        <v>0</v>
      </c>
      <c r="BK511">
        <v>-5.41</v>
      </c>
      <c r="BL511" s="1">
        <f t="shared" si="91"/>
        <v>140.61799999999999</v>
      </c>
      <c r="BT511">
        <v>510</v>
      </c>
      <c r="BU511">
        <v>124.58</v>
      </c>
      <c r="BV511">
        <f t="shared" si="92"/>
        <v>0</v>
      </c>
      <c r="BW511">
        <v>-12.36</v>
      </c>
      <c r="BX511">
        <f t="shared" si="93"/>
        <v>155.23599999999999</v>
      </c>
      <c r="BY511" t="s">
        <v>0</v>
      </c>
    </row>
    <row r="512" spans="17:77" x14ac:dyDescent="0.25">
      <c r="AF512">
        <v>511</v>
      </c>
      <c r="AG512" s="4">
        <v>71.790000000000006</v>
      </c>
      <c r="AH512" s="4">
        <f t="shared" si="86"/>
        <v>0</v>
      </c>
      <c r="AI512" s="4">
        <v>-7.72</v>
      </c>
      <c r="AJ512" s="4">
        <f t="shared" si="88"/>
        <v>1.1560000000000001</v>
      </c>
      <c r="AT512">
        <v>511</v>
      </c>
      <c r="AU512">
        <v>54.95</v>
      </c>
      <c r="AV512">
        <f t="shared" si="87"/>
        <v>105.5</v>
      </c>
      <c r="AW512">
        <v>8.5</v>
      </c>
      <c r="AX512" s="1">
        <f t="shared" si="89"/>
        <v>97.156000000000006</v>
      </c>
      <c r="BH512">
        <v>511</v>
      </c>
      <c r="BI512">
        <v>98.01</v>
      </c>
      <c r="BJ512">
        <f t="shared" si="90"/>
        <v>0</v>
      </c>
      <c r="BK512">
        <v>-3.09</v>
      </c>
      <c r="BL512" s="1">
        <f t="shared" si="91"/>
        <v>140.464</v>
      </c>
      <c r="BT512">
        <v>511</v>
      </c>
      <c r="BU512">
        <v>124.39</v>
      </c>
      <c r="BV512">
        <f t="shared" si="92"/>
        <v>0</v>
      </c>
      <c r="BW512">
        <v>-7.72</v>
      </c>
      <c r="BX512">
        <f t="shared" si="93"/>
        <v>155.85599999999999</v>
      </c>
      <c r="BY512" t="s">
        <v>0</v>
      </c>
    </row>
    <row r="513" spans="32:77" x14ac:dyDescent="0.25">
      <c r="AF513">
        <v>512</v>
      </c>
      <c r="AG513" s="4">
        <v>71.44</v>
      </c>
      <c r="AH513" s="4">
        <f t="shared" si="86"/>
        <v>0</v>
      </c>
      <c r="AI513" s="4">
        <v>-6.95</v>
      </c>
      <c r="AJ513" s="4">
        <f t="shared" si="88"/>
        <v>1.1539999999999999</v>
      </c>
      <c r="AT513">
        <v>512</v>
      </c>
      <c r="AU513">
        <v>54.95</v>
      </c>
      <c r="AV513">
        <f t="shared" si="87"/>
        <v>0</v>
      </c>
      <c r="AW513">
        <v>0</v>
      </c>
      <c r="AX513" s="1">
        <f t="shared" si="89"/>
        <v>95.3</v>
      </c>
      <c r="BH513">
        <v>512</v>
      </c>
      <c r="BI513">
        <v>98.94</v>
      </c>
      <c r="BJ513">
        <f t="shared" si="90"/>
        <v>158.54</v>
      </c>
      <c r="BK513">
        <v>18.54</v>
      </c>
      <c r="BL513" s="1">
        <f t="shared" si="91"/>
        <v>144.32599999999999</v>
      </c>
      <c r="BT513">
        <v>512</v>
      </c>
      <c r="BU513">
        <v>124.19</v>
      </c>
      <c r="BV513">
        <f t="shared" si="92"/>
        <v>0</v>
      </c>
      <c r="BW513">
        <v>-7.72</v>
      </c>
      <c r="BX513">
        <f t="shared" si="93"/>
        <v>154</v>
      </c>
      <c r="BY513" t="s">
        <v>0</v>
      </c>
    </row>
    <row r="514" spans="32:77" x14ac:dyDescent="0.25">
      <c r="AF514">
        <v>513</v>
      </c>
      <c r="AG514" s="4">
        <v>71.13</v>
      </c>
      <c r="AH514" s="4">
        <f t="shared" ref="AH514:AH577" si="95">IF(AI514&gt;0,AI514+AH$1,0)</f>
        <v>0</v>
      </c>
      <c r="AI514" s="4">
        <v>-6.18</v>
      </c>
      <c r="AJ514" s="4">
        <f t="shared" si="88"/>
        <v>1.1540000000000001</v>
      </c>
      <c r="AT514">
        <v>513</v>
      </c>
      <c r="AU514">
        <v>54.72</v>
      </c>
      <c r="AV514">
        <f t="shared" ref="AV514:AV564" si="96">IF(AW514&gt;0,AW514+AV$1,0)</f>
        <v>0</v>
      </c>
      <c r="AW514">
        <v>-4.63</v>
      </c>
      <c r="AX514" s="1">
        <f t="shared" si="89"/>
        <v>96.073999999999998</v>
      </c>
      <c r="BH514">
        <v>513</v>
      </c>
      <c r="BI514">
        <v>99.71</v>
      </c>
      <c r="BJ514">
        <f t="shared" si="90"/>
        <v>155.44999999999999</v>
      </c>
      <c r="BK514">
        <v>15.45</v>
      </c>
      <c r="BL514" s="1">
        <f t="shared" si="91"/>
        <v>139.38200000000001</v>
      </c>
      <c r="BT514">
        <v>513</v>
      </c>
      <c r="BU514">
        <v>124.04</v>
      </c>
      <c r="BV514">
        <f t="shared" si="92"/>
        <v>0</v>
      </c>
      <c r="BW514">
        <v>-6.18</v>
      </c>
      <c r="BX514">
        <f t="shared" si="93"/>
        <v>154.61600000000001</v>
      </c>
      <c r="BY514" t="s">
        <v>0</v>
      </c>
    </row>
    <row r="515" spans="32:77" x14ac:dyDescent="0.25">
      <c r="AF515">
        <v>514</v>
      </c>
      <c r="AG515" s="4">
        <v>70.75</v>
      </c>
      <c r="AH515" s="4">
        <f t="shared" si="95"/>
        <v>0</v>
      </c>
      <c r="AI515" s="4">
        <v>-7.72</v>
      </c>
      <c r="AJ515" s="4">
        <f t="shared" ref="AJ515:AJ578" si="97">(AI515-AI514)/5+AH$1</f>
        <v>0.69199999999999995</v>
      </c>
      <c r="AT515">
        <v>514</v>
      </c>
      <c r="AU515">
        <v>54.64</v>
      </c>
      <c r="AV515">
        <f t="shared" si="96"/>
        <v>0</v>
      </c>
      <c r="AW515">
        <v>-1.54</v>
      </c>
      <c r="AX515" s="1">
        <f t="shared" ref="AX515:AX564" si="98">(AW515-AW514)/5+AV$1</f>
        <v>97.617999999999995</v>
      </c>
      <c r="BH515">
        <v>514</v>
      </c>
      <c r="BI515">
        <v>99.67</v>
      </c>
      <c r="BJ515">
        <f t="shared" ref="BJ515:BJ578" si="99">IF(BK515&gt;0,BK515+BJ$1,0)</f>
        <v>0</v>
      </c>
      <c r="BK515">
        <v>-0.77</v>
      </c>
      <c r="BL515" s="1">
        <f t="shared" ref="BL515:BL578" si="100">(BK515-BK514)/5+BJ$1</f>
        <v>136.756</v>
      </c>
      <c r="BT515">
        <v>514</v>
      </c>
      <c r="BU515">
        <v>123.77</v>
      </c>
      <c r="BV515">
        <f t="shared" ref="BV515:BV578" si="101">IF(BW515&gt;0,BW515+BV$1,0)</f>
        <v>0</v>
      </c>
      <c r="BW515">
        <v>-10.81</v>
      </c>
      <c r="BX515">
        <f t="shared" si="93"/>
        <v>152.148</v>
      </c>
      <c r="BY515" t="s">
        <v>0</v>
      </c>
    </row>
    <row r="516" spans="32:77" x14ac:dyDescent="0.25">
      <c r="AF516">
        <v>515</v>
      </c>
      <c r="AG516" s="4">
        <v>70.44</v>
      </c>
      <c r="AH516" s="4">
        <f t="shared" si="95"/>
        <v>0</v>
      </c>
      <c r="AI516" s="4">
        <v>-6.18</v>
      </c>
      <c r="AJ516" s="4">
        <f t="shared" si="97"/>
        <v>1.3080000000000001</v>
      </c>
      <c r="AT516">
        <v>515</v>
      </c>
      <c r="AU516">
        <v>54.37</v>
      </c>
      <c r="AV516">
        <f t="shared" si="96"/>
        <v>0</v>
      </c>
      <c r="AW516">
        <v>-5.41</v>
      </c>
      <c r="AX516" s="1">
        <f t="shared" si="98"/>
        <v>96.225999999999999</v>
      </c>
      <c r="BH516">
        <v>515</v>
      </c>
      <c r="BI516">
        <v>99.32</v>
      </c>
      <c r="BJ516">
        <f t="shared" si="99"/>
        <v>0</v>
      </c>
      <c r="BK516">
        <v>-6.95</v>
      </c>
      <c r="BL516" s="1">
        <f t="shared" si="100"/>
        <v>138.76400000000001</v>
      </c>
      <c r="BT516">
        <v>515</v>
      </c>
      <c r="BU516">
        <v>123.65</v>
      </c>
      <c r="BV516">
        <f t="shared" si="101"/>
        <v>0</v>
      </c>
      <c r="BW516">
        <v>-4.63</v>
      </c>
      <c r="BX516">
        <f t="shared" ref="BX516:BX579" si="102">BV$1+(BW516-BW515)/2.5</f>
        <v>156.47200000000001</v>
      </c>
      <c r="BY516" t="s">
        <v>0</v>
      </c>
    </row>
    <row r="517" spans="32:77" x14ac:dyDescent="0.25">
      <c r="AF517">
        <v>516</v>
      </c>
      <c r="AG517" s="4">
        <v>70.05</v>
      </c>
      <c r="AH517" s="4">
        <f t="shared" si="95"/>
        <v>0</v>
      </c>
      <c r="AI517" s="4">
        <v>-7.72</v>
      </c>
      <c r="AJ517" s="4">
        <f t="shared" si="97"/>
        <v>0.69199999999999995</v>
      </c>
      <c r="AT517">
        <v>516</v>
      </c>
      <c r="AU517">
        <v>54.14</v>
      </c>
      <c r="AV517">
        <f t="shared" si="96"/>
        <v>0</v>
      </c>
      <c r="AW517">
        <v>-4.63</v>
      </c>
      <c r="AX517" s="1">
        <f t="shared" si="98"/>
        <v>97.156000000000006</v>
      </c>
      <c r="BH517">
        <v>516</v>
      </c>
      <c r="BI517">
        <v>98.7</v>
      </c>
      <c r="BJ517">
        <f t="shared" si="99"/>
        <v>0</v>
      </c>
      <c r="BK517">
        <v>-12.36</v>
      </c>
      <c r="BL517" s="1">
        <f t="shared" si="100"/>
        <v>138.91800000000001</v>
      </c>
      <c r="BT517">
        <v>516</v>
      </c>
      <c r="BU517">
        <v>123.57</v>
      </c>
      <c r="BV517">
        <f t="shared" si="101"/>
        <v>0</v>
      </c>
      <c r="BW517">
        <v>-3.09</v>
      </c>
      <c r="BX517">
        <f t="shared" si="102"/>
        <v>154.61600000000001</v>
      </c>
      <c r="BY517" t="s">
        <v>0</v>
      </c>
    </row>
    <row r="518" spans="32:77" x14ac:dyDescent="0.25">
      <c r="AF518">
        <v>517</v>
      </c>
      <c r="AG518" s="4">
        <v>69.739999999999995</v>
      </c>
      <c r="AH518" s="4">
        <f t="shared" si="95"/>
        <v>0</v>
      </c>
      <c r="AI518" s="4">
        <v>-6.18</v>
      </c>
      <c r="AJ518" s="4">
        <f t="shared" si="97"/>
        <v>1.3080000000000001</v>
      </c>
      <c r="AT518">
        <v>517</v>
      </c>
      <c r="AU518">
        <v>53.99</v>
      </c>
      <c r="AV518">
        <f t="shared" si="96"/>
        <v>0</v>
      </c>
      <c r="AW518">
        <v>-3.09</v>
      </c>
      <c r="AX518" s="1">
        <f t="shared" si="98"/>
        <v>97.308000000000007</v>
      </c>
      <c r="BH518">
        <v>517</v>
      </c>
      <c r="BI518">
        <v>98.28</v>
      </c>
      <c r="BJ518">
        <f t="shared" si="99"/>
        <v>0</v>
      </c>
      <c r="BK518">
        <v>-8.5</v>
      </c>
      <c r="BL518" s="1">
        <f t="shared" si="100"/>
        <v>140.77199999999999</v>
      </c>
      <c r="BT518">
        <v>517</v>
      </c>
      <c r="BU518">
        <v>123.73</v>
      </c>
      <c r="BV518">
        <f t="shared" si="101"/>
        <v>160.18</v>
      </c>
      <c r="BW518">
        <v>6.18</v>
      </c>
      <c r="BX518">
        <f t="shared" si="102"/>
        <v>157.708</v>
      </c>
      <c r="BY518" t="s">
        <v>0</v>
      </c>
    </row>
    <row r="519" spans="32:77" x14ac:dyDescent="0.25">
      <c r="AF519">
        <v>518</v>
      </c>
      <c r="AG519" s="4">
        <v>69.39</v>
      </c>
      <c r="AH519" s="4">
        <f t="shared" si="95"/>
        <v>0</v>
      </c>
      <c r="AI519" s="4">
        <v>-6.95</v>
      </c>
      <c r="AJ519" s="4">
        <f t="shared" si="97"/>
        <v>0.84599999999999986</v>
      </c>
      <c r="AT519">
        <v>518</v>
      </c>
      <c r="AU519">
        <v>53.83</v>
      </c>
      <c r="AV519">
        <f t="shared" si="96"/>
        <v>0</v>
      </c>
      <c r="AW519">
        <v>-3.09</v>
      </c>
      <c r="AX519" s="1">
        <f t="shared" si="98"/>
        <v>97</v>
      </c>
      <c r="BH519">
        <v>518</v>
      </c>
      <c r="BI519">
        <v>97.93</v>
      </c>
      <c r="BJ519">
        <f t="shared" si="99"/>
        <v>0</v>
      </c>
      <c r="BK519">
        <v>-6.95</v>
      </c>
      <c r="BL519" s="1">
        <f t="shared" si="100"/>
        <v>140.31</v>
      </c>
      <c r="BT519">
        <v>518</v>
      </c>
      <c r="BU519">
        <v>124.5</v>
      </c>
      <c r="BV519">
        <f t="shared" si="101"/>
        <v>184.89</v>
      </c>
      <c r="BW519">
        <v>30.89</v>
      </c>
      <c r="BX519">
        <f t="shared" si="102"/>
        <v>163.88400000000001</v>
      </c>
      <c r="BY519" t="s">
        <v>0</v>
      </c>
    </row>
    <row r="520" spans="32:77" x14ac:dyDescent="0.25">
      <c r="AF520">
        <v>519</v>
      </c>
      <c r="AG520" s="6">
        <v>69.09</v>
      </c>
      <c r="AH520" s="4">
        <f t="shared" si="95"/>
        <v>0</v>
      </c>
      <c r="AI520" s="4">
        <v>-6.18</v>
      </c>
      <c r="AJ520" s="4">
        <f t="shared" si="97"/>
        <v>1.1540000000000001</v>
      </c>
      <c r="AT520">
        <v>519</v>
      </c>
      <c r="AU520">
        <v>53.52</v>
      </c>
      <c r="AV520">
        <f t="shared" si="96"/>
        <v>0</v>
      </c>
      <c r="AW520">
        <v>-6.18</v>
      </c>
      <c r="AX520" s="1">
        <f t="shared" si="98"/>
        <v>96.382000000000005</v>
      </c>
      <c r="BH520">
        <v>519</v>
      </c>
      <c r="BI520">
        <v>97.47</v>
      </c>
      <c r="BJ520">
        <f t="shared" si="99"/>
        <v>0</v>
      </c>
      <c r="BK520">
        <v>-9.27</v>
      </c>
      <c r="BL520" s="1">
        <f t="shared" si="100"/>
        <v>139.536</v>
      </c>
      <c r="BT520">
        <v>519</v>
      </c>
      <c r="BU520">
        <v>125.5</v>
      </c>
      <c r="BV520">
        <f t="shared" si="101"/>
        <v>194.16</v>
      </c>
      <c r="BW520">
        <v>40.159999999999997</v>
      </c>
      <c r="BX520">
        <f t="shared" si="102"/>
        <v>157.708</v>
      </c>
      <c r="BY520" t="s">
        <v>0</v>
      </c>
    </row>
    <row r="521" spans="32:77" x14ac:dyDescent="0.25">
      <c r="AF521">
        <v>520</v>
      </c>
      <c r="AG521" s="6">
        <v>69.97</v>
      </c>
      <c r="AH521" s="4">
        <f t="shared" si="95"/>
        <v>18.760000000000002</v>
      </c>
      <c r="AI521" s="4">
        <v>17.760000000000002</v>
      </c>
      <c r="AJ521" s="4">
        <f t="shared" si="97"/>
        <v>5.7880000000000003</v>
      </c>
      <c r="AT521">
        <v>520</v>
      </c>
      <c r="AU521">
        <v>53.37</v>
      </c>
      <c r="AV521">
        <f t="shared" si="96"/>
        <v>0</v>
      </c>
      <c r="AW521">
        <v>-3.09</v>
      </c>
      <c r="AX521" s="1">
        <f t="shared" si="98"/>
        <v>97.617999999999995</v>
      </c>
      <c r="BH521">
        <v>520</v>
      </c>
      <c r="BI521">
        <v>96.93</v>
      </c>
      <c r="BJ521">
        <f t="shared" si="99"/>
        <v>0</v>
      </c>
      <c r="BK521">
        <v>-10.81</v>
      </c>
      <c r="BL521" s="1">
        <f t="shared" si="100"/>
        <v>139.69200000000001</v>
      </c>
      <c r="BT521">
        <v>520</v>
      </c>
      <c r="BU521">
        <v>125.74</v>
      </c>
      <c r="BV521">
        <f t="shared" si="101"/>
        <v>163.27000000000001</v>
      </c>
      <c r="BW521">
        <v>9.27</v>
      </c>
      <c r="BX521">
        <f t="shared" si="102"/>
        <v>141.64400000000001</v>
      </c>
      <c r="BY521" t="s">
        <v>0</v>
      </c>
    </row>
    <row r="522" spans="32:77" x14ac:dyDescent="0.25">
      <c r="AF522">
        <v>521</v>
      </c>
      <c r="AG522" s="6">
        <v>70.209999999999994</v>
      </c>
      <c r="AH522" s="4">
        <f t="shared" si="95"/>
        <v>5.63</v>
      </c>
      <c r="AI522" s="4">
        <v>4.63</v>
      </c>
      <c r="AJ522" s="4">
        <f t="shared" si="97"/>
        <v>-1.6260000000000003</v>
      </c>
      <c r="AT522">
        <v>521</v>
      </c>
      <c r="AU522">
        <v>53.14</v>
      </c>
      <c r="AV522">
        <f t="shared" si="96"/>
        <v>0</v>
      </c>
      <c r="AW522">
        <v>-4.63</v>
      </c>
      <c r="AX522" s="1">
        <f t="shared" si="98"/>
        <v>96.691999999999993</v>
      </c>
      <c r="BH522">
        <v>521</v>
      </c>
      <c r="BI522">
        <v>96.47</v>
      </c>
      <c r="BJ522">
        <f t="shared" si="99"/>
        <v>0</v>
      </c>
      <c r="BK522">
        <v>-9.27</v>
      </c>
      <c r="BL522" s="1">
        <f t="shared" si="100"/>
        <v>140.30799999999999</v>
      </c>
      <c r="BT522">
        <v>521</v>
      </c>
      <c r="BU522">
        <v>125.7</v>
      </c>
      <c r="BV522">
        <f t="shared" si="101"/>
        <v>0</v>
      </c>
      <c r="BW522">
        <v>-1.54</v>
      </c>
      <c r="BX522">
        <f t="shared" si="102"/>
        <v>149.67599999999999</v>
      </c>
      <c r="BY522" t="s">
        <v>0</v>
      </c>
    </row>
    <row r="523" spans="32:77" x14ac:dyDescent="0.25">
      <c r="AF523">
        <v>522</v>
      </c>
      <c r="AG523" s="4">
        <v>70.17</v>
      </c>
      <c r="AH523" s="4">
        <f t="shared" si="95"/>
        <v>0</v>
      </c>
      <c r="AI523" s="4">
        <v>-0.77</v>
      </c>
      <c r="AJ523" s="4">
        <f t="shared" si="97"/>
        <v>-8.0000000000000071E-2</v>
      </c>
      <c r="AT523">
        <v>522</v>
      </c>
      <c r="AU523">
        <v>52.91</v>
      </c>
      <c r="AV523">
        <f t="shared" si="96"/>
        <v>0</v>
      </c>
      <c r="AW523">
        <v>-4.63</v>
      </c>
      <c r="AX523" s="1">
        <f t="shared" si="98"/>
        <v>97</v>
      </c>
      <c r="BH523">
        <v>522</v>
      </c>
      <c r="BI523">
        <v>95.96</v>
      </c>
      <c r="BJ523">
        <f t="shared" si="99"/>
        <v>0</v>
      </c>
      <c r="BK523">
        <v>-10.039999999999999</v>
      </c>
      <c r="BL523" s="1">
        <f t="shared" si="100"/>
        <v>139.846</v>
      </c>
      <c r="BT523">
        <v>522</v>
      </c>
      <c r="BU523">
        <v>125.43</v>
      </c>
      <c r="BV523">
        <f t="shared" si="101"/>
        <v>0</v>
      </c>
      <c r="BW523">
        <v>-10.81</v>
      </c>
      <c r="BX523">
        <f t="shared" si="102"/>
        <v>150.292</v>
      </c>
      <c r="BY523" t="s">
        <v>0</v>
      </c>
    </row>
    <row r="524" spans="32:77" x14ac:dyDescent="0.25">
      <c r="AF524">
        <v>523</v>
      </c>
      <c r="AG524" s="4">
        <v>70.010000000000005</v>
      </c>
      <c r="AH524" s="4">
        <f t="shared" si="95"/>
        <v>0</v>
      </c>
      <c r="AI524" s="4">
        <v>-3.09</v>
      </c>
      <c r="AJ524" s="4">
        <f t="shared" si="97"/>
        <v>0.53600000000000003</v>
      </c>
      <c r="AT524">
        <v>523</v>
      </c>
      <c r="AU524">
        <v>52.75</v>
      </c>
      <c r="AV524">
        <f t="shared" si="96"/>
        <v>0</v>
      </c>
      <c r="AW524">
        <v>-3.09</v>
      </c>
      <c r="AX524" s="1">
        <f t="shared" si="98"/>
        <v>97.308000000000007</v>
      </c>
      <c r="BH524">
        <v>523</v>
      </c>
      <c r="BI524">
        <v>95.69</v>
      </c>
      <c r="BJ524">
        <f t="shared" si="99"/>
        <v>0</v>
      </c>
      <c r="BK524">
        <v>-5.41</v>
      </c>
      <c r="BL524" s="1">
        <f t="shared" si="100"/>
        <v>140.92599999999999</v>
      </c>
      <c r="BT524">
        <v>523</v>
      </c>
      <c r="BU524">
        <v>125.04</v>
      </c>
      <c r="BV524">
        <f t="shared" si="101"/>
        <v>0</v>
      </c>
      <c r="BW524">
        <v>-15.45</v>
      </c>
      <c r="BX524">
        <f t="shared" si="102"/>
        <v>152.14400000000001</v>
      </c>
      <c r="BY524" t="s">
        <v>0</v>
      </c>
    </row>
    <row r="525" spans="32:77" x14ac:dyDescent="0.25">
      <c r="AF525">
        <v>524</v>
      </c>
      <c r="AG525" s="4">
        <v>69.66</v>
      </c>
      <c r="AH525" s="4">
        <f t="shared" si="95"/>
        <v>0</v>
      </c>
      <c r="AI525" s="4">
        <v>-6.95</v>
      </c>
      <c r="AJ525" s="4">
        <f t="shared" si="97"/>
        <v>0.22799999999999998</v>
      </c>
      <c r="AT525">
        <v>524</v>
      </c>
      <c r="AU525">
        <v>52.56</v>
      </c>
      <c r="AV525">
        <f t="shared" si="96"/>
        <v>0</v>
      </c>
      <c r="AW525">
        <v>-3.86</v>
      </c>
      <c r="AX525" s="1">
        <f t="shared" si="98"/>
        <v>96.846000000000004</v>
      </c>
      <c r="BH525">
        <v>524</v>
      </c>
      <c r="BI525">
        <v>95.96</v>
      </c>
      <c r="BJ525">
        <f t="shared" si="99"/>
        <v>145.41</v>
      </c>
      <c r="BK525">
        <v>5.41</v>
      </c>
      <c r="BL525" s="1">
        <f t="shared" si="100"/>
        <v>142.16399999999999</v>
      </c>
      <c r="BT525">
        <v>524</v>
      </c>
      <c r="BU525">
        <v>124.62</v>
      </c>
      <c r="BV525">
        <f t="shared" si="101"/>
        <v>0</v>
      </c>
      <c r="BW525">
        <v>-16.989999999999998</v>
      </c>
      <c r="BX525">
        <f t="shared" si="102"/>
        <v>153.38400000000001</v>
      </c>
      <c r="BY525" t="s">
        <v>0</v>
      </c>
    </row>
    <row r="526" spans="32:77" x14ac:dyDescent="0.25">
      <c r="AF526">
        <v>525</v>
      </c>
      <c r="AG526" s="4">
        <v>69.319999999999993</v>
      </c>
      <c r="AH526" s="4">
        <f t="shared" si="95"/>
        <v>0</v>
      </c>
      <c r="AI526" s="4">
        <v>-6.95</v>
      </c>
      <c r="AJ526" s="4">
        <f t="shared" si="97"/>
        <v>1</v>
      </c>
      <c r="AT526">
        <v>525</v>
      </c>
      <c r="AU526">
        <v>52.25</v>
      </c>
      <c r="AV526">
        <f t="shared" si="96"/>
        <v>0</v>
      </c>
      <c r="AW526">
        <v>-6.18</v>
      </c>
      <c r="AX526" s="1">
        <f t="shared" si="98"/>
        <v>96.536000000000001</v>
      </c>
      <c r="BH526">
        <v>525</v>
      </c>
      <c r="BI526">
        <v>97.16</v>
      </c>
      <c r="BJ526">
        <f t="shared" si="99"/>
        <v>163.94</v>
      </c>
      <c r="BK526">
        <v>23.94</v>
      </c>
      <c r="BL526" s="1">
        <f t="shared" si="100"/>
        <v>143.70599999999999</v>
      </c>
      <c r="BT526">
        <v>525</v>
      </c>
      <c r="BU526">
        <v>124.23</v>
      </c>
      <c r="BV526">
        <f t="shared" si="101"/>
        <v>0</v>
      </c>
      <c r="BW526">
        <v>-15.45</v>
      </c>
      <c r="BX526">
        <f t="shared" si="102"/>
        <v>154.61599999999999</v>
      </c>
      <c r="BY526" t="s">
        <v>0</v>
      </c>
    </row>
    <row r="527" spans="32:77" x14ac:dyDescent="0.25">
      <c r="AF527">
        <v>526</v>
      </c>
      <c r="AG527" s="4">
        <v>69.09</v>
      </c>
      <c r="AH527" s="4">
        <f t="shared" si="95"/>
        <v>0</v>
      </c>
      <c r="AI527" s="4">
        <v>-4.63</v>
      </c>
      <c r="AJ527" s="4">
        <f t="shared" si="97"/>
        <v>1.464</v>
      </c>
      <c r="AT527">
        <v>526</v>
      </c>
      <c r="AU527">
        <v>48.7</v>
      </c>
      <c r="AV527">
        <f t="shared" si="96"/>
        <v>0</v>
      </c>
      <c r="AW527">
        <v>-71.06</v>
      </c>
      <c r="AX527" s="1">
        <f t="shared" si="98"/>
        <v>84.024000000000001</v>
      </c>
      <c r="BH527">
        <v>526</v>
      </c>
      <c r="BI527">
        <v>97.58</v>
      </c>
      <c r="BJ527">
        <f t="shared" si="99"/>
        <v>148.5</v>
      </c>
      <c r="BK527">
        <v>8.5</v>
      </c>
      <c r="BL527" s="1">
        <f t="shared" si="100"/>
        <v>136.91200000000001</v>
      </c>
      <c r="BT527">
        <v>526</v>
      </c>
      <c r="BU527">
        <v>123.77</v>
      </c>
      <c r="BV527">
        <f t="shared" si="101"/>
        <v>0</v>
      </c>
      <c r="BW527">
        <v>-18.54</v>
      </c>
      <c r="BX527">
        <f t="shared" si="102"/>
        <v>152.76400000000001</v>
      </c>
      <c r="BY527" t="s">
        <v>0</v>
      </c>
    </row>
    <row r="528" spans="32:77" x14ac:dyDescent="0.25">
      <c r="AF528">
        <v>527</v>
      </c>
      <c r="AG528" s="4">
        <v>68.819999999999993</v>
      </c>
      <c r="AH528" s="4">
        <f t="shared" si="95"/>
        <v>0</v>
      </c>
      <c r="AI528" s="4">
        <v>-5.41</v>
      </c>
      <c r="AJ528" s="4">
        <f t="shared" si="97"/>
        <v>0.84399999999999997</v>
      </c>
      <c r="AT528">
        <v>527</v>
      </c>
      <c r="AU528">
        <v>41.78</v>
      </c>
      <c r="AV528">
        <f t="shared" si="96"/>
        <v>0</v>
      </c>
      <c r="AW528">
        <v>-138.25</v>
      </c>
      <c r="AX528" s="1">
        <f t="shared" si="98"/>
        <v>83.561999999999998</v>
      </c>
      <c r="BH528">
        <v>527</v>
      </c>
      <c r="BI528">
        <v>97.47</v>
      </c>
      <c r="BJ528">
        <f t="shared" si="99"/>
        <v>0</v>
      </c>
      <c r="BK528">
        <v>-2.3199999999999998</v>
      </c>
      <c r="BL528" s="1">
        <f t="shared" si="100"/>
        <v>137.83600000000001</v>
      </c>
      <c r="BT528">
        <v>527</v>
      </c>
      <c r="BU528">
        <v>123.54</v>
      </c>
      <c r="BV528">
        <f t="shared" si="101"/>
        <v>0</v>
      </c>
      <c r="BW528">
        <v>-9.27</v>
      </c>
      <c r="BX528">
        <f t="shared" si="102"/>
        <v>157.708</v>
      </c>
      <c r="BY528" t="s">
        <v>0</v>
      </c>
    </row>
    <row r="529" spans="32:77" x14ac:dyDescent="0.25">
      <c r="AF529">
        <v>528</v>
      </c>
      <c r="AG529" s="4">
        <v>68.540000000000006</v>
      </c>
      <c r="AH529" s="4">
        <f t="shared" si="95"/>
        <v>0</v>
      </c>
      <c r="AI529" s="4">
        <v>-5.41</v>
      </c>
      <c r="AJ529" s="4">
        <f t="shared" si="97"/>
        <v>1</v>
      </c>
      <c r="AT529">
        <v>528</v>
      </c>
      <c r="AU529">
        <v>37.11</v>
      </c>
      <c r="AV529">
        <f t="shared" si="96"/>
        <v>0</v>
      </c>
      <c r="AW529">
        <v>-93.45</v>
      </c>
      <c r="AX529" s="1">
        <f t="shared" si="98"/>
        <v>105.96</v>
      </c>
      <c r="BH529">
        <v>528</v>
      </c>
      <c r="BI529">
        <v>96.93</v>
      </c>
      <c r="BJ529">
        <f t="shared" si="99"/>
        <v>0</v>
      </c>
      <c r="BK529">
        <v>-10.81</v>
      </c>
      <c r="BL529" s="1">
        <f t="shared" si="100"/>
        <v>138.30199999999999</v>
      </c>
      <c r="BT529">
        <v>528</v>
      </c>
      <c r="BU529">
        <v>123.07</v>
      </c>
      <c r="BV529">
        <f t="shared" si="101"/>
        <v>0</v>
      </c>
      <c r="BW529">
        <v>-18.54</v>
      </c>
      <c r="BX529">
        <f t="shared" si="102"/>
        <v>150.292</v>
      </c>
      <c r="BY529" t="s">
        <v>0</v>
      </c>
    </row>
    <row r="530" spans="32:77" x14ac:dyDescent="0.25">
      <c r="AF530">
        <v>529</v>
      </c>
      <c r="AG530" s="4">
        <v>68.239999999999995</v>
      </c>
      <c r="AH530" s="4">
        <f t="shared" si="95"/>
        <v>0</v>
      </c>
      <c r="AI530" s="4">
        <v>-6.18</v>
      </c>
      <c r="AJ530" s="4">
        <f t="shared" si="97"/>
        <v>0.84600000000000009</v>
      </c>
      <c r="AT530">
        <v>529</v>
      </c>
      <c r="AU530">
        <v>33.25</v>
      </c>
      <c r="AV530">
        <f t="shared" si="96"/>
        <v>0</v>
      </c>
      <c r="AW530">
        <v>-77.23</v>
      </c>
      <c r="AX530" s="1">
        <f t="shared" si="98"/>
        <v>100.244</v>
      </c>
      <c r="BH530">
        <v>529</v>
      </c>
      <c r="BI530">
        <v>96.47</v>
      </c>
      <c r="BJ530">
        <f t="shared" si="99"/>
        <v>0</v>
      </c>
      <c r="BK530">
        <v>-9.27</v>
      </c>
      <c r="BL530" s="1">
        <f t="shared" si="100"/>
        <v>140.30799999999999</v>
      </c>
      <c r="BT530">
        <v>529</v>
      </c>
      <c r="BU530">
        <v>122.8</v>
      </c>
      <c r="BV530">
        <f t="shared" si="101"/>
        <v>0</v>
      </c>
      <c r="BW530">
        <v>-10.81</v>
      </c>
      <c r="BX530">
        <f t="shared" si="102"/>
        <v>157.09200000000001</v>
      </c>
      <c r="BY530" t="s">
        <v>0</v>
      </c>
    </row>
    <row r="531" spans="32:77" x14ac:dyDescent="0.25">
      <c r="AF531">
        <v>530</v>
      </c>
      <c r="AG531" s="4">
        <v>67.849999999999994</v>
      </c>
      <c r="AH531" s="4">
        <f t="shared" si="95"/>
        <v>0</v>
      </c>
      <c r="AI531" s="4">
        <v>-7.72</v>
      </c>
      <c r="AJ531" s="4">
        <f t="shared" si="97"/>
        <v>0.69199999999999995</v>
      </c>
      <c r="AT531">
        <v>530</v>
      </c>
      <c r="AU531">
        <v>29.93</v>
      </c>
      <c r="AV531">
        <f t="shared" si="96"/>
        <v>0</v>
      </c>
      <c r="AW531">
        <v>-66.42</v>
      </c>
      <c r="AX531" s="1">
        <f t="shared" si="98"/>
        <v>99.162000000000006</v>
      </c>
      <c r="BH531">
        <v>530</v>
      </c>
      <c r="BI531">
        <v>96.08</v>
      </c>
      <c r="BJ531">
        <f t="shared" si="99"/>
        <v>0</v>
      </c>
      <c r="BK531">
        <v>-7.72</v>
      </c>
      <c r="BL531" s="1">
        <f t="shared" si="100"/>
        <v>140.31</v>
      </c>
      <c r="BT531">
        <v>530</v>
      </c>
      <c r="BU531">
        <v>122.38</v>
      </c>
      <c r="BV531">
        <f t="shared" si="101"/>
        <v>0</v>
      </c>
      <c r="BW531">
        <v>-16.989999999999998</v>
      </c>
      <c r="BX531">
        <f t="shared" si="102"/>
        <v>151.52799999999999</v>
      </c>
      <c r="BY531" t="s">
        <v>0</v>
      </c>
    </row>
    <row r="532" spans="32:77" x14ac:dyDescent="0.25">
      <c r="AF532">
        <v>531</v>
      </c>
      <c r="AG532" s="4">
        <v>67.540000000000006</v>
      </c>
      <c r="AH532" s="4">
        <f t="shared" si="95"/>
        <v>0</v>
      </c>
      <c r="AI532" s="4">
        <v>-6.18</v>
      </c>
      <c r="AJ532" s="4">
        <f t="shared" si="97"/>
        <v>1.3080000000000001</v>
      </c>
      <c r="AT532">
        <v>531</v>
      </c>
      <c r="AU532">
        <v>27.15</v>
      </c>
      <c r="AV532">
        <f t="shared" si="96"/>
        <v>0</v>
      </c>
      <c r="AW532">
        <v>-55.61</v>
      </c>
      <c r="AX532" s="1">
        <f t="shared" si="98"/>
        <v>99.162000000000006</v>
      </c>
      <c r="BH532">
        <v>531</v>
      </c>
      <c r="BI532">
        <v>95.69</v>
      </c>
      <c r="BJ532">
        <f t="shared" si="99"/>
        <v>0</v>
      </c>
      <c r="BK532">
        <v>-7.72</v>
      </c>
      <c r="BL532" s="1">
        <f t="shared" si="100"/>
        <v>140</v>
      </c>
      <c r="BT532">
        <v>531</v>
      </c>
      <c r="BU532">
        <v>122.15</v>
      </c>
      <c r="BV532">
        <f t="shared" si="101"/>
        <v>0</v>
      </c>
      <c r="BW532">
        <v>-9.27</v>
      </c>
      <c r="BX532">
        <f t="shared" si="102"/>
        <v>157.08799999999999</v>
      </c>
      <c r="BY532" t="s">
        <v>0</v>
      </c>
    </row>
    <row r="533" spans="32:77" x14ac:dyDescent="0.25">
      <c r="AF533">
        <v>532</v>
      </c>
      <c r="AG533" s="4">
        <v>67.23</v>
      </c>
      <c r="AH533" s="4">
        <f t="shared" si="95"/>
        <v>0</v>
      </c>
      <c r="AI533" s="4">
        <v>-6.18</v>
      </c>
      <c r="AJ533" s="4">
        <f t="shared" si="97"/>
        <v>1</v>
      </c>
      <c r="AT533">
        <v>532</v>
      </c>
      <c r="AU533">
        <v>24.91</v>
      </c>
      <c r="AV533">
        <f t="shared" si="96"/>
        <v>0</v>
      </c>
      <c r="AW533">
        <v>-44.8</v>
      </c>
      <c r="AX533" s="1">
        <f t="shared" si="98"/>
        <v>99.162000000000006</v>
      </c>
      <c r="BH533">
        <v>532</v>
      </c>
      <c r="BI533">
        <v>95.31</v>
      </c>
      <c r="BJ533">
        <f t="shared" si="99"/>
        <v>0</v>
      </c>
      <c r="BK533">
        <v>-7.72</v>
      </c>
      <c r="BL533" s="1">
        <f t="shared" si="100"/>
        <v>140</v>
      </c>
      <c r="BT533">
        <v>532</v>
      </c>
      <c r="BU533">
        <v>121.87</v>
      </c>
      <c r="BV533">
        <f t="shared" si="101"/>
        <v>0</v>
      </c>
      <c r="BW533">
        <v>-10.81</v>
      </c>
      <c r="BX533">
        <f t="shared" si="102"/>
        <v>153.38399999999999</v>
      </c>
      <c r="BY533" t="s">
        <v>0</v>
      </c>
    </row>
    <row r="534" spans="32:77" x14ac:dyDescent="0.25">
      <c r="AF534">
        <v>533</v>
      </c>
      <c r="AG534" s="4">
        <v>66.849999999999994</v>
      </c>
      <c r="AH534" s="4">
        <f t="shared" si="95"/>
        <v>0</v>
      </c>
      <c r="AI534" s="4">
        <v>-7.72</v>
      </c>
      <c r="AJ534" s="4">
        <f t="shared" si="97"/>
        <v>0.69199999999999995</v>
      </c>
      <c r="AT534">
        <v>533</v>
      </c>
      <c r="AU534">
        <v>22.94</v>
      </c>
      <c r="AV534">
        <f t="shared" si="96"/>
        <v>0</v>
      </c>
      <c r="AW534">
        <v>-39.39</v>
      </c>
      <c r="AX534" s="1">
        <f t="shared" si="98"/>
        <v>98.081999999999994</v>
      </c>
      <c r="BH534">
        <v>533</v>
      </c>
      <c r="BI534">
        <v>94.84</v>
      </c>
      <c r="BJ534">
        <f t="shared" si="99"/>
        <v>0</v>
      </c>
      <c r="BK534">
        <v>-9.27</v>
      </c>
      <c r="BL534" s="1">
        <f t="shared" si="100"/>
        <v>139.69</v>
      </c>
      <c r="BT534">
        <v>533</v>
      </c>
      <c r="BU534">
        <v>121.72</v>
      </c>
      <c r="BV534">
        <f t="shared" si="101"/>
        <v>0</v>
      </c>
      <c r="BW534">
        <v>-6.18</v>
      </c>
      <c r="BX534">
        <f t="shared" si="102"/>
        <v>155.852</v>
      </c>
      <c r="BY534" t="s">
        <v>0</v>
      </c>
    </row>
    <row r="535" spans="32:77" x14ac:dyDescent="0.25">
      <c r="AF535">
        <v>534</v>
      </c>
      <c r="AG535" s="5">
        <v>66.77</v>
      </c>
      <c r="AH535" s="4">
        <f t="shared" si="95"/>
        <v>0</v>
      </c>
      <c r="AI535" s="4">
        <v>-1.54</v>
      </c>
      <c r="AJ535" s="4">
        <f t="shared" si="97"/>
        <v>2.2359999999999998</v>
      </c>
      <c r="AT535">
        <v>534</v>
      </c>
      <c r="AU535">
        <v>21.05</v>
      </c>
      <c r="AV535">
        <f t="shared" si="96"/>
        <v>0</v>
      </c>
      <c r="AW535">
        <v>-37.840000000000003</v>
      </c>
      <c r="AX535" s="1">
        <f t="shared" si="98"/>
        <v>97.31</v>
      </c>
      <c r="BH535">
        <v>534</v>
      </c>
      <c r="BI535">
        <v>94.3</v>
      </c>
      <c r="BJ535">
        <f t="shared" si="99"/>
        <v>0</v>
      </c>
      <c r="BK535">
        <v>-10.81</v>
      </c>
      <c r="BL535" s="1">
        <f t="shared" si="100"/>
        <v>139.69200000000001</v>
      </c>
      <c r="BT535">
        <v>534</v>
      </c>
      <c r="BU535">
        <v>121.53</v>
      </c>
      <c r="BV535">
        <f t="shared" si="101"/>
        <v>0</v>
      </c>
      <c r="BW535">
        <v>-7.72</v>
      </c>
      <c r="BX535">
        <f t="shared" si="102"/>
        <v>153.38399999999999</v>
      </c>
      <c r="BY535" t="s">
        <v>0</v>
      </c>
    </row>
    <row r="536" spans="32:77" x14ac:dyDescent="0.25">
      <c r="AF536">
        <v>535</v>
      </c>
      <c r="AG536" s="5">
        <v>67.58</v>
      </c>
      <c r="AH536" s="4">
        <f t="shared" si="95"/>
        <v>17.22</v>
      </c>
      <c r="AI536" s="4">
        <v>16.22</v>
      </c>
      <c r="AJ536" s="4">
        <f t="shared" si="97"/>
        <v>4.5519999999999996</v>
      </c>
      <c r="AT536">
        <v>535</v>
      </c>
      <c r="AU536">
        <v>19.420000000000002</v>
      </c>
      <c r="AV536">
        <f t="shared" si="96"/>
        <v>0</v>
      </c>
      <c r="AW536">
        <v>-32.44</v>
      </c>
      <c r="AX536" s="1">
        <f t="shared" si="98"/>
        <v>98.08</v>
      </c>
      <c r="BH536">
        <v>535</v>
      </c>
      <c r="BI536">
        <v>93.84</v>
      </c>
      <c r="BJ536">
        <f t="shared" si="99"/>
        <v>0</v>
      </c>
      <c r="BK536">
        <v>-9.27</v>
      </c>
      <c r="BL536" s="1">
        <f t="shared" si="100"/>
        <v>140.30799999999999</v>
      </c>
      <c r="BT536">
        <v>535</v>
      </c>
      <c r="BU536">
        <v>121.41</v>
      </c>
      <c r="BV536">
        <f t="shared" si="101"/>
        <v>0</v>
      </c>
      <c r="BW536">
        <v>-4.63</v>
      </c>
      <c r="BX536">
        <f t="shared" si="102"/>
        <v>155.23599999999999</v>
      </c>
      <c r="BY536" t="s">
        <v>0</v>
      </c>
    </row>
    <row r="537" spans="32:77" x14ac:dyDescent="0.25">
      <c r="AF537">
        <v>536</v>
      </c>
      <c r="AG537" s="5">
        <v>67.73</v>
      </c>
      <c r="AH537" s="4">
        <f t="shared" si="95"/>
        <v>4.09</v>
      </c>
      <c r="AI537" s="4">
        <v>3.09</v>
      </c>
      <c r="AJ537" s="4">
        <f t="shared" si="97"/>
        <v>-1.6259999999999999</v>
      </c>
      <c r="AT537">
        <v>536</v>
      </c>
      <c r="AU537">
        <v>17.760000000000002</v>
      </c>
      <c r="AV537">
        <f t="shared" si="96"/>
        <v>0</v>
      </c>
      <c r="AW537">
        <v>-33.21</v>
      </c>
      <c r="AX537" s="1">
        <f t="shared" si="98"/>
        <v>96.846000000000004</v>
      </c>
      <c r="BH537">
        <v>536</v>
      </c>
      <c r="BI537">
        <v>93.45</v>
      </c>
      <c r="BJ537">
        <f t="shared" si="99"/>
        <v>0</v>
      </c>
      <c r="BK537">
        <v>-7.72</v>
      </c>
      <c r="BL537" s="1">
        <f t="shared" si="100"/>
        <v>140.31</v>
      </c>
      <c r="BT537">
        <v>536</v>
      </c>
      <c r="BU537">
        <v>121.18</v>
      </c>
      <c r="BV537">
        <f t="shared" si="101"/>
        <v>0</v>
      </c>
      <c r="BW537">
        <v>-9.27</v>
      </c>
      <c r="BX537">
        <f t="shared" si="102"/>
        <v>152.14400000000001</v>
      </c>
      <c r="BY537" t="s">
        <v>0</v>
      </c>
    </row>
    <row r="538" spans="32:77" x14ac:dyDescent="0.25">
      <c r="AF538">
        <v>537</v>
      </c>
      <c r="AG538" s="4">
        <v>67.7</v>
      </c>
      <c r="AH538" s="4">
        <f t="shared" si="95"/>
        <v>0</v>
      </c>
      <c r="AI538" s="4">
        <v>-0.77</v>
      </c>
      <c r="AJ538" s="4">
        <f t="shared" si="97"/>
        <v>0.22799999999999998</v>
      </c>
      <c r="AT538">
        <v>537</v>
      </c>
      <c r="AU538">
        <v>16.329999999999998</v>
      </c>
      <c r="AV538">
        <f t="shared" si="96"/>
        <v>0</v>
      </c>
      <c r="AW538">
        <v>-28.58</v>
      </c>
      <c r="AX538" s="1">
        <f t="shared" si="98"/>
        <v>97.926000000000002</v>
      </c>
      <c r="BH538">
        <v>537</v>
      </c>
      <c r="BI538">
        <v>94.03</v>
      </c>
      <c r="BJ538">
        <f t="shared" si="99"/>
        <v>151.59</v>
      </c>
      <c r="BK538">
        <v>11.59</v>
      </c>
      <c r="BL538" s="1">
        <f t="shared" si="100"/>
        <v>143.86199999999999</v>
      </c>
      <c r="BT538">
        <v>537</v>
      </c>
      <c r="BU538">
        <v>121.14</v>
      </c>
      <c r="BV538">
        <f t="shared" si="101"/>
        <v>0</v>
      </c>
      <c r="BW538">
        <v>-1.54</v>
      </c>
      <c r="BX538">
        <f t="shared" si="102"/>
        <v>157.09200000000001</v>
      </c>
      <c r="BY538" t="s">
        <v>0</v>
      </c>
    </row>
    <row r="539" spans="32:77" x14ac:dyDescent="0.25">
      <c r="AF539">
        <v>538</v>
      </c>
      <c r="AG539" s="4">
        <v>67.459999999999994</v>
      </c>
      <c r="AH539" s="4">
        <f t="shared" si="95"/>
        <v>0</v>
      </c>
      <c r="AI539" s="4">
        <v>-4.63</v>
      </c>
      <c r="AJ539" s="4">
        <f t="shared" si="97"/>
        <v>0.22799999999999998</v>
      </c>
      <c r="AT539">
        <v>538</v>
      </c>
      <c r="AU539">
        <v>15.06</v>
      </c>
      <c r="AV539">
        <f t="shared" si="96"/>
        <v>0</v>
      </c>
      <c r="AW539">
        <v>-25.49</v>
      </c>
      <c r="AX539" s="1">
        <f t="shared" si="98"/>
        <v>97.617999999999995</v>
      </c>
      <c r="BH539">
        <v>538</v>
      </c>
      <c r="BI539">
        <v>95.11</v>
      </c>
      <c r="BJ539">
        <f t="shared" si="99"/>
        <v>161.63</v>
      </c>
      <c r="BK539">
        <v>21.63</v>
      </c>
      <c r="BL539" s="1">
        <f t="shared" si="100"/>
        <v>142.00800000000001</v>
      </c>
      <c r="BT539">
        <v>538</v>
      </c>
      <c r="BU539">
        <v>121.87</v>
      </c>
      <c r="BV539">
        <f t="shared" si="101"/>
        <v>183.35</v>
      </c>
      <c r="BW539">
        <v>29.35</v>
      </c>
      <c r="BX539">
        <f t="shared" si="102"/>
        <v>166.35599999999999</v>
      </c>
      <c r="BY539" t="s">
        <v>0</v>
      </c>
    </row>
    <row r="540" spans="32:77" x14ac:dyDescent="0.25">
      <c r="AF540">
        <v>539</v>
      </c>
      <c r="AG540" s="4">
        <v>67</v>
      </c>
      <c r="AH540" s="4">
        <f t="shared" si="95"/>
        <v>0</v>
      </c>
      <c r="AI540" s="4">
        <v>-9.27</v>
      </c>
      <c r="AJ540" s="4">
        <f t="shared" si="97"/>
        <v>7.2000000000000064E-2</v>
      </c>
      <c r="AT540">
        <v>539</v>
      </c>
      <c r="AU540">
        <v>13.9</v>
      </c>
      <c r="AV540">
        <f t="shared" si="96"/>
        <v>0</v>
      </c>
      <c r="AW540">
        <v>-23.17</v>
      </c>
      <c r="AX540" s="1">
        <f t="shared" si="98"/>
        <v>97.463999999999999</v>
      </c>
      <c r="BH540">
        <v>539</v>
      </c>
      <c r="BI540">
        <v>95.19</v>
      </c>
      <c r="BJ540">
        <f t="shared" si="99"/>
        <v>141.54</v>
      </c>
      <c r="BK540">
        <v>1.54</v>
      </c>
      <c r="BL540" s="1">
        <f t="shared" si="100"/>
        <v>135.982</v>
      </c>
      <c r="BT540">
        <v>539</v>
      </c>
      <c r="BU540">
        <v>122.88</v>
      </c>
      <c r="BV540">
        <f t="shared" si="101"/>
        <v>194.16</v>
      </c>
      <c r="BW540">
        <v>40.159999999999997</v>
      </c>
      <c r="BX540">
        <f t="shared" si="102"/>
        <v>158.32400000000001</v>
      </c>
      <c r="BY540" t="s">
        <v>0</v>
      </c>
    </row>
    <row r="541" spans="32:77" x14ac:dyDescent="0.25">
      <c r="AF541">
        <v>540</v>
      </c>
      <c r="AG541" s="4">
        <v>66.650000000000006</v>
      </c>
      <c r="AH541" s="4">
        <f t="shared" si="95"/>
        <v>0</v>
      </c>
      <c r="AI541" s="4">
        <v>-6.95</v>
      </c>
      <c r="AJ541" s="4">
        <f t="shared" si="97"/>
        <v>1.464</v>
      </c>
      <c r="AT541">
        <v>540</v>
      </c>
      <c r="AU541">
        <v>12.94</v>
      </c>
      <c r="AV541">
        <f t="shared" si="96"/>
        <v>0</v>
      </c>
      <c r="AW541">
        <v>-19.309999999999999</v>
      </c>
      <c r="AX541" s="1">
        <f t="shared" si="98"/>
        <v>97.772000000000006</v>
      </c>
      <c r="BH541">
        <v>540</v>
      </c>
      <c r="BI541">
        <v>94.92</v>
      </c>
      <c r="BJ541">
        <f t="shared" si="99"/>
        <v>0</v>
      </c>
      <c r="BK541">
        <v>-5.41</v>
      </c>
      <c r="BL541" s="1">
        <f t="shared" si="100"/>
        <v>138.61000000000001</v>
      </c>
      <c r="BT541">
        <v>540</v>
      </c>
      <c r="BU541">
        <v>123.38</v>
      </c>
      <c r="BV541">
        <f t="shared" si="101"/>
        <v>174.07999999999998</v>
      </c>
      <c r="BW541">
        <v>20.079999999999998</v>
      </c>
      <c r="BX541">
        <f t="shared" si="102"/>
        <v>145.96799999999999</v>
      </c>
      <c r="BY541" t="s">
        <v>0</v>
      </c>
    </row>
    <row r="542" spans="32:77" x14ac:dyDescent="0.25">
      <c r="AF542">
        <v>541</v>
      </c>
      <c r="AG542" s="4">
        <v>66.34</v>
      </c>
      <c r="AH542" s="4">
        <f t="shared" si="95"/>
        <v>0</v>
      </c>
      <c r="AI542" s="4">
        <v>-6.18</v>
      </c>
      <c r="AJ542" s="4">
        <f t="shared" si="97"/>
        <v>1.1540000000000001</v>
      </c>
      <c r="AT542">
        <v>541</v>
      </c>
      <c r="AU542">
        <v>11.97</v>
      </c>
      <c r="AV542">
        <f t="shared" si="96"/>
        <v>0</v>
      </c>
      <c r="AW542">
        <v>-19.309999999999999</v>
      </c>
      <c r="AX542" s="1">
        <f t="shared" si="98"/>
        <v>97</v>
      </c>
      <c r="BH542">
        <v>541</v>
      </c>
      <c r="BI542">
        <v>94.42</v>
      </c>
      <c r="BJ542">
        <f t="shared" si="99"/>
        <v>0</v>
      </c>
      <c r="BK542">
        <v>-10.039999999999999</v>
      </c>
      <c r="BL542" s="1">
        <f t="shared" si="100"/>
        <v>139.07400000000001</v>
      </c>
      <c r="BT542">
        <v>541</v>
      </c>
      <c r="BU542">
        <v>123.38</v>
      </c>
      <c r="BV542">
        <f t="shared" si="101"/>
        <v>0</v>
      </c>
      <c r="BW542">
        <v>0</v>
      </c>
      <c r="BX542">
        <f t="shared" si="102"/>
        <v>145.96799999999999</v>
      </c>
      <c r="BY542" t="s">
        <v>0</v>
      </c>
    </row>
    <row r="543" spans="32:77" x14ac:dyDescent="0.25">
      <c r="AF543">
        <v>542</v>
      </c>
      <c r="AG543" s="4">
        <v>66.069999999999993</v>
      </c>
      <c r="AH543" s="4">
        <f t="shared" si="95"/>
        <v>0</v>
      </c>
      <c r="AI543" s="4">
        <v>-5.41</v>
      </c>
      <c r="AJ543" s="4">
        <f t="shared" si="97"/>
        <v>1.1539999999999999</v>
      </c>
      <c r="AT543">
        <v>542</v>
      </c>
      <c r="AU543">
        <v>11.12</v>
      </c>
      <c r="AV543">
        <f t="shared" si="96"/>
        <v>0</v>
      </c>
      <c r="AW543">
        <v>-16.989999999999998</v>
      </c>
      <c r="AX543" s="1">
        <f t="shared" si="98"/>
        <v>97.463999999999999</v>
      </c>
      <c r="BH543">
        <v>542</v>
      </c>
      <c r="BI543">
        <v>94.11</v>
      </c>
      <c r="BJ543">
        <f t="shared" si="99"/>
        <v>0</v>
      </c>
      <c r="BK543">
        <v>-6.18</v>
      </c>
      <c r="BL543" s="1">
        <f t="shared" si="100"/>
        <v>140.77199999999999</v>
      </c>
      <c r="BT543">
        <v>542</v>
      </c>
      <c r="BU543">
        <v>123.11</v>
      </c>
      <c r="BV543">
        <f t="shared" si="101"/>
        <v>0</v>
      </c>
      <c r="BW543">
        <v>-10.81</v>
      </c>
      <c r="BX543">
        <f t="shared" si="102"/>
        <v>149.67599999999999</v>
      </c>
      <c r="BY543" t="s">
        <v>0</v>
      </c>
    </row>
    <row r="544" spans="32:77" x14ac:dyDescent="0.25">
      <c r="AF544">
        <v>543</v>
      </c>
      <c r="AG544" s="4">
        <v>65.73</v>
      </c>
      <c r="AH544" s="4">
        <f t="shared" si="95"/>
        <v>0</v>
      </c>
      <c r="AI544" s="4">
        <v>-6.95</v>
      </c>
      <c r="AJ544" s="4">
        <f t="shared" si="97"/>
        <v>0.69199999999999995</v>
      </c>
      <c r="AT544">
        <v>543</v>
      </c>
      <c r="AU544">
        <v>10.35</v>
      </c>
      <c r="AV544">
        <f t="shared" si="96"/>
        <v>0</v>
      </c>
      <c r="AW544">
        <v>-15.45</v>
      </c>
      <c r="AX544" s="1">
        <f t="shared" si="98"/>
        <v>97.307999999999993</v>
      </c>
      <c r="BH544">
        <v>543</v>
      </c>
      <c r="BI544">
        <v>93.72</v>
      </c>
      <c r="BJ544">
        <f t="shared" si="99"/>
        <v>0</v>
      </c>
      <c r="BK544">
        <v>-7.72</v>
      </c>
      <c r="BL544" s="1">
        <f t="shared" si="100"/>
        <v>139.69200000000001</v>
      </c>
      <c r="BT544">
        <v>543</v>
      </c>
      <c r="BU544">
        <v>122.96</v>
      </c>
      <c r="BV544">
        <f t="shared" si="101"/>
        <v>0</v>
      </c>
      <c r="BW544">
        <v>-6.18</v>
      </c>
      <c r="BX544">
        <f t="shared" si="102"/>
        <v>155.852</v>
      </c>
      <c r="BY544" t="s">
        <v>0</v>
      </c>
    </row>
    <row r="545" spans="32:77" x14ac:dyDescent="0.25">
      <c r="AF545">
        <v>544</v>
      </c>
      <c r="AG545" s="4">
        <v>65.459999999999994</v>
      </c>
      <c r="AH545" s="4">
        <f t="shared" si="95"/>
        <v>0</v>
      </c>
      <c r="AI545" s="4">
        <v>-5.41</v>
      </c>
      <c r="AJ545" s="4">
        <f t="shared" si="97"/>
        <v>1.3080000000000001</v>
      </c>
      <c r="AT545">
        <v>544</v>
      </c>
      <c r="AU545">
        <v>9.6199999999999992</v>
      </c>
      <c r="AV545">
        <f t="shared" si="96"/>
        <v>0</v>
      </c>
      <c r="AW545">
        <v>-14.67</v>
      </c>
      <c r="AX545" s="1">
        <f t="shared" si="98"/>
        <v>97.156000000000006</v>
      </c>
      <c r="BH545">
        <v>544</v>
      </c>
      <c r="BI545">
        <v>93.45</v>
      </c>
      <c r="BJ545">
        <f t="shared" si="99"/>
        <v>0</v>
      </c>
      <c r="BK545">
        <v>-5.41</v>
      </c>
      <c r="BL545" s="1">
        <f t="shared" si="100"/>
        <v>140.46199999999999</v>
      </c>
      <c r="BT545">
        <v>544</v>
      </c>
      <c r="BU545">
        <v>122.65</v>
      </c>
      <c r="BV545">
        <f t="shared" si="101"/>
        <v>0</v>
      </c>
      <c r="BW545">
        <v>-12.36</v>
      </c>
      <c r="BX545">
        <f t="shared" si="102"/>
        <v>151.52799999999999</v>
      </c>
      <c r="BY545" t="s">
        <v>0</v>
      </c>
    </row>
    <row r="546" spans="32:77" x14ac:dyDescent="0.25">
      <c r="AF546">
        <v>545</v>
      </c>
      <c r="AG546" s="4">
        <v>65.11</v>
      </c>
      <c r="AH546" s="4">
        <f t="shared" si="95"/>
        <v>0</v>
      </c>
      <c r="AI546" s="4">
        <v>-6.95</v>
      </c>
      <c r="AJ546" s="4">
        <f t="shared" si="97"/>
        <v>0.69199999999999995</v>
      </c>
      <c r="AT546">
        <v>545</v>
      </c>
      <c r="AU546">
        <v>9</v>
      </c>
      <c r="AV546">
        <f t="shared" si="96"/>
        <v>0</v>
      </c>
      <c r="AW546">
        <v>-12.36</v>
      </c>
      <c r="AX546" s="1">
        <f t="shared" si="98"/>
        <v>97.462000000000003</v>
      </c>
      <c r="BH546">
        <v>545</v>
      </c>
      <c r="BI546">
        <v>92.99</v>
      </c>
      <c r="BJ546">
        <f t="shared" si="99"/>
        <v>0</v>
      </c>
      <c r="BK546">
        <v>-9.27</v>
      </c>
      <c r="BL546" s="1">
        <f t="shared" si="100"/>
        <v>139.22800000000001</v>
      </c>
      <c r="BT546">
        <v>545</v>
      </c>
      <c r="BU546">
        <v>122.22</v>
      </c>
      <c r="BV546">
        <f t="shared" si="101"/>
        <v>0</v>
      </c>
      <c r="BW546">
        <v>-16.989999999999998</v>
      </c>
      <c r="BX546">
        <f t="shared" si="102"/>
        <v>152.148</v>
      </c>
      <c r="BY546" t="s">
        <v>0</v>
      </c>
    </row>
    <row r="547" spans="32:77" x14ac:dyDescent="0.25">
      <c r="AF547">
        <v>546</v>
      </c>
      <c r="AG547" s="4">
        <v>64.84</v>
      </c>
      <c r="AH547" s="4">
        <f t="shared" si="95"/>
        <v>0</v>
      </c>
      <c r="AI547" s="4">
        <v>-5.41</v>
      </c>
      <c r="AJ547" s="4">
        <f t="shared" si="97"/>
        <v>1.3080000000000001</v>
      </c>
      <c r="AT547">
        <v>546</v>
      </c>
      <c r="AU547">
        <v>8.3800000000000008</v>
      </c>
      <c r="AV547">
        <f t="shared" si="96"/>
        <v>0</v>
      </c>
      <c r="AW547">
        <v>-12.36</v>
      </c>
      <c r="AX547" s="1">
        <f t="shared" si="98"/>
        <v>97</v>
      </c>
      <c r="BH547">
        <v>546</v>
      </c>
      <c r="BI547">
        <v>92.49</v>
      </c>
      <c r="BJ547">
        <f t="shared" si="99"/>
        <v>0</v>
      </c>
      <c r="BK547">
        <v>-10.039999999999999</v>
      </c>
      <c r="BL547" s="1">
        <f t="shared" si="100"/>
        <v>139.846</v>
      </c>
      <c r="BT547">
        <v>546</v>
      </c>
      <c r="BU547">
        <v>121.91</v>
      </c>
      <c r="BV547">
        <f t="shared" si="101"/>
        <v>0</v>
      </c>
      <c r="BW547">
        <v>-12.36</v>
      </c>
      <c r="BX547">
        <f t="shared" si="102"/>
        <v>155.852</v>
      </c>
      <c r="BY547" t="s">
        <v>0</v>
      </c>
    </row>
    <row r="548" spans="32:77" x14ac:dyDescent="0.25">
      <c r="AF548">
        <v>547</v>
      </c>
      <c r="AG548" s="4">
        <v>64.64</v>
      </c>
      <c r="AH548" s="4">
        <f t="shared" si="95"/>
        <v>0</v>
      </c>
      <c r="AI548" s="4">
        <v>-3.86</v>
      </c>
      <c r="AJ548" s="4">
        <f t="shared" si="97"/>
        <v>1.31</v>
      </c>
      <c r="AT548">
        <v>547</v>
      </c>
      <c r="AU548">
        <v>7.96</v>
      </c>
      <c r="AV548">
        <f t="shared" si="96"/>
        <v>0</v>
      </c>
      <c r="AW548">
        <v>-8.5</v>
      </c>
      <c r="AX548" s="1">
        <f t="shared" si="98"/>
        <v>97.772000000000006</v>
      </c>
      <c r="BH548">
        <v>547</v>
      </c>
      <c r="BI548">
        <v>92.06</v>
      </c>
      <c r="BJ548">
        <f t="shared" si="99"/>
        <v>0</v>
      </c>
      <c r="BK548">
        <v>-8.5</v>
      </c>
      <c r="BL548" s="1">
        <f t="shared" si="100"/>
        <v>140.30799999999999</v>
      </c>
      <c r="BT548">
        <v>547</v>
      </c>
      <c r="BU548">
        <v>121.6</v>
      </c>
      <c r="BV548">
        <f t="shared" si="101"/>
        <v>0</v>
      </c>
      <c r="BW548">
        <v>-12.36</v>
      </c>
      <c r="BX548">
        <f t="shared" si="102"/>
        <v>154</v>
      </c>
      <c r="BY548" t="s">
        <v>0</v>
      </c>
    </row>
    <row r="549" spans="32:77" x14ac:dyDescent="0.25">
      <c r="AF549">
        <v>548</v>
      </c>
      <c r="AG549" s="5">
        <v>64.37</v>
      </c>
      <c r="AH549" s="4">
        <f t="shared" si="95"/>
        <v>0</v>
      </c>
      <c r="AI549" s="4">
        <v>-5.41</v>
      </c>
      <c r="AJ549" s="4">
        <f t="shared" si="97"/>
        <v>0.69</v>
      </c>
      <c r="AT549">
        <v>548</v>
      </c>
      <c r="AU549">
        <v>7.41</v>
      </c>
      <c r="AV549">
        <f t="shared" si="96"/>
        <v>0</v>
      </c>
      <c r="AW549">
        <v>-10.81</v>
      </c>
      <c r="AX549" s="1">
        <f t="shared" si="98"/>
        <v>96.537999999999997</v>
      </c>
      <c r="BH549">
        <v>548</v>
      </c>
      <c r="BI549">
        <v>91.64</v>
      </c>
      <c r="BJ549">
        <f t="shared" si="99"/>
        <v>0</v>
      </c>
      <c r="BK549">
        <v>-8.5</v>
      </c>
      <c r="BL549" s="1">
        <f t="shared" si="100"/>
        <v>140</v>
      </c>
      <c r="BT549">
        <v>548</v>
      </c>
      <c r="BU549">
        <v>121.18</v>
      </c>
      <c r="BV549">
        <f t="shared" si="101"/>
        <v>0</v>
      </c>
      <c r="BW549">
        <v>-16.989999999999998</v>
      </c>
      <c r="BX549">
        <f t="shared" si="102"/>
        <v>152.148</v>
      </c>
      <c r="BY549" t="s">
        <v>0</v>
      </c>
    </row>
    <row r="550" spans="32:77" x14ac:dyDescent="0.25">
      <c r="AF550">
        <v>549</v>
      </c>
      <c r="AG550" s="5">
        <v>64.989999999999995</v>
      </c>
      <c r="AH550" s="4">
        <f t="shared" si="95"/>
        <v>13.36</v>
      </c>
      <c r="AI550" s="4">
        <v>12.36</v>
      </c>
      <c r="AJ550" s="4">
        <f t="shared" si="97"/>
        <v>4.5540000000000003</v>
      </c>
      <c r="AT550">
        <v>549</v>
      </c>
      <c r="AU550">
        <v>7.03</v>
      </c>
      <c r="AV550">
        <f t="shared" si="96"/>
        <v>0</v>
      </c>
      <c r="AW550">
        <v>-7.72</v>
      </c>
      <c r="AX550" s="1">
        <f t="shared" si="98"/>
        <v>97.617999999999995</v>
      </c>
      <c r="BH550">
        <v>549</v>
      </c>
      <c r="BI550">
        <v>91.44</v>
      </c>
      <c r="BJ550">
        <f t="shared" si="99"/>
        <v>0</v>
      </c>
      <c r="BK550">
        <v>-3.86</v>
      </c>
      <c r="BL550" s="1">
        <f t="shared" si="100"/>
        <v>140.928</v>
      </c>
      <c r="BT550">
        <v>549</v>
      </c>
      <c r="BU550">
        <v>120.87</v>
      </c>
      <c r="BV550">
        <f t="shared" si="101"/>
        <v>0</v>
      </c>
      <c r="BW550">
        <v>-12.36</v>
      </c>
      <c r="BX550">
        <f t="shared" si="102"/>
        <v>155.852</v>
      </c>
      <c r="BY550" t="s">
        <v>0</v>
      </c>
    </row>
    <row r="551" spans="32:77" x14ac:dyDescent="0.25">
      <c r="AF551">
        <v>550</v>
      </c>
      <c r="AG551" s="5">
        <v>65.22</v>
      </c>
      <c r="AH551" s="4">
        <f t="shared" si="95"/>
        <v>5.63</v>
      </c>
      <c r="AI551" s="4">
        <v>4.63</v>
      </c>
      <c r="AJ551" s="4">
        <f t="shared" si="97"/>
        <v>-0.54599999999999982</v>
      </c>
      <c r="AT551">
        <v>550</v>
      </c>
      <c r="AU551">
        <v>6.64</v>
      </c>
      <c r="AV551">
        <f t="shared" si="96"/>
        <v>0</v>
      </c>
      <c r="AW551">
        <v>-7.72</v>
      </c>
      <c r="AX551" s="1">
        <f t="shared" si="98"/>
        <v>97</v>
      </c>
      <c r="BH551">
        <v>550</v>
      </c>
      <c r="BI551">
        <v>92.22</v>
      </c>
      <c r="BJ551">
        <f t="shared" si="99"/>
        <v>155.44999999999999</v>
      </c>
      <c r="BK551">
        <v>15.45</v>
      </c>
      <c r="BL551" s="1">
        <f t="shared" si="100"/>
        <v>143.86199999999999</v>
      </c>
      <c r="BT551">
        <v>550</v>
      </c>
      <c r="BU551">
        <v>120.48</v>
      </c>
      <c r="BV551">
        <f t="shared" si="101"/>
        <v>0</v>
      </c>
      <c r="BW551">
        <v>-15.45</v>
      </c>
      <c r="BX551">
        <f t="shared" si="102"/>
        <v>152.76400000000001</v>
      </c>
      <c r="BY551" t="s">
        <v>0</v>
      </c>
    </row>
    <row r="552" spans="32:77" x14ac:dyDescent="0.25">
      <c r="AF552">
        <v>551</v>
      </c>
      <c r="AG552" s="4">
        <v>65.22</v>
      </c>
      <c r="AH552" s="4">
        <f t="shared" si="95"/>
        <v>0</v>
      </c>
      <c r="AI552" s="4">
        <v>0</v>
      </c>
      <c r="AJ552" s="4">
        <f t="shared" si="97"/>
        <v>7.4000000000000066E-2</v>
      </c>
      <c r="AT552">
        <v>551</v>
      </c>
      <c r="AU552">
        <v>6.26</v>
      </c>
      <c r="AV552">
        <f t="shared" si="96"/>
        <v>0</v>
      </c>
      <c r="AW552">
        <v>-7.72</v>
      </c>
      <c r="AX552" s="1">
        <f t="shared" si="98"/>
        <v>97</v>
      </c>
      <c r="BH552">
        <v>551</v>
      </c>
      <c r="BI552">
        <v>92.84</v>
      </c>
      <c r="BJ552">
        <f t="shared" si="99"/>
        <v>152.36000000000001</v>
      </c>
      <c r="BK552">
        <v>12.36</v>
      </c>
      <c r="BL552" s="1">
        <f t="shared" si="100"/>
        <v>139.38200000000001</v>
      </c>
      <c r="BT552">
        <v>551</v>
      </c>
      <c r="BU552">
        <v>120.18</v>
      </c>
      <c r="BV552">
        <f t="shared" si="101"/>
        <v>0</v>
      </c>
      <c r="BW552">
        <v>-12.36</v>
      </c>
      <c r="BX552">
        <f t="shared" si="102"/>
        <v>155.23599999999999</v>
      </c>
      <c r="BY552" t="s">
        <v>0</v>
      </c>
    </row>
    <row r="553" spans="32:77" x14ac:dyDescent="0.25">
      <c r="AF553">
        <v>552</v>
      </c>
      <c r="AG553" s="4">
        <v>65.069999999999993</v>
      </c>
      <c r="AH553" s="4">
        <f t="shared" si="95"/>
        <v>0</v>
      </c>
      <c r="AI553" s="4">
        <v>-3.09</v>
      </c>
      <c r="AJ553" s="4">
        <f t="shared" si="97"/>
        <v>0.38200000000000001</v>
      </c>
      <c r="AT553">
        <v>552</v>
      </c>
      <c r="AU553">
        <v>6.02</v>
      </c>
      <c r="AV553">
        <f t="shared" si="96"/>
        <v>0</v>
      </c>
      <c r="AW553">
        <v>-4.63</v>
      </c>
      <c r="AX553" s="1">
        <f t="shared" si="98"/>
        <v>97.617999999999995</v>
      </c>
      <c r="BH553">
        <v>552</v>
      </c>
      <c r="BI553">
        <v>92.87</v>
      </c>
      <c r="BJ553">
        <f t="shared" si="99"/>
        <v>140.77000000000001</v>
      </c>
      <c r="BK553">
        <v>0.77</v>
      </c>
      <c r="BL553" s="1">
        <f t="shared" si="100"/>
        <v>137.68199999999999</v>
      </c>
      <c r="BT553">
        <v>552</v>
      </c>
      <c r="BU553">
        <v>119.79</v>
      </c>
      <c r="BV553">
        <f t="shared" si="101"/>
        <v>0</v>
      </c>
      <c r="BW553">
        <v>-15.45</v>
      </c>
      <c r="BX553">
        <f t="shared" si="102"/>
        <v>152.76400000000001</v>
      </c>
      <c r="BY553" t="s">
        <v>0</v>
      </c>
    </row>
    <row r="554" spans="32:77" x14ac:dyDescent="0.25">
      <c r="AF554">
        <v>553</v>
      </c>
      <c r="AG554" s="4">
        <v>64.8</v>
      </c>
      <c r="AH554" s="4">
        <f t="shared" si="95"/>
        <v>0</v>
      </c>
      <c r="AI554" s="4">
        <v>-5.41</v>
      </c>
      <c r="AJ554" s="4">
        <f t="shared" si="97"/>
        <v>0.53599999999999992</v>
      </c>
      <c r="AT554">
        <v>553</v>
      </c>
      <c r="AU554">
        <v>5.72</v>
      </c>
      <c r="AV554">
        <f t="shared" si="96"/>
        <v>0</v>
      </c>
      <c r="AW554">
        <v>-6.18</v>
      </c>
      <c r="AX554" s="1">
        <f t="shared" si="98"/>
        <v>96.69</v>
      </c>
      <c r="BH554">
        <v>553</v>
      </c>
      <c r="BI554">
        <v>92.56</v>
      </c>
      <c r="BJ554">
        <f t="shared" si="99"/>
        <v>0</v>
      </c>
      <c r="BK554">
        <v>-6.18</v>
      </c>
      <c r="BL554" s="1">
        <f t="shared" si="100"/>
        <v>138.61000000000001</v>
      </c>
      <c r="BT554">
        <v>553</v>
      </c>
      <c r="BU554">
        <v>119.6</v>
      </c>
      <c r="BV554">
        <f t="shared" si="101"/>
        <v>0</v>
      </c>
      <c r="BW554">
        <v>-7.72</v>
      </c>
      <c r="BX554">
        <f t="shared" si="102"/>
        <v>157.09200000000001</v>
      </c>
      <c r="BY554" t="s">
        <v>0</v>
      </c>
    </row>
    <row r="555" spans="32:77" x14ac:dyDescent="0.25">
      <c r="AF555">
        <v>554</v>
      </c>
      <c r="AG555" s="4">
        <v>64.45</v>
      </c>
      <c r="AH555" s="4">
        <f t="shared" si="95"/>
        <v>0</v>
      </c>
      <c r="AI555" s="4">
        <v>-6.95</v>
      </c>
      <c r="AJ555" s="4">
        <f t="shared" si="97"/>
        <v>0.69199999999999995</v>
      </c>
      <c r="AT555">
        <v>554</v>
      </c>
      <c r="AU555">
        <v>5.48</v>
      </c>
      <c r="AV555">
        <f t="shared" si="96"/>
        <v>0</v>
      </c>
      <c r="AW555">
        <v>-4.63</v>
      </c>
      <c r="AX555" s="1">
        <f t="shared" si="98"/>
        <v>97.31</v>
      </c>
      <c r="BH555">
        <v>554</v>
      </c>
      <c r="BI555">
        <v>92.1</v>
      </c>
      <c r="BJ555">
        <f t="shared" si="99"/>
        <v>0</v>
      </c>
      <c r="BK555">
        <v>-9.27</v>
      </c>
      <c r="BL555" s="1">
        <f t="shared" si="100"/>
        <v>139.38200000000001</v>
      </c>
      <c r="BT555">
        <v>554</v>
      </c>
      <c r="BU555">
        <v>119.4</v>
      </c>
      <c r="BV555">
        <f t="shared" si="101"/>
        <v>0</v>
      </c>
      <c r="BW555">
        <v>-7.72</v>
      </c>
      <c r="BX555">
        <f t="shared" si="102"/>
        <v>154</v>
      </c>
      <c r="BY555" t="s">
        <v>0</v>
      </c>
    </row>
    <row r="556" spans="32:77" x14ac:dyDescent="0.25">
      <c r="AF556">
        <v>555</v>
      </c>
      <c r="AG556" s="4">
        <v>64.14</v>
      </c>
      <c r="AH556" s="4">
        <f t="shared" si="95"/>
        <v>0</v>
      </c>
      <c r="AI556" s="4">
        <v>-6.18</v>
      </c>
      <c r="AJ556" s="4">
        <f t="shared" si="97"/>
        <v>1.1540000000000001</v>
      </c>
      <c r="AT556">
        <v>555</v>
      </c>
      <c r="AU556">
        <v>5.29</v>
      </c>
      <c r="AV556">
        <f t="shared" si="96"/>
        <v>0</v>
      </c>
      <c r="AW556">
        <v>-3.86</v>
      </c>
      <c r="AX556" s="1">
        <f t="shared" si="98"/>
        <v>97.153999999999996</v>
      </c>
      <c r="BH556">
        <v>555</v>
      </c>
      <c r="BI556">
        <v>91.79</v>
      </c>
      <c r="BJ556">
        <f t="shared" si="99"/>
        <v>0</v>
      </c>
      <c r="BK556">
        <v>-6.18</v>
      </c>
      <c r="BL556" s="1">
        <f t="shared" si="100"/>
        <v>140.61799999999999</v>
      </c>
      <c r="BT556">
        <v>555</v>
      </c>
      <c r="BU556">
        <v>119.25</v>
      </c>
      <c r="BV556">
        <f t="shared" si="101"/>
        <v>0</v>
      </c>
      <c r="BW556">
        <v>-6.18</v>
      </c>
      <c r="BX556">
        <f t="shared" si="102"/>
        <v>154.61600000000001</v>
      </c>
      <c r="BY556" t="s">
        <v>0</v>
      </c>
    </row>
    <row r="557" spans="32:77" x14ac:dyDescent="0.25">
      <c r="AF557">
        <v>556</v>
      </c>
      <c r="AG557" s="4">
        <v>63.91</v>
      </c>
      <c r="AH557" s="4">
        <f t="shared" si="95"/>
        <v>0</v>
      </c>
      <c r="AI557" s="4">
        <v>-4.63</v>
      </c>
      <c r="AJ557" s="4">
        <f t="shared" si="97"/>
        <v>1.31</v>
      </c>
      <c r="AT557">
        <v>556</v>
      </c>
      <c r="AU557">
        <v>4.9000000000000004</v>
      </c>
      <c r="AV557">
        <f t="shared" si="96"/>
        <v>0</v>
      </c>
      <c r="AW557">
        <v>-7.72</v>
      </c>
      <c r="AX557" s="1">
        <f t="shared" si="98"/>
        <v>96.227999999999994</v>
      </c>
      <c r="BH557">
        <v>556</v>
      </c>
      <c r="BI557">
        <v>91.56</v>
      </c>
      <c r="BJ557">
        <f t="shared" si="99"/>
        <v>0</v>
      </c>
      <c r="BK557">
        <v>-4.63</v>
      </c>
      <c r="BL557" s="1">
        <f t="shared" si="100"/>
        <v>140.31</v>
      </c>
      <c r="BT557">
        <v>556</v>
      </c>
      <c r="BU557">
        <v>119.13</v>
      </c>
      <c r="BV557">
        <f t="shared" si="101"/>
        <v>0</v>
      </c>
      <c r="BW557">
        <v>-4.63</v>
      </c>
      <c r="BX557">
        <f t="shared" si="102"/>
        <v>154.62</v>
      </c>
      <c r="BY557" t="s">
        <v>0</v>
      </c>
    </row>
    <row r="558" spans="32:77" x14ac:dyDescent="0.25">
      <c r="AF558">
        <v>557</v>
      </c>
      <c r="AG558" s="4">
        <v>63.6</v>
      </c>
      <c r="AH558" s="4">
        <f t="shared" si="95"/>
        <v>0</v>
      </c>
      <c r="AI558" s="4">
        <v>-6.18</v>
      </c>
      <c r="AJ558" s="4">
        <f t="shared" si="97"/>
        <v>0.69000000000000006</v>
      </c>
      <c r="AT558">
        <v>557</v>
      </c>
      <c r="AU558">
        <v>4.79</v>
      </c>
      <c r="AV558">
        <f t="shared" si="96"/>
        <v>0</v>
      </c>
      <c r="AW558">
        <v>-2.3199999999999998</v>
      </c>
      <c r="AX558" s="1">
        <f t="shared" si="98"/>
        <v>98.08</v>
      </c>
      <c r="BH558">
        <v>557</v>
      </c>
      <c r="BI558">
        <v>91.17</v>
      </c>
      <c r="BJ558">
        <f t="shared" si="99"/>
        <v>0</v>
      </c>
      <c r="BK558">
        <v>-7.72</v>
      </c>
      <c r="BL558" s="1">
        <f t="shared" si="100"/>
        <v>139.38200000000001</v>
      </c>
      <c r="BT558">
        <v>557</v>
      </c>
      <c r="BU558">
        <v>119.02</v>
      </c>
      <c r="BV558">
        <f t="shared" si="101"/>
        <v>0</v>
      </c>
      <c r="BW558">
        <v>-4.63</v>
      </c>
      <c r="BX558">
        <f t="shared" si="102"/>
        <v>154</v>
      </c>
      <c r="BY558" t="s">
        <v>0</v>
      </c>
    </row>
    <row r="559" spans="32:77" x14ac:dyDescent="0.25">
      <c r="AF559">
        <v>558</v>
      </c>
      <c r="AG559" s="4">
        <v>63.37</v>
      </c>
      <c r="AH559" s="4">
        <f t="shared" si="95"/>
        <v>0</v>
      </c>
      <c r="AI559" s="4">
        <v>-4.63</v>
      </c>
      <c r="AJ559" s="4">
        <f t="shared" si="97"/>
        <v>1.31</v>
      </c>
      <c r="AT559">
        <v>558</v>
      </c>
      <c r="AU559">
        <v>4.5599999999999996</v>
      </c>
      <c r="AV559">
        <f t="shared" si="96"/>
        <v>0</v>
      </c>
      <c r="AW559">
        <v>-4.63</v>
      </c>
      <c r="AX559" s="1">
        <f t="shared" si="98"/>
        <v>96.537999999999997</v>
      </c>
      <c r="BH559">
        <v>558</v>
      </c>
      <c r="BI559">
        <v>90.83</v>
      </c>
      <c r="BJ559">
        <f t="shared" si="99"/>
        <v>0</v>
      </c>
      <c r="BK559">
        <v>-6.95</v>
      </c>
      <c r="BL559" s="1">
        <f t="shared" si="100"/>
        <v>140.154</v>
      </c>
      <c r="BT559">
        <v>558</v>
      </c>
      <c r="BU559">
        <v>119.29</v>
      </c>
      <c r="BV559">
        <f t="shared" si="101"/>
        <v>164.81</v>
      </c>
      <c r="BW559">
        <v>10.81</v>
      </c>
      <c r="BX559">
        <f t="shared" si="102"/>
        <v>160.17599999999999</v>
      </c>
      <c r="BY559" t="s">
        <v>0</v>
      </c>
    </row>
    <row r="560" spans="32:77" x14ac:dyDescent="0.25">
      <c r="AF560">
        <v>559</v>
      </c>
      <c r="AG560" s="4">
        <v>63.1</v>
      </c>
      <c r="AH560" s="4">
        <f t="shared" si="95"/>
        <v>0</v>
      </c>
      <c r="AI560" s="4">
        <v>-5.41</v>
      </c>
      <c r="AJ560" s="4">
        <f t="shared" si="97"/>
        <v>0.84399999999999997</v>
      </c>
      <c r="AT560">
        <v>559</v>
      </c>
      <c r="AU560">
        <v>4.3600000000000003</v>
      </c>
      <c r="AV560">
        <f t="shared" si="96"/>
        <v>0</v>
      </c>
      <c r="AW560">
        <v>-3.86</v>
      </c>
      <c r="AX560" s="1">
        <f t="shared" si="98"/>
        <v>97.153999999999996</v>
      </c>
      <c r="BH560">
        <v>559</v>
      </c>
      <c r="BI560">
        <v>90.44</v>
      </c>
      <c r="BJ560">
        <f t="shared" si="99"/>
        <v>0</v>
      </c>
      <c r="BK560">
        <v>-7.72</v>
      </c>
      <c r="BL560" s="1">
        <f t="shared" si="100"/>
        <v>139.846</v>
      </c>
      <c r="BT560">
        <v>559</v>
      </c>
      <c r="BU560">
        <v>120.25</v>
      </c>
      <c r="BV560">
        <f t="shared" si="101"/>
        <v>192.62</v>
      </c>
      <c r="BW560">
        <v>38.619999999999997</v>
      </c>
      <c r="BX560">
        <f t="shared" si="102"/>
        <v>165.124</v>
      </c>
      <c r="BY560" t="s">
        <v>0</v>
      </c>
    </row>
    <row r="561" spans="32:77" x14ac:dyDescent="0.25">
      <c r="AF561">
        <v>560</v>
      </c>
      <c r="AG561" s="4">
        <v>62.79</v>
      </c>
      <c r="AH561" s="4">
        <f t="shared" si="95"/>
        <v>0</v>
      </c>
      <c r="AI561" s="4">
        <v>-6.18</v>
      </c>
      <c r="AJ561" s="4">
        <f t="shared" si="97"/>
        <v>0.84600000000000009</v>
      </c>
      <c r="AT561">
        <v>560</v>
      </c>
      <c r="AU561">
        <v>4.13</v>
      </c>
      <c r="AV561">
        <f t="shared" si="96"/>
        <v>0</v>
      </c>
      <c r="AW561">
        <v>-4.63</v>
      </c>
      <c r="AX561" s="1">
        <f t="shared" si="98"/>
        <v>96.846000000000004</v>
      </c>
      <c r="BH561">
        <v>560</v>
      </c>
      <c r="BI561">
        <v>90.13</v>
      </c>
      <c r="BJ561">
        <f t="shared" si="99"/>
        <v>0</v>
      </c>
      <c r="BK561">
        <v>-6.18</v>
      </c>
      <c r="BL561" s="1">
        <f t="shared" si="100"/>
        <v>140.30799999999999</v>
      </c>
      <c r="BT561">
        <v>560</v>
      </c>
      <c r="BU561">
        <v>121.1</v>
      </c>
      <c r="BV561">
        <f t="shared" si="101"/>
        <v>187.98</v>
      </c>
      <c r="BW561">
        <v>33.979999999999997</v>
      </c>
      <c r="BX561">
        <f t="shared" si="102"/>
        <v>152.14400000000001</v>
      </c>
      <c r="BY561" t="s">
        <v>0</v>
      </c>
    </row>
    <row r="562" spans="32:77" x14ac:dyDescent="0.25">
      <c r="AF562">
        <v>561</v>
      </c>
      <c r="AG562" s="4">
        <v>62.52</v>
      </c>
      <c r="AH562" s="4">
        <f t="shared" si="95"/>
        <v>0</v>
      </c>
      <c r="AI562" s="4">
        <v>-5.41</v>
      </c>
      <c r="AJ562" s="4">
        <f t="shared" si="97"/>
        <v>1.1539999999999999</v>
      </c>
      <c r="AT562">
        <v>561</v>
      </c>
      <c r="AU562">
        <v>3.98</v>
      </c>
      <c r="AV562">
        <f t="shared" si="96"/>
        <v>0</v>
      </c>
      <c r="AW562">
        <v>-3.09</v>
      </c>
      <c r="AX562" s="1">
        <f t="shared" si="98"/>
        <v>97.308000000000007</v>
      </c>
      <c r="BH562">
        <v>561</v>
      </c>
      <c r="BI562">
        <v>89.67</v>
      </c>
      <c r="BJ562">
        <f t="shared" si="99"/>
        <v>0</v>
      </c>
      <c r="BK562">
        <v>-9.27</v>
      </c>
      <c r="BL562" s="1">
        <f t="shared" si="100"/>
        <v>139.38200000000001</v>
      </c>
      <c r="BT562">
        <v>561</v>
      </c>
      <c r="BU562">
        <v>121.18</v>
      </c>
      <c r="BV562">
        <f t="shared" si="101"/>
        <v>157.09</v>
      </c>
      <c r="BW562">
        <v>3.09</v>
      </c>
      <c r="BX562">
        <f t="shared" si="102"/>
        <v>141.64400000000001</v>
      </c>
      <c r="BY562" t="s">
        <v>0</v>
      </c>
    </row>
    <row r="563" spans="32:77" x14ac:dyDescent="0.25">
      <c r="AF563">
        <v>562</v>
      </c>
      <c r="AG563" s="4">
        <v>62.02</v>
      </c>
      <c r="AH563" s="4">
        <f t="shared" si="95"/>
        <v>0</v>
      </c>
      <c r="AI563" s="4">
        <v>-10.039999999999999</v>
      </c>
      <c r="AJ563" s="4">
        <f t="shared" si="97"/>
        <v>7.4000000000000177E-2</v>
      </c>
      <c r="AT563">
        <v>562</v>
      </c>
      <c r="AU563">
        <v>3.75</v>
      </c>
      <c r="AV563">
        <f t="shared" si="96"/>
        <v>0</v>
      </c>
      <c r="AW563">
        <v>-4.63</v>
      </c>
      <c r="AX563" s="1">
        <f t="shared" si="98"/>
        <v>96.691999999999993</v>
      </c>
      <c r="BH563">
        <v>562</v>
      </c>
      <c r="BI563">
        <v>89.9</v>
      </c>
      <c r="BJ563">
        <f t="shared" si="99"/>
        <v>144.63</v>
      </c>
      <c r="BK563">
        <v>4.63</v>
      </c>
      <c r="BL563" s="1">
        <f t="shared" si="100"/>
        <v>142.78</v>
      </c>
      <c r="BT563">
        <v>562</v>
      </c>
      <c r="BU563">
        <v>121.14</v>
      </c>
      <c r="BV563">
        <f t="shared" si="101"/>
        <v>0</v>
      </c>
      <c r="BW563">
        <v>-1.54</v>
      </c>
      <c r="BX563">
        <f t="shared" si="102"/>
        <v>152.148</v>
      </c>
      <c r="BY563" t="s">
        <v>0</v>
      </c>
    </row>
    <row r="564" spans="32:77" x14ac:dyDescent="0.25">
      <c r="AF564">
        <v>563</v>
      </c>
      <c r="AG564" s="4">
        <v>53.56</v>
      </c>
      <c r="AH564" s="4">
        <f t="shared" si="95"/>
        <v>0</v>
      </c>
      <c r="AI564" s="4">
        <v>-169.14</v>
      </c>
      <c r="AJ564" s="4">
        <f t="shared" si="97"/>
        <v>-30.82</v>
      </c>
      <c r="AT564">
        <v>563</v>
      </c>
      <c r="AU564">
        <v>3.55</v>
      </c>
      <c r="AV564">
        <f t="shared" si="96"/>
        <v>0</v>
      </c>
      <c r="AW564">
        <v>-3.86</v>
      </c>
      <c r="AX564" s="1">
        <f t="shared" si="98"/>
        <v>97.153999999999996</v>
      </c>
      <c r="BH564">
        <v>563</v>
      </c>
      <c r="BI564">
        <v>90.75</v>
      </c>
      <c r="BJ564">
        <f t="shared" si="99"/>
        <v>156.99</v>
      </c>
      <c r="BK564">
        <v>16.989999999999998</v>
      </c>
      <c r="BL564" s="1">
        <f t="shared" si="100"/>
        <v>142.47200000000001</v>
      </c>
      <c r="BT564">
        <v>563</v>
      </c>
      <c r="BU564">
        <v>121.3</v>
      </c>
      <c r="BV564">
        <f t="shared" si="101"/>
        <v>160.18</v>
      </c>
      <c r="BW564">
        <v>6.18</v>
      </c>
      <c r="BX564">
        <f t="shared" si="102"/>
        <v>157.08799999999999</v>
      </c>
      <c r="BY564" t="s">
        <v>0</v>
      </c>
    </row>
    <row r="565" spans="32:77" x14ac:dyDescent="0.25">
      <c r="AF565">
        <v>564</v>
      </c>
      <c r="AG565" s="4">
        <v>47.61</v>
      </c>
      <c r="AH565" s="4">
        <f t="shared" si="95"/>
        <v>0</v>
      </c>
      <c r="AI565" s="4">
        <v>-118.94</v>
      </c>
      <c r="AJ565" s="4">
        <f t="shared" si="97"/>
        <v>11.039999999999997</v>
      </c>
      <c r="AW565">
        <f>MAX(AW180:AW564)</f>
        <v>30.12</v>
      </c>
      <c r="BH565">
        <v>564</v>
      </c>
      <c r="BI565">
        <v>90.87</v>
      </c>
      <c r="BJ565">
        <f t="shared" si="99"/>
        <v>142.32</v>
      </c>
      <c r="BK565">
        <v>2.3199999999999998</v>
      </c>
      <c r="BL565" s="1">
        <f t="shared" si="100"/>
        <v>137.066</v>
      </c>
      <c r="BT565">
        <v>564</v>
      </c>
      <c r="BU565">
        <v>121.14</v>
      </c>
      <c r="BV565">
        <f t="shared" si="101"/>
        <v>0</v>
      </c>
      <c r="BW565">
        <v>-6.18</v>
      </c>
      <c r="BX565">
        <f t="shared" si="102"/>
        <v>149.05600000000001</v>
      </c>
      <c r="BY565" t="s">
        <v>0</v>
      </c>
    </row>
    <row r="566" spans="32:77" x14ac:dyDescent="0.25">
      <c r="AF566">
        <v>565</v>
      </c>
      <c r="AG566" s="4">
        <v>42.71</v>
      </c>
      <c r="AH566" s="4">
        <f t="shared" si="95"/>
        <v>0</v>
      </c>
      <c r="AI566" s="4">
        <v>-98.09</v>
      </c>
      <c r="AJ566" s="4">
        <f t="shared" si="97"/>
        <v>5.169999999999999</v>
      </c>
      <c r="BH566">
        <v>565</v>
      </c>
      <c r="BI566">
        <v>90.75</v>
      </c>
      <c r="BJ566">
        <f t="shared" si="99"/>
        <v>0</v>
      </c>
      <c r="BK566">
        <v>-2.3199999999999998</v>
      </c>
      <c r="BL566" s="1">
        <f t="shared" si="100"/>
        <v>139.072</v>
      </c>
      <c r="BT566">
        <v>565</v>
      </c>
      <c r="BU566">
        <v>120.83</v>
      </c>
      <c r="BV566">
        <f t="shared" si="101"/>
        <v>0</v>
      </c>
      <c r="BW566">
        <v>-12.36</v>
      </c>
      <c r="BX566">
        <f t="shared" si="102"/>
        <v>151.52799999999999</v>
      </c>
      <c r="BY566" t="s">
        <v>0</v>
      </c>
    </row>
    <row r="567" spans="32:77" x14ac:dyDescent="0.25">
      <c r="AF567">
        <v>566</v>
      </c>
      <c r="AG567" s="4">
        <v>38.31</v>
      </c>
      <c r="AH567" s="4">
        <f t="shared" si="95"/>
        <v>0</v>
      </c>
      <c r="AI567" s="4">
        <v>-88.05</v>
      </c>
      <c r="AJ567" s="4">
        <f t="shared" si="97"/>
        <v>3.0080000000000013</v>
      </c>
      <c r="BH567">
        <v>566</v>
      </c>
      <c r="BI567">
        <v>90.29</v>
      </c>
      <c r="BJ567">
        <f t="shared" si="99"/>
        <v>0</v>
      </c>
      <c r="BK567">
        <v>-9.27</v>
      </c>
      <c r="BL567" s="1">
        <f t="shared" si="100"/>
        <v>138.61000000000001</v>
      </c>
      <c r="BT567">
        <v>566</v>
      </c>
      <c r="BU567">
        <v>120.56</v>
      </c>
      <c r="BV567">
        <f t="shared" si="101"/>
        <v>0</v>
      </c>
      <c r="BW567">
        <v>-10.81</v>
      </c>
      <c r="BX567">
        <f t="shared" si="102"/>
        <v>154.62</v>
      </c>
      <c r="BY567" t="s">
        <v>0</v>
      </c>
    </row>
    <row r="568" spans="32:77" x14ac:dyDescent="0.25">
      <c r="AF568">
        <v>567</v>
      </c>
      <c r="AG568" s="4">
        <v>34.450000000000003</v>
      </c>
      <c r="AH568" s="4">
        <f t="shared" si="95"/>
        <v>0</v>
      </c>
      <c r="AI568" s="4">
        <v>-77.23</v>
      </c>
      <c r="AJ568" s="4">
        <f t="shared" si="97"/>
        <v>3.1639999999999988</v>
      </c>
      <c r="BH568">
        <v>567</v>
      </c>
      <c r="BI568">
        <v>89.94</v>
      </c>
      <c r="BJ568">
        <f t="shared" si="99"/>
        <v>0</v>
      </c>
      <c r="BK568">
        <v>-6.95</v>
      </c>
      <c r="BL568" s="1">
        <f t="shared" si="100"/>
        <v>140.464</v>
      </c>
      <c r="BT568">
        <v>567</v>
      </c>
      <c r="BU568">
        <v>120.33</v>
      </c>
      <c r="BV568">
        <f t="shared" si="101"/>
        <v>0</v>
      </c>
      <c r="BW568">
        <v>-9.27</v>
      </c>
      <c r="BX568">
        <f t="shared" si="102"/>
        <v>154.61600000000001</v>
      </c>
      <c r="BY568" t="s">
        <v>0</v>
      </c>
    </row>
    <row r="569" spans="32:77" x14ac:dyDescent="0.25">
      <c r="AF569">
        <v>568</v>
      </c>
      <c r="AG569" s="4">
        <v>31.01</v>
      </c>
      <c r="AH569" s="4">
        <f t="shared" si="95"/>
        <v>0</v>
      </c>
      <c r="AI569" s="4">
        <v>-68.739999999999995</v>
      </c>
      <c r="AJ569" s="4">
        <f t="shared" si="97"/>
        <v>2.6980000000000017</v>
      </c>
      <c r="BH569">
        <v>568</v>
      </c>
      <c r="BI569">
        <v>89.71</v>
      </c>
      <c r="BJ569">
        <f t="shared" si="99"/>
        <v>0</v>
      </c>
      <c r="BK569">
        <v>-4.63</v>
      </c>
      <c r="BL569" s="1">
        <f t="shared" si="100"/>
        <v>140.464</v>
      </c>
      <c r="BT569">
        <v>568</v>
      </c>
      <c r="BU569">
        <v>119.87</v>
      </c>
      <c r="BV569">
        <f t="shared" si="101"/>
        <v>0</v>
      </c>
      <c r="BW569">
        <v>-18.54</v>
      </c>
      <c r="BX569">
        <f t="shared" si="102"/>
        <v>150.292</v>
      </c>
      <c r="BY569" t="s">
        <v>0</v>
      </c>
    </row>
    <row r="570" spans="32:77" x14ac:dyDescent="0.25">
      <c r="AF570">
        <v>569</v>
      </c>
      <c r="AG570" s="4">
        <v>27.96</v>
      </c>
      <c r="AH570" s="4">
        <f t="shared" si="95"/>
        <v>0</v>
      </c>
      <c r="AI570" s="4">
        <v>-61.01</v>
      </c>
      <c r="AJ570" s="4">
        <f t="shared" si="97"/>
        <v>2.5459999999999994</v>
      </c>
      <c r="BH570">
        <v>569</v>
      </c>
      <c r="BI570">
        <v>89.51</v>
      </c>
      <c r="BJ570">
        <f t="shared" si="99"/>
        <v>0</v>
      </c>
      <c r="BK570">
        <v>-3.86</v>
      </c>
      <c r="BL570" s="1">
        <f t="shared" si="100"/>
        <v>140.154</v>
      </c>
      <c r="BT570">
        <v>569</v>
      </c>
      <c r="BU570">
        <v>119.44</v>
      </c>
      <c r="BV570">
        <f t="shared" si="101"/>
        <v>0</v>
      </c>
      <c r="BW570">
        <v>-16.989999999999998</v>
      </c>
      <c r="BX570">
        <f t="shared" si="102"/>
        <v>154.62</v>
      </c>
      <c r="BY570" t="s">
        <v>0</v>
      </c>
    </row>
    <row r="571" spans="32:77" x14ac:dyDescent="0.25">
      <c r="AF571">
        <v>570</v>
      </c>
      <c r="AG571" s="4">
        <v>25.18</v>
      </c>
      <c r="AH571" s="4">
        <f t="shared" si="95"/>
        <v>0</v>
      </c>
      <c r="AI571" s="4">
        <v>-55.61</v>
      </c>
      <c r="AJ571" s="4">
        <f t="shared" si="97"/>
        <v>2.0799999999999996</v>
      </c>
      <c r="BH571">
        <v>570</v>
      </c>
      <c r="BI571">
        <v>89.13</v>
      </c>
      <c r="BJ571">
        <f t="shared" si="99"/>
        <v>0</v>
      </c>
      <c r="BK571">
        <v>-7.72</v>
      </c>
      <c r="BL571" s="1">
        <f t="shared" si="100"/>
        <v>139.22800000000001</v>
      </c>
      <c r="BT571">
        <v>570</v>
      </c>
      <c r="BU571">
        <v>119.06</v>
      </c>
      <c r="BV571">
        <f t="shared" si="101"/>
        <v>0</v>
      </c>
      <c r="BW571">
        <v>-15.45</v>
      </c>
      <c r="BX571">
        <f t="shared" si="102"/>
        <v>154.61599999999999</v>
      </c>
      <c r="BY571" t="s">
        <v>0</v>
      </c>
    </row>
    <row r="572" spans="32:77" x14ac:dyDescent="0.25">
      <c r="AF572">
        <v>571</v>
      </c>
      <c r="AG572" s="4">
        <v>22.75</v>
      </c>
      <c r="AH572" s="4">
        <f t="shared" si="95"/>
        <v>0</v>
      </c>
      <c r="AI572" s="4">
        <v>-48.66</v>
      </c>
      <c r="AJ572" s="4">
        <f t="shared" si="97"/>
        <v>2.3900000000000006</v>
      </c>
      <c r="BH572">
        <v>571</v>
      </c>
      <c r="BI572">
        <v>88.78</v>
      </c>
      <c r="BJ572">
        <f t="shared" si="99"/>
        <v>0</v>
      </c>
      <c r="BK572">
        <v>-6.95</v>
      </c>
      <c r="BL572" s="1">
        <f t="shared" si="100"/>
        <v>140.154</v>
      </c>
      <c r="BT572">
        <v>571</v>
      </c>
      <c r="BU572">
        <v>118.44</v>
      </c>
      <c r="BV572">
        <f t="shared" si="101"/>
        <v>0</v>
      </c>
      <c r="BW572">
        <v>-24.71</v>
      </c>
      <c r="BX572">
        <f t="shared" si="102"/>
        <v>150.29599999999999</v>
      </c>
      <c r="BY572" t="s">
        <v>0</v>
      </c>
    </row>
    <row r="573" spans="32:77" x14ac:dyDescent="0.25">
      <c r="AF573">
        <v>572</v>
      </c>
      <c r="AG573" s="4">
        <v>20.58</v>
      </c>
      <c r="AH573" s="4">
        <f t="shared" si="95"/>
        <v>0</v>
      </c>
      <c r="AI573" s="4">
        <v>-43.25</v>
      </c>
      <c r="AJ573" s="4">
        <f t="shared" si="97"/>
        <v>2.0819999999999994</v>
      </c>
      <c r="BH573">
        <v>572</v>
      </c>
      <c r="BI573">
        <v>88.39</v>
      </c>
      <c r="BJ573">
        <f t="shared" si="99"/>
        <v>0</v>
      </c>
      <c r="BK573">
        <v>-7.72</v>
      </c>
      <c r="BL573" s="1">
        <f t="shared" si="100"/>
        <v>139.846</v>
      </c>
      <c r="BT573">
        <v>572</v>
      </c>
      <c r="BU573">
        <v>118.05</v>
      </c>
      <c r="BV573">
        <f t="shared" si="101"/>
        <v>0</v>
      </c>
      <c r="BW573">
        <v>-15.45</v>
      </c>
      <c r="BX573">
        <f t="shared" si="102"/>
        <v>157.70400000000001</v>
      </c>
      <c r="BY573" t="s">
        <v>0</v>
      </c>
    </row>
    <row r="574" spans="32:77" x14ac:dyDescent="0.25">
      <c r="AF574">
        <v>573</v>
      </c>
      <c r="AG574" s="4">
        <v>18.73</v>
      </c>
      <c r="AH574" s="4">
        <f t="shared" si="95"/>
        <v>0</v>
      </c>
      <c r="AI574" s="4">
        <v>-37.07</v>
      </c>
      <c r="AJ574" s="4">
        <f t="shared" si="97"/>
        <v>2.2359999999999998</v>
      </c>
      <c r="BH574">
        <v>573</v>
      </c>
      <c r="BI574">
        <v>88.01</v>
      </c>
      <c r="BJ574">
        <f t="shared" si="99"/>
        <v>0</v>
      </c>
      <c r="BK574">
        <v>-7.72</v>
      </c>
      <c r="BL574" s="1">
        <f t="shared" si="100"/>
        <v>140</v>
      </c>
      <c r="BT574">
        <v>573</v>
      </c>
      <c r="BU574">
        <v>117.7</v>
      </c>
      <c r="BV574">
        <f t="shared" si="101"/>
        <v>0</v>
      </c>
      <c r="BW574">
        <v>-13.9</v>
      </c>
      <c r="BX574">
        <f t="shared" si="102"/>
        <v>154.62</v>
      </c>
      <c r="BY574" t="s">
        <v>0</v>
      </c>
    </row>
    <row r="575" spans="32:77" x14ac:dyDescent="0.25">
      <c r="AF575">
        <v>574</v>
      </c>
      <c r="AG575" s="4">
        <v>17.03</v>
      </c>
      <c r="AH575" s="4">
        <f t="shared" si="95"/>
        <v>0</v>
      </c>
      <c r="AI575" s="4">
        <v>-33.979999999999997</v>
      </c>
      <c r="AJ575" s="4">
        <f t="shared" si="97"/>
        <v>1.6180000000000008</v>
      </c>
      <c r="BH575">
        <v>574</v>
      </c>
      <c r="BI575">
        <v>87.78</v>
      </c>
      <c r="BJ575">
        <f t="shared" si="99"/>
        <v>0</v>
      </c>
      <c r="BK575">
        <v>-4.63</v>
      </c>
      <c r="BL575" s="1">
        <f t="shared" si="100"/>
        <v>140.61799999999999</v>
      </c>
      <c r="BT575">
        <v>574</v>
      </c>
      <c r="BU575">
        <v>117.43</v>
      </c>
      <c r="BV575">
        <f t="shared" si="101"/>
        <v>0</v>
      </c>
      <c r="BW575">
        <v>-10.81</v>
      </c>
      <c r="BX575">
        <f t="shared" si="102"/>
        <v>155.23599999999999</v>
      </c>
      <c r="BY575" t="s">
        <v>0</v>
      </c>
    </row>
    <row r="576" spans="32:77" x14ac:dyDescent="0.25">
      <c r="AF576">
        <v>575</v>
      </c>
      <c r="AG576" s="4">
        <v>15.49</v>
      </c>
      <c r="AH576" s="4">
        <f t="shared" si="95"/>
        <v>0</v>
      </c>
      <c r="AI576" s="4">
        <v>-30.89</v>
      </c>
      <c r="AJ576" s="4">
        <f t="shared" si="97"/>
        <v>1.6179999999999992</v>
      </c>
      <c r="BH576">
        <v>575</v>
      </c>
      <c r="BI576">
        <v>88.28</v>
      </c>
      <c r="BJ576">
        <f t="shared" si="99"/>
        <v>150.04</v>
      </c>
      <c r="BK576">
        <v>10.039999999999999</v>
      </c>
      <c r="BL576" s="1">
        <f t="shared" si="100"/>
        <v>142.934</v>
      </c>
      <c r="BT576">
        <v>575</v>
      </c>
      <c r="BU576">
        <v>117.16</v>
      </c>
      <c r="BV576">
        <f t="shared" si="101"/>
        <v>0</v>
      </c>
      <c r="BW576">
        <v>-10.81</v>
      </c>
      <c r="BX576">
        <f t="shared" si="102"/>
        <v>154</v>
      </c>
      <c r="BY576" t="s">
        <v>0</v>
      </c>
    </row>
    <row r="577" spans="32:77" x14ac:dyDescent="0.25">
      <c r="AF577">
        <v>576</v>
      </c>
      <c r="AG577" s="4">
        <v>14.13</v>
      </c>
      <c r="AH577" s="4">
        <f t="shared" si="95"/>
        <v>0</v>
      </c>
      <c r="AI577" s="4">
        <v>-27.03</v>
      </c>
      <c r="AJ577" s="4">
        <f t="shared" si="97"/>
        <v>1.7719999999999998</v>
      </c>
      <c r="BH577">
        <v>576</v>
      </c>
      <c r="BI577">
        <v>88.78</v>
      </c>
      <c r="BJ577">
        <f t="shared" si="99"/>
        <v>150.04</v>
      </c>
      <c r="BK577">
        <v>10.039999999999999</v>
      </c>
      <c r="BL577" s="1">
        <f t="shared" si="100"/>
        <v>140</v>
      </c>
      <c r="BT577">
        <v>576</v>
      </c>
      <c r="BU577">
        <v>117.09</v>
      </c>
      <c r="BV577">
        <f t="shared" si="101"/>
        <v>0</v>
      </c>
      <c r="BW577">
        <v>-3.09</v>
      </c>
      <c r="BX577">
        <f t="shared" si="102"/>
        <v>157.08799999999999</v>
      </c>
      <c r="BY577" t="s">
        <v>0</v>
      </c>
    </row>
    <row r="578" spans="32:77" x14ac:dyDescent="0.25">
      <c r="AF578">
        <v>577</v>
      </c>
      <c r="AG578" s="4">
        <v>13.05</v>
      </c>
      <c r="AH578" s="4">
        <f t="shared" ref="AH578:AH580" si="103">IF(AI578&gt;0,AI578+AH$1,0)</f>
        <v>0</v>
      </c>
      <c r="AI578" s="4">
        <v>-21.63</v>
      </c>
      <c r="AJ578" s="4">
        <f t="shared" si="97"/>
        <v>2.0800000000000005</v>
      </c>
      <c r="BH578">
        <v>577</v>
      </c>
      <c r="BI578">
        <v>88.9</v>
      </c>
      <c r="BJ578">
        <f t="shared" si="99"/>
        <v>142.32</v>
      </c>
      <c r="BK578">
        <v>2.3199999999999998</v>
      </c>
      <c r="BL578" s="1">
        <f t="shared" si="100"/>
        <v>138.45599999999999</v>
      </c>
      <c r="BT578">
        <v>577</v>
      </c>
      <c r="BU578">
        <v>116.85</v>
      </c>
      <c r="BV578">
        <f t="shared" si="101"/>
        <v>0</v>
      </c>
      <c r="BW578">
        <v>-9.27</v>
      </c>
      <c r="BX578">
        <f t="shared" si="102"/>
        <v>151.52799999999999</v>
      </c>
      <c r="BY578" t="s">
        <v>0</v>
      </c>
    </row>
    <row r="579" spans="32:77" x14ac:dyDescent="0.25">
      <c r="AF579">
        <v>578</v>
      </c>
      <c r="AG579" s="4">
        <v>12.16</v>
      </c>
      <c r="AH579" s="4">
        <f t="shared" si="103"/>
        <v>0</v>
      </c>
      <c r="AI579" s="4">
        <v>-17.760000000000002</v>
      </c>
      <c r="AJ579" s="4">
        <f t="shared" ref="AJ579:AJ580" si="104">(AI579-AI578)/5+AH$1</f>
        <v>1.7739999999999996</v>
      </c>
      <c r="BH579">
        <v>578</v>
      </c>
      <c r="BI579">
        <v>88.63</v>
      </c>
      <c r="BJ579">
        <f t="shared" ref="BJ579:BJ642" si="105">IF(BK579&gt;0,BK579+BJ$1,0)</f>
        <v>0</v>
      </c>
      <c r="BK579">
        <v>-5.41</v>
      </c>
      <c r="BL579" s="1">
        <f t="shared" ref="BL579:BL642" si="106">(BK579-BK578)/5+BJ$1</f>
        <v>138.45400000000001</v>
      </c>
      <c r="BT579">
        <v>578</v>
      </c>
      <c r="BU579">
        <v>116.78</v>
      </c>
      <c r="BV579">
        <f t="shared" ref="BV579:BV642" si="107">IF(BW579&gt;0,BW579+BV$1,0)</f>
        <v>0</v>
      </c>
      <c r="BW579">
        <v>-3.09</v>
      </c>
      <c r="BX579">
        <f t="shared" si="102"/>
        <v>156.47200000000001</v>
      </c>
      <c r="BY579" t="s">
        <v>0</v>
      </c>
    </row>
    <row r="580" spans="32:77" x14ac:dyDescent="0.25">
      <c r="AF580">
        <v>579</v>
      </c>
      <c r="AG580" s="4">
        <v>11.35</v>
      </c>
      <c r="AH580" s="4">
        <f t="shared" si="103"/>
        <v>0</v>
      </c>
      <c r="AI580" s="4">
        <v>-16.22</v>
      </c>
      <c r="AJ580" s="4">
        <f t="shared" si="104"/>
        <v>1.3080000000000005</v>
      </c>
      <c r="BH580">
        <v>579</v>
      </c>
      <c r="BI580">
        <v>88.16</v>
      </c>
      <c r="BJ580">
        <f t="shared" si="105"/>
        <v>0</v>
      </c>
      <c r="BK580">
        <v>-9.27</v>
      </c>
      <c r="BL580" s="1">
        <f t="shared" si="106"/>
        <v>139.22800000000001</v>
      </c>
      <c r="BT580">
        <v>579</v>
      </c>
      <c r="BU580">
        <v>117.4</v>
      </c>
      <c r="BV580">
        <f t="shared" si="107"/>
        <v>178.71</v>
      </c>
      <c r="BW580">
        <v>24.71</v>
      </c>
      <c r="BX580">
        <f t="shared" ref="BX580:BX643" si="108">BV$1+(BW580-BW579)/2.5</f>
        <v>165.12</v>
      </c>
      <c r="BY580" t="s">
        <v>0</v>
      </c>
    </row>
    <row r="581" spans="32:77" x14ac:dyDescent="0.25">
      <c r="BH581">
        <v>580</v>
      </c>
      <c r="BI581">
        <v>87.97</v>
      </c>
      <c r="BJ581">
        <f t="shared" si="105"/>
        <v>0</v>
      </c>
      <c r="BK581">
        <v>-3.86</v>
      </c>
      <c r="BL581" s="1">
        <f t="shared" si="106"/>
        <v>141.08199999999999</v>
      </c>
      <c r="BT581">
        <v>580</v>
      </c>
      <c r="BU581">
        <v>118.36</v>
      </c>
      <c r="BV581">
        <f t="shared" si="107"/>
        <v>192.62</v>
      </c>
      <c r="BW581">
        <v>38.619999999999997</v>
      </c>
      <c r="BX581">
        <f t="shared" si="108"/>
        <v>159.56399999999999</v>
      </c>
      <c r="BY581" t="s">
        <v>0</v>
      </c>
    </row>
    <row r="582" spans="32:77" x14ac:dyDescent="0.25">
      <c r="BH582">
        <v>581</v>
      </c>
      <c r="BI582">
        <v>87.74</v>
      </c>
      <c r="BJ582">
        <f t="shared" si="105"/>
        <v>0</v>
      </c>
      <c r="BK582">
        <v>-4.63</v>
      </c>
      <c r="BL582" s="1">
        <f t="shared" si="106"/>
        <v>139.846</v>
      </c>
      <c r="BT582">
        <v>581</v>
      </c>
      <c r="BU582">
        <v>119.02</v>
      </c>
      <c r="BV582">
        <f t="shared" si="107"/>
        <v>180.26</v>
      </c>
      <c r="BW582">
        <v>26.26</v>
      </c>
      <c r="BX582">
        <f t="shared" si="108"/>
        <v>149.05600000000001</v>
      </c>
      <c r="BY582" t="s">
        <v>0</v>
      </c>
    </row>
    <row r="583" spans="32:77" x14ac:dyDescent="0.25">
      <c r="BH583">
        <v>582</v>
      </c>
      <c r="BI583">
        <v>87.39</v>
      </c>
      <c r="BJ583">
        <f t="shared" si="105"/>
        <v>0</v>
      </c>
      <c r="BK583">
        <v>-6.95</v>
      </c>
      <c r="BL583" s="1">
        <f t="shared" si="106"/>
        <v>139.536</v>
      </c>
      <c r="BT583">
        <v>582</v>
      </c>
      <c r="BU583">
        <v>119.17</v>
      </c>
      <c r="BV583">
        <f t="shared" si="107"/>
        <v>160.18</v>
      </c>
      <c r="BW583">
        <v>6.18</v>
      </c>
      <c r="BX583">
        <f t="shared" si="108"/>
        <v>145.96799999999999</v>
      </c>
      <c r="BY583" t="s">
        <v>0</v>
      </c>
    </row>
    <row r="584" spans="32:77" x14ac:dyDescent="0.25">
      <c r="BH584">
        <v>583</v>
      </c>
      <c r="BI584">
        <v>87.04</v>
      </c>
      <c r="BJ584">
        <f t="shared" si="105"/>
        <v>0</v>
      </c>
      <c r="BK584">
        <v>-6.95</v>
      </c>
      <c r="BL584" s="1">
        <f t="shared" si="106"/>
        <v>140</v>
      </c>
      <c r="BT584">
        <v>583</v>
      </c>
      <c r="BU584">
        <v>119.4</v>
      </c>
      <c r="BV584">
        <f t="shared" si="107"/>
        <v>163.27000000000001</v>
      </c>
      <c r="BW584">
        <v>9.27</v>
      </c>
      <c r="BX584">
        <f t="shared" si="108"/>
        <v>155.23599999999999</v>
      </c>
      <c r="BY584" t="s">
        <v>0</v>
      </c>
    </row>
    <row r="585" spans="32:77" x14ac:dyDescent="0.25">
      <c r="BH585">
        <v>584</v>
      </c>
      <c r="BI585">
        <v>86.81</v>
      </c>
      <c r="BJ585">
        <f t="shared" si="105"/>
        <v>0</v>
      </c>
      <c r="BK585">
        <v>-4.63</v>
      </c>
      <c r="BL585" s="1">
        <f t="shared" si="106"/>
        <v>140.464</v>
      </c>
      <c r="BT585">
        <v>584</v>
      </c>
      <c r="BU585">
        <v>119.4</v>
      </c>
      <c r="BV585">
        <f t="shared" si="107"/>
        <v>0</v>
      </c>
      <c r="BW585">
        <v>0</v>
      </c>
      <c r="BX585">
        <f t="shared" si="108"/>
        <v>150.292</v>
      </c>
      <c r="BY585" t="s">
        <v>0</v>
      </c>
    </row>
    <row r="586" spans="32:77" x14ac:dyDescent="0.25">
      <c r="BH586">
        <v>585</v>
      </c>
      <c r="BI586">
        <v>86.39</v>
      </c>
      <c r="BJ586">
        <f t="shared" si="105"/>
        <v>0</v>
      </c>
      <c r="BK586">
        <v>-8.5</v>
      </c>
      <c r="BL586" s="1">
        <f t="shared" si="106"/>
        <v>139.226</v>
      </c>
      <c r="BT586">
        <v>585</v>
      </c>
      <c r="BU586">
        <v>119.13</v>
      </c>
      <c r="BV586">
        <f t="shared" si="107"/>
        <v>0</v>
      </c>
      <c r="BW586">
        <v>-10.81</v>
      </c>
      <c r="BX586">
        <f t="shared" si="108"/>
        <v>149.67599999999999</v>
      </c>
      <c r="BY586" t="s">
        <v>0</v>
      </c>
    </row>
    <row r="587" spans="32:77" x14ac:dyDescent="0.25">
      <c r="BH587">
        <v>586</v>
      </c>
      <c r="BI587">
        <v>86.04</v>
      </c>
      <c r="BJ587">
        <f t="shared" si="105"/>
        <v>0</v>
      </c>
      <c r="BK587">
        <v>-6.95</v>
      </c>
      <c r="BL587" s="1">
        <f t="shared" si="106"/>
        <v>140.31</v>
      </c>
      <c r="BT587">
        <v>586</v>
      </c>
      <c r="BU587">
        <v>118.82</v>
      </c>
      <c r="BV587">
        <f t="shared" si="107"/>
        <v>0</v>
      </c>
      <c r="BW587">
        <v>-12.36</v>
      </c>
      <c r="BX587">
        <f t="shared" si="108"/>
        <v>153.38</v>
      </c>
      <c r="BY587" t="s">
        <v>0</v>
      </c>
    </row>
    <row r="588" spans="32:77" x14ac:dyDescent="0.25">
      <c r="BH588">
        <v>587</v>
      </c>
      <c r="BI588">
        <v>85.77</v>
      </c>
      <c r="BJ588">
        <f t="shared" si="105"/>
        <v>0</v>
      </c>
      <c r="BK588">
        <v>-5.41</v>
      </c>
      <c r="BL588" s="1">
        <f t="shared" si="106"/>
        <v>140.30799999999999</v>
      </c>
      <c r="BT588">
        <v>587</v>
      </c>
      <c r="BU588">
        <v>118.4</v>
      </c>
      <c r="BV588">
        <f t="shared" si="107"/>
        <v>0</v>
      </c>
      <c r="BW588">
        <v>-16.989999999999998</v>
      </c>
      <c r="BX588">
        <f t="shared" si="108"/>
        <v>152.148</v>
      </c>
      <c r="BY588" t="s">
        <v>0</v>
      </c>
    </row>
    <row r="589" spans="32:77" x14ac:dyDescent="0.25">
      <c r="BH589">
        <v>588</v>
      </c>
      <c r="BI589">
        <v>86.46</v>
      </c>
      <c r="BJ589">
        <f t="shared" si="105"/>
        <v>153.9</v>
      </c>
      <c r="BK589">
        <v>13.9</v>
      </c>
      <c r="BL589" s="1">
        <f t="shared" si="106"/>
        <v>143.86199999999999</v>
      </c>
      <c r="BT589">
        <v>588</v>
      </c>
      <c r="BU589">
        <v>118.05</v>
      </c>
      <c r="BV589">
        <f t="shared" si="107"/>
        <v>0</v>
      </c>
      <c r="BW589">
        <v>-13.9</v>
      </c>
      <c r="BX589">
        <f t="shared" si="108"/>
        <v>155.23599999999999</v>
      </c>
      <c r="BY589" t="s">
        <v>0</v>
      </c>
    </row>
    <row r="590" spans="32:77" x14ac:dyDescent="0.25">
      <c r="BH590">
        <v>589</v>
      </c>
      <c r="BI590">
        <v>86.81</v>
      </c>
      <c r="BJ590">
        <f t="shared" si="105"/>
        <v>146.94999999999999</v>
      </c>
      <c r="BK590">
        <v>6.95</v>
      </c>
      <c r="BL590" s="1">
        <f t="shared" si="106"/>
        <v>138.61000000000001</v>
      </c>
      <c r="BT590">
        <v>589</v>
      </c>
      <c r="BU590">
        <v>117.74</v>
      </c>
      <c r="BV590">
        <f t="shared" si="107"/>
        <v>0</v>
      </c>
      <c r="BW590">
        <v>-12.36</v>
      </c>
      <c r="BX590">
        <f t="shared" si="108"/>
        <v>154.61600000000001</v>
      </c>
      <c r="BY590" t="s">
        <v>0</v>
      </c>
    </row>
    <row r="591" spans="32:77" x14ac:dyDescent="0.25">
      <c r="BH591">
        <v>590</v>
      </c>
      <c r="BI591">
        <v>86.77</v>
      </c>
      <c r="BJ591">
        <f t="shared" si="105"/>
        <v>0</v>
      </c>
      <c r="BK591">
        <v>-0.77</v>
      </c>
      <c r="BL591" s="1">
        <f t="shared" si="106"/>
        <v>138.45599999999999</v>
      </c>
      <c r="BT591">
        <v>590</v>
      </c>
      <c r="BU591">
        <v>117.28</v>
      </c>
      <c r="BV591">
        <f t="shared" si="107"/>
        <v>0</v>
      </c>
      <c r="BW591">
        <v>-18.54</v>
      </c>
      <c r="BX591">
        <f t="shared" si="108"/>
        <v>151.52799999999999</v>
      </c>
      <c r="BY591" t="s">
        <v>0</v>
      </c>
    </row>
    <row r="592" spans="32:77" x14ac:dyDescent="0.25">
      <c r="BH592">
        <v>591</v>
      </c>
      <c r="BI592">
        <v>86.5</v>
      </c>
      <c r="BJ592">
        <f t="shared" si="105"/>
        <v>0</v>
      </c>
      <c r="BK592">
        <v>-5.41</v>
      </c>
      <c r="BL592" s="1">
        <f t="shared" si="106"/>
        <v>139.072</v>
      </c>
      <c r="BT592">
        <v>591</v>
      </c>
      <c r="BU592">
        <v>116.85</v>
      </c>
      <c r="BV592">
        <f t="shared" si="107"/>
        <v>0</v>
      </c>
      <c r="BW592">
        <v>-16.989999999999998</v>
      </c>
      <c r="BX592">
        <f t="shared" si="108"/>
        <v>154.62</v>
      </c>
      <c r="BY592" t="s">
        <v>0</v>
      </c>
    </row>
    <row r="593" spans="60:77" x14ac:dyDescent="0.25">
      <c r="BH593">
        <v>592</v>
      </c>
      <c r="BI593">
        <v>86.12</v>
      </c>
      <c r="BJ593">
        <f t="shared" si="105"/>
        <v>0</v>
      </c>
      <c r="BK593">
        <v>-7.72</v>
      </c>
      <c r="BL593" s="1">
        <f t="shared" si="106"/>
        <v>139.53800000000001</v>
      </c>
      <c r="BT593">
        <v>592</v>
      </c>
      <c r="BU593">
        <v>116.43</v>
      </c>
      <c r="BV593">
        <f t="shared" si="107"/>
        <v>0</v>
      </c>
      <c r="BW593">
        <v>-16.989999999999998</v>
      </c>
      <c r="BX593">
        <f t="shared" si="108"/>
        <v>154</v>
      </c>
      <c r="BY593" t="s">
        <v>0</v>
      </c>
    </row>
    <row r="594" spans="60:77" x14ac:dyDescent="0.25">
      <c r="BH594">
        <v>593</v>
      </c>
      <c r="BI594">
        <v>85.88</v>
      </c>
      <c r="BJ594">
        <f t="shared" si="105"/>
        <v>0</v>
      </c>
      <c r="BK594">
        <v>-4.63</v>
      </c>
      <c r="BL594" s="1">
        <f t="shared" si="106"/>
        <v>140.61799999999999</v>
      </c>
      <c r="BT594">
        <v>593</v>
      </c>
      <c r="BU594">
        <v>116.04</v>
      </c>
      <c r="BV594">
        <f t="shared" si="107"/>
        <v>0</v>
      </c>
      <c r="BW594">
        <v>-15.45</v>
      </c>
      <c r="BX594">
        <f t="shared" si="108"/>
        <v>154.61599999999999</v>
      </c>
      <c r="BY594" t="s">
        <v>0</v>
      </c>
    </row>
    <row r="595" spans="60:77" x14ac:dyDescent="0.25">
      <c r="BH595">
        <v>594</v>
      </c>
      <c r="BI595">
        <v>85.61</v>
      </c>
      <c r="BJ595">
        <f t="shared" si="105"/>
        <v>0</v>
      </c>
      <c r="BK595">
        <v>-5.41</v>
      </c>
      <c r="BL595" s="1">
        <f t="shared" si="106"/>
        <v>139.84399999999999</v>
      </c>
      <c r="BT595">
        <v>594</v>
      </c>
      <c r="BU595">
        <v>115.66</v>
      </c>
      <c r="BV595">
        <f t="shared" si="107"/>
        <v>0</v>
      </c>
      <c r="BW595">
        <v>-15.45</v>
      </c>
      <c r="BX595">
        <f t="shared" si="108"/>
        <v>154</v>
      </c>
      <c r="BY595" t="s">
        <v>0</v>
      </c>
    </row>
    <row r="596" spans="60:77" x14ac:dyDescent="0.25">
      <c r="BH596">
        <v>595</v>
      </c>
      <c r="BI596">
        <v>85.34</v>
      </c>
      <c r="BJ596">
        <f t="shared" si="105"/>
        <v>0</v>
      </c>
      <c r="BK596">
        <v>-5.41</v>
      </c>
      <c r="BL596" s="1">
        <f t="shared" si="106"/>
        <v>140</v>
      </c>
      <c r="BT596">
        <v>595</v>
      </c>
      <c r="BU596">
        <v>115.46</v>
      </c>
      <c r="BV596">
        <f t="shared" si="107"/>
        <v>0</v>
      </c>
      <c r="BW596">
        <v>-7.72</v>
      </c>
      <c r="BX596">
        <f t="shared" si="108"/>
        <v>157.09200000000001</v>
      </c>
      <c r="BY596" t="s">
        <v>0</v>
      </c>
    </row>
    <row r="597" spans="60:77" x14ac:dyDescent="0.25">
      <c r="BH597">
        <v>596</v>
      </c>
      <c r="BI597">
        <v>85</v>
      </c>
      <c r="BJ597">
        <f t="shared" si="105"/>
        <v>0</v>
      </c>
      <c r="BK597">
        <v>-6.95</v>
      </c>
      <c r="BL597" s="1">
        <f t="shared" si="106"/>
        <v>139.69200000000001</v>
      </c>
      <c r="BT597">
        <v>596</v>
      </c>
      <c r="BU597">
        <v>115.19</v>
      </c>
      <c r="BV597">
        <f t="shared" si="107"/>
        <v>0</v>
      </c>
      <c r="BW597">
        <v>-10.81</v>
      </c>
      <c r="BX597">
        <f t="shared" si="108"/>
        <v>152.76400000000001</v>
      </c>
      <c r="BY597" t="s">
        <v>0</v>
      </c>
    </row>
    <row r="598" spans="60:77" x14ac:dyDescent="0.25">
      <c r="BH598">
        <v>597</v>
      </c>
      <c r="BI598">
        <v>84.57</v>
      </c>
      <c r="BJ598">
        <f t="shared" si="105"/>
        <v>0</v>
      </c>
      <c r="BK598">
        <v>-8.5</v>
      </c>
      <c r="BL598" s="1">
        <f t="shared" si="106"/>
        <v>139.69</v>
      </c>
      <c r="BT598">
        <v>597</v>
      </c>
      <c r="BU598">
        <v>115.04</v>
      </c>
      <c r="BV598">
        <f t="shared" si="107"/>
        <v>0</v>
      </c>
      <c r="BW598">
        <v>-6.18</v>
      </c>
      <c r="BX598">
        <f t="shared" si="108"/>
        <v>155.852</v>
      </c>
      <c r="BY598" t="s">
        <v>0</v>
      </c>
    </row>
    <row r="599" spans="60:77" x14ac:dyDescent="0.25">
      <c r="BH599">
        <v>598</v>
      </c>
      <c r="BI599">
        <v>84.26</v>
      </c>
      <c r="BJ599">
        <f t="shared" si="105"/>
        <v>0</v>
      </c>
      <c r="BK599">
        <v>-6.18</v>
      </c>
      <c r="BL599" s="1">
        <f t="shared" si="106"/>
        <v>140.464</v>
      </c>
      <c r="BT599">
        <v>598</v>
      </c>
      <c r="BU599">
        <v>115</v>
      </c>
      <c r="BV599">
        <f t="shared" si="107"/>
        <v>0</v>
      </c>
      <c r="BW599">
        <v>-1.54</v>
      </c>
      <c r="BX599">
        <f t="shared" si="108"/>
        <v>155.85599999999999</v>
      </c>
      <c r="BY599" t="s">
        <v>0</v>
      </c>
    </row>
    <row r="600" spans="60:77" x14ac:dyDescent="0.25">
      <c r="BH600">
        <v>599</v>
      </c>
      <c r="BI600">
        <v>84.03</v>
      </c>
      <c r="BJ600">
        <f t="shared" si="105"/>
        <v>0</v>
      </c>
      <c r="BK600">
        <v>-4.63</v>
      </c>
      <c r="BL600" s="1">
        <f t="shared" si="106"/>
        <v>140.31</v>
      </c>
      <c r="BT600">
        <v>599</v>
      </c>
      <c r="BU600">
        <v>114.96</v>
      </c>
      <c r="BV600">
        <f t="shared" si="107"/>
        <v>0</v>
      </c>
      <c r="BW600">
        <v>-1.54</v>
      </c>
      <c r="BX600">
        <f t="shared" si="108"/>
        <v>154</v>
      </c>
      <c r="BY600" t="s">
        <v>0</v>
      </c>
    </row>
    <row r="601" spans="60:77" x14ac:dyDescent="0.25">
      <c r="BH601">
        <v>600</v>
      </c>
      <c r="BI601">
        <v>83.61</v>
      </c>
      <c r="BJ601">
        <f t="shared" si="105"/>
        <v>0</v>
      </c>
      <c r="BK601">
        <v>-8.5</v>
      </c>
      <c r="BL601" s="1">
        <f t="shared" si="106"/>
        <v>139.226</v>
      </c>
      <c r="BT601">
        <v>600</v>
      </c>
      <c r="BU601">
        <v>115.5</v>
      </c>
      <c r="BV601">
        <f t="shared" si="107"/>
        <v>175.63</v>
      </c>
      <c r="BW601">
        <v>21.63</v>
      </c>
      <c r="BX601">
        <f t="shared" si="108"/>
        <v>163.268</v>
      </c>
      <c r="BY601" t="s">
        <v>0</v>
      </c>
    </row>
    <row r="602" spans="60:77" x14ac:dyDescent="0.25">
      <c r="BH602">
        <v>601</v>
      </c>
      <c r="BI602">
        <v>84.11</v>
      </c>
      <c r="BJ602">
        <f t="shared" si="105"/>
        <v>150.04</v>
      </c>
      <c r="BK602">
        <v>10.039999999999999</v>
      </c>
      <c r="BL602" s="1">
        <f t="shared" si="106"/>
        <v>143.708</v>
      </c>
      <c r="BT602">
        <v>601</v>
      </c>
      <c r="BU602">
        <v>116.55</v>
      </c>
      <c r="BV602">
        <f t="shared" si="107"/>
        <v>195.71</v>
      </c>
      <c r="BW602">
        <v>41.71</v>
      </c>
      <c r="BX602">
        <f t="shared" si="108"/>
        <v>162.03200000000001</v>
      </c>
      <c r="BY602" t="s">
        <v>0</v>
      </c>
    </row>
    <row r="603" spans="60:77" x14ac:dyDescent="0.25">
      <c r="BH603">
        <v>602</v>
      </c>
      <c r="BI603">
        <v>84.57</v>
      </c>
      <c r="BJ603">
        <f t="shared" si="105"/>
        <v>149.27000000000001</v>
      </c>
      <c r="BK603">
        <v>9.27</v>
      </c>
      <c r="BL603" s="1">
        <f t="shared" si="106"/>
        <v>139.846</v>
      </c>
      <c r="BT603">
        <v>602</v>
      </c>
      <c r="BU603">
        <v>117.16</v>
      </c>
      <c r="BV603">
        <f t="shared" si="107"/>
        <v>178.71</v>
      </c>
      <c r="BW603">
        <v>24.71</v>
      </c>
      <c r="BX603">
        <f t="shared" si="108"/>
        <v>147.19999999999999</v>
      </c>
      <c r="BY603" t="s">
        <v>0</v>
      </c>
    </row>
    <row r="604" spans="60:77" x14ac:dyDescent="0.25">
      <c r="BH604">
        <v>603</v>
      </c>
      <c r="BI604">
        <v>84.57</v>
      </c>
      <c r="BJ604">
        <f t="shared" si="105"/>
        <v>0</v>
      </c>
      <c r="BK604">
        <v>0</v>
      </c>
      <c r="BL604" s="1">
        <f t="shared" si="106"/>
        <v>138.14599999999999</v>
      </c>
      <c r="BT604">
        <v>603</v>
      </c>
      <c r="BU604">
        <v>117.63</v>
      </c>
      <c r="BV604">
        <f t="shared" si="107"/>
        <v>172.54</v>
      </c>
      <c r="BW604">
        <v>18.54</v>
      </c>
      <c r="BX604">
        <f t="shared" si="108"/>
        <v>151.53200000000001</v>
      </c>
      <c r="BY604" t="s">
        <v>0</v>
      </c>
    </row>
    <row r="605" spans="60:77" x14ac:dyDescent="0.25">
      <c r="BH605">
        <v>604</v>
      </c>
      <c r="BI605">
        <v>84.42</v>
      </c>
      <c r="BJ605">
        <f t="shared" si="105"/>
        <v>0</v>
      </c>
      <c r="BK605">
        <v>-3.09</v>
      </c>
      <c r="BL605" s="1">
        <f t="shared" si="106"/>
        <v>139.38200000000001</v>
      </c>
      <c r="BT605">
        <v>604</v>
      </c>
      <c r="BU605">
        <v>117.74</v>
      </c>
      <c r="BV605">
        <f t="shared" si="107"/>
        <v>158.63</v>
      </c>
      <c r="BW605">
        <v>4.63</v>
      </c>
      <c r="BX605">
        <f t="shared" si="108"/>
        <v>148.43600000000001</v>
      </c>
      <c r="BY605" t="s">
        <v>0</v>
      </c>
    </row>
    <row r="606" spans="60:77" x14ac:dyDescent="0.25">
      <c r="BH606">
        <v>605</v>
      </c>
      <c r="BI606">
        <v>84.07</v>
      </c>
      <c r="BJ606">
        <f t="shared" si="105"/>
        <v>0</v>
      </c>
      <c r="BK606">
        <v>-6.95</v>
      </c>
      <c r="BL606" s="1">
        <f t="shared" si="106"/>
        <v>139.22800000000001</v>
      </c>
      <c r="BT606">
        <v>605</v>
      </c>
      <c r="BU606">
        <v>117.7</v>
      </c>
      <c r="BV606">
        <f t="shared" si="107"/>
        <v>0</v>
      </c>
      <c r="BW606">
        <v>-1.55</v>
      </c>
      <c r="BX606">
        <f t="shared" si="108"/>
        <v>151.52799999999999</v>
      </c>
      <c r="BY606" t="s">
        <v>0</v>
      </c>
    </row>
    <row r="607" spans="60:77" x14ac:dyDescent="0.25">
      <c r="BH607">
        <v>606</v>
      </c>
      <c r="BI607">
        <v>83.84</v>
      </c>
      <c r="BJ607">
        <f t="shared" si="105"/>
        <v>0</v>
      </c>
      <c r="BK607">
        <v>-4.63</v>
      </c>
      <c r="BL607" s="1">
        <f t="shared" si="106"/>
        <v>140.464</v>
      </c>
      <c r="BT607">
        <v>606</v>
      </c>
      <c r="BU607">
        <v>117.47</v>
      </c>
      <c r="BV607">
        <f t="shared" si="107"/>
        <v>0</v>
      </c>
      <c r="BW607">
        <v>-9.27</v>
      </c>
      <c r="BX607">
        <f t="shared" si="108"/>
        <v>150.91200000000001</v>
      </c>
      <c r="BY607" t="s">
        <v>0</v>
      </c>
    </row>
    <row r="608" spans="60:77" x14ac:dyDescent="0.25">
      <c r="BH608">
        <v>607</v>
      </c>
      <c r="BI608">
        <v>83.68</v>
      </c>
      <c r="BJ608">
        <f t="shared" si="105"/>
        <v>0</v>
      </c>
      <c r="BK608">
        <v>-3.09</v>
      </c>
      <c r="BL608" s="1">
        <f t="shared" si="106"/>
        <v>140.30799999999999</v>
      </c>
      <c r="BT608">
        <v>607</v>
      </c>
      <c r="BU608">
        <v>117.13</v>
      </c>
      <c r="BV608">
        <f t="shared" si="107"/>
        <v>0</v>
      </c>
      <c r="BW608">
        <v>-13.9</v>
      </c>
      <c r="BX608">
        <f t="shared" si="108"/>
        <v>152.148</v>
      </c>
      <c r="BY608" t="s">
        <v>0</v>
      </c>
    </row>
    <row r="609" spans="60:77" x14ac:dyDescent="0.25">
      <c r="BH609">
        <v>608</v>
      </c>
      <c r="BI609">
        <v>83.41</v>
      </c>
      <c r="BJ609">
        <f t="shared" si="105"/>
        <v>0</v>
      </c>
      <c r="BK609">
        <v>-5.41</v>
      </c>
      <c r="BL609" s="1">
        <f t="shared" si="106"/>
        <v>139.536</v>
      </c>
      <c r="BT609">
        <v>608</v>
      </c>
      <c r="BU609">
        <v>116.85</v>
      </c>
      <c r="BV609">
        <f t="shared" si="107"/>
        <v>0</v>
      </c>
      <c r="BW609">
        <v>-10.81</v>
      </c>
      <c r="BX609">
        <f t="shared" si="108"/>
        <v>155.23599999999999</v>
      </c>
      <c r="BY609" t="s">
        <v>0</v>
      </c>
    </row>
    <row r="610" spans="60:77" x14ac:dyDescent="0.25">
      <c r="BH610">
        <v>609</v>
      </c>
      <c r="BI610">
        <v>83.1</v>
      </c>
      <c r="BJ610">
        <f t="shared" si="105"/>
        <v>0</v>
      </c>
      <c r="BK610">
        <v>-6.18</v>
      </c>
      <c r="BL610" s="1">
        <f t="shared" si="106"/>
        <v>139.846</v>
      </c>
      <c r="BT610">
        <v>609</v>
      </c>
      <c r="BU610">
        <v>116.62</v>
      </c>
      <c r="BV610">
        <f t="shared" si="107"/>
        <v>0</v>
      </c>
      <c r="BW610">
        <v>-9.27</v>
      </c>
      <c r="BX610">
        <f t="shared" si="108"/>
        <v>154.61600000000001</v>
      </c>
      <c r="BY610" t="s">
        <v>0</v>
      </c>
    </row>
    <row r="611" spans="60:77" x14ac:dyDescent="0.25">
      <c r="BH611">
        <v>610</v>
      </c>
      <c r="BI611">
        <v>82.83</v>
      </c>
      <c r="BJ611">
        <f t="shared" si="105"/>
        <v>0</v>
      </c>
      <c r="BK611">
        <v>-5.41</v>
      </c>
      <c r="BL611" s="1">
        <f t="shared" si="106"/>
        <v>140.154</v>
      </c>
      <c r="BT611">
        <v>610</v>
      </c>
      <c r="BU611">
        <v>116.31</v>
      </c>
      <c r="BV611">
        <f t="shared" si="107"/>
        <v>0</v>
      </c>
      <c r="BW611">
        <v>-12.36</v>
      </c>
      <c r="BX611">
        <f t="shared" si="108"/>
        <v>152.76400000000001</v>
      </c>
      <c r="BY611" t="s">
        <v>0</v>
      </c>
    </row>
    <row r="612" spans="60:77" x14ac:dyDescent="0.25">
      <c r="BH612">
        <v>611</v>
      </c>
      <c r="BI612">
        <v>82.64</v>
      </c>
      <c r="BJ612">
        <f t="shared" si="105"/>
        <v>0</v>
      </c>
      <c r="BK612">
        <v>-3.86</v>
      </c>
      <c r="BL612" s="1">
        <f t="shared" si="106"/>
        <v>140.31</v>
      </c>
      <c r="BT612">
        <v>611</v>
      </c>
      <c r="BU612">
        <v>115.93</v>
      </c>
      <c r="BV612">
        <f t="shared" si="107"/>
        <v>0</v>
      </c>
      <c r="BW612">
        <v>-15.45</v>
      </c>
      <c r="BX612">
        <f t="shared" si="108"/>
        <v>152.76400000000001</v>
      </c>
      <c r="BY612" t="s">
        <v>0</v>
      </c>
    </row>
    <row r="613" spans="60:77" x14ac:dyDescent="0.25">
      <c r="BH613">
        <v>612</v>
      </c>
      <c r="BI613">
        <v>82.33</v>
      </c>
      <c r="BJ613">
        <f t="shared" si="105"/>
        <v>0</v>
      </c>
      <c r="BK613">
        <v>-6.18</v>
      </c>
      <c r="BL613" s="1">
        <f t="shared" si="106"/>
        <v>139.536</v>
      </c>
      <c r="BT613">
        <v>612</v>
      </c>
      <c r="BU613">
        <v>115.66</v>
      </c>
      <c r="BV613">
        <f t="shared" si="107"/>
        <v>0</v>
      </c>
      <c r="BW613">
        <v>-10.81</v>
      </c>
      <c r="BX613">
        <f t="shared" si="108"/>
        <v>155.85599999999999</v>
      </c>
      <c r="BY613" t="s">
        <v>0</v>
      </c>
    </row>
    <row r="614" spans="60:77" x14ac:dyDescent="0.25">
      <c r="BH614">
        <v>613</v>
      </c>
      <c r="BI614">
        <v>82.18</v>
      </c>
      <c r="BJ614">
        <f t="shared" si="105"/>
        <v>0</v>
      </c>
      <c r="BK614">
        <v>-3.09</v>
      </c>
      <c r="BL614" s="1">
        <f t="shared" si="106"/>
        <v>140.61799999999999</v>
      </c>
      <c r="BT614">
        <v>613</v>
      </c>
      <c r="BU614">
        <v>115.31</v>
      </c>
      <c r="BV614">
        <f t="shared" si="107"/>
        <v>0</v>
      </c>
      <c r="BW614">
        <v>-13.9</v>
      </c>
      <c r="BX614">
        <f t="shared" si="108"/>
        <v>152.76400000000001</v>
      </c>
      <c r="BY614" t="s">
        <v>0</v>
      </c>
    </row>
    <row r="615" spans="60:77" x14ac:dyDescent="0.25">
      <c r="BH615">
        <v>614</v>
      </c>
      <c r="BI615">
        <v>82.41</v>
      </c>
      <c r="BJ615">
        <f t="shared" si="105"/>
        <v>144.63</v>
      </c>
      <c r="BK615">
        <v>4.63</v>
      </c>
      <c r="BL615" s="1">
        <f t="shared" si="106"/>
        <v>141.54400000000001</v>
      </c>
      <c r="BT615">
        <v>614</v>
      </c>
      <c r="BU615">
        <v>114.92</v>
      </c>
      <c r="BV615">
        <f t="shared" si="107"/>
        <v>0</v>
      </c>
      <c r="BW615">
        <v>-15.45</v>
      </c>
      <c r="BX615">
        <f t="shared" si="108"/>
        <v>153.38</v>
      </c>
      <c r="BY615" t="s">
        <v>0</v>
      </c>
    </row>
    <row r="616" spans="60:77" x14ac:dyDescent="0.25">
      <c r="BH616">
        <v>615</v>
      </c>
      <c r="BI616">
        <v>74.180000000000007</v>
      </c>
      <c r="BJ616">
        <f t="shared" si="105"/>
        <v>0</v>
      </c>
      <c r="BK616">
        <v>-164.51</v>
      </c>
      <c r="BL616" s="1">
        <f t="shared" si="106"/>
        <v>106.172</v>
      </c>
      <c r="BT616">
        <v>615</v>
      </c>
      <c r="BU616">
        <v>114.42</v>
      </c>
      <c r="BV616">
        <f t="shared" si="107"/>
        <v>0</v>
      </c>
      <c r="BW616">
        <v>-20.079999999999998</v>
      </c>
      <c r="BX616">
        <f t="shared" si="108"/>
        <v>152.148</v>
      </c>
      <c r="BY616" t="s">
        <v>0</v>
      </c>
    </row>
    <row r="617" spans="60:77" x14ac:dyDescent="0.25">
      <c r="BH617">
        <v>616</v>
      </c>
      <c r="BI617">
        <v>67.89</v>
      </c>
      <c r="BJ617">
        <f t="shared" si="105"/>
        <v>0</v>
      </c>
      <c r="BK617">
        <v>-125.89</v>
      </c>
      <c r="BL617" s="1">
        <f t="shared" si="106"/>
        <v>147.72399999999999</v>
      </c>
      <c r="BT617">
        <v>616</v>
      </c>
      <c r="BU617">
        <v>114.04</v>
      </c>
      <c r="BV617">
        <f t="shared" si="107"/>
        <v>0</v>
      </c>
      <c r="BW617">
        <v>-15.45</v>
      </c>
      <c r="BX617">
        <f t="shared" si="108"/>
        <v>155.852</v>
      </c>
      <c r="BY617" t="s">
        <v>0</v>
      </c>
    </row>
    <row r="618" spans="60:77" x14ac:dyDescent="0.25">
      <c r="BH618">
        <v>617</v>
      </c>
      <c r="BI618">
        <v>62.48</v>
      </c>
      <c r="BJ618">
        <f t="shared" si="105"/>
        <v>0</v>
      </c>
      <c r="BK618">
        <v>-108.13</v>
      </c>
      <c r="BL618" s="1">
        <f t="shared" si="106"/>
        <v>143.55199999999999</v>
      </c>
      <c r="BT618">
        <v>617</v>
      </c>
      <c r="BU618">
        <v>113.73</v>
      </c>
      <c r="BV618">
        <f t="shared" si="107"/>
        <v>0</v>
      </c>
      <c r="BW618">
        <v>-12.36</v>
      </c>
      <c r="BX618">
        <f t="shared" si="108"/>
        <v>155.23599999999999</v>
      </c>
      <c r="BY618" t="s">
        <v>0</v>
      </c>
    </row>
    <row r="619" spans="60:77" x14ac:dyDescent="0.25">
      <c r="BH619">
        <v>618</v>
      </c>
      <c r="BI619">
        <v>57.85</v>
      </c>
      <c r="BJ619">
        <f t="shared" si="105"/>
        <v>0</v>
      </c>
      <c r="BK619">
        <v>-92.68</v>
      </c>
      <c r="BL619" s="1">
        <f t="shared" si="106"/>
        <v>143.09</v>
      </c>
      <c r="BT619">
        <v>618</v>
      </c>
      <c r="BU619">
        <v>113.46</v>
      </c>
      <c r="BV619">
        <f t="shared" si="107"/>
        <v>0</v>
      </c>
      <c r="BW619">
        <v>-10.81</v>
      </c>
      <c r="BX619">
        <f t="shared" si="108"/>
        <v>154.62</v>
      </c>
      <c r="BY619" t="s">
        <v>0</v>
      </c>
    </row>
    <row r="620" spans="60:77" x14ac:dyDescent="0.25">
      <c r="BH620">
        <v>619</v>
      </c>
      <c r="BI620">
        <v>53.75</v>
      </c>
      <c r="BJ620">
        <f t="shared" si="105"/>
        <v>0</v>
      </c>
      <c r="BK620">
        <v>-81.87</v>
      </c>
      <c r="BL620" s="1">
        <f t="shared" si="106"/>
        <v>142.16200000000001</v>
      </c>
      <c r="BT620">
        <v>619</v>
      </c>
      <c r="BU620">
        <v>113.19</v>
      </c>
      <c r="BV620">
        <f t="shared" si="107"/>
        <v>0</v>
      </c>
      <c r="BW620">
        <v>-10.81</v>
      </c>
      <c r="BX620">
        <f t="shared" si="108"/>
        <v>154</v>
      </c>
      <c r="BY620" t="s">
        <v>0</v>
      </c>
    </row>
    <row r="621" spans="60:77" x14ac:dyDescent="0.25">
      <c r="BH621">
        <v>620</v>
      </c>
      <c r="BI621">
        <v>50.01</v>
      </c>
      <c r="BJ621">
        <f t="shared" si="105"/>
        <v>0</v>
      </c>
      <c r="BK621">
        <v>-74.92</v>
      </c>
      <c r="BL621" s="1">
        <f t="shared" si="106"/>
        <v>141.38999999999999</v>
      </c>
      <c r="BT621">
        <v>620</v>
      </c>
      <c r="BU621">
        <v>113.19</v>
      </c>
      <c r="BV621">
        <f t="shared" si="107"/>
        <v>0</v>
      </c>
      <c r="BW621">
        <v>0</v>
      </c>
      <c r="BX621">
        <f t="shared" si="108"/>
        <v>158.32400000000001</v>
      </c>
      <c r="BY621" t="s">
        <v>0</v>
      </c>
    </row>
    <row r="622" spans="60:77" x14ac:dyDescent="0.25">
      <c r="BH622">
        <v>621</v>
      </c>
      <c r="BI622">
        <v>46.61</v>
      </c>
      <c r="BJ622">
        <f t="shared" si="105"/>
        <v>0</v>
      </c>
      <c r="BK622">
        <v>-67.97</v>
      </c>
      <c r="BL622" s="1">
        <f t="shared" si="106"/>
        <v>141.38999999999999</v>
      </c>
      <c r="BT622">
        <v>621</v>
      </c>
      <c r="BU622">
        <v>113.96</v>
      </c>
      <c r="BV622">
        <f t="shared" si="107"/>
        <v>184.89</v>
      </c>
      <c r="BW622">
        <v>30.89</v>
      </c>
      <c r="BX622">
        <f t="shared" si="108"/>
        <v>166.35599999999999</v>
      </c>
      <c r="BY622" t="s">
        <v>0</v>
      </c>
    </row>
    <row r="623" spans="60:77" x14ac:dyDescent="0.25">
      <c r="BH623">
        <v>622</v>
      </c>
      <c r="BI623">
        <v>43.44</v>
      </c>
      <c r="BJ623">
        <f t="shared" si="105"/>
        <v>0</v>
      </c>
      <c r="BK623">
        <v>-63.33</v>
      </c>
      <c r="BL623" s="1">
        <f t="shared" si="106"/>
        <v>140.928</v>
      </c>
      <c r="BT623">
        <v>622</v>
      </c>
      <c r="BU623">
        <v>115.08</v>
      </c>
      <c r="BV623">
        <f t="shared" si="107"/>
        <v>198.8</v>
      </c>
      <c r="BW623">
        <v>44.8</v>
      </c>
      <c r="BX623">
        <f t="shared" si="108"/>
        <v>159.56399999999999</v>
      </c>
      <c r="BY623" t="s">
        <v>0</v>
      </c>
    </row>
    <row r="624" spans="60:77" x14ac:dyDescent="0.25">
      <c r="BH624">
        <v>623</v>
      </c>
      <c r="BI624">
        <v>40.590000000000003</v>
      </c>
      <c r="BJ624">
        <f t="shared" si="105"/>
        <v>0</v>
      </c>
      <c r="BK624">
        <v>-57.15</v>
      </c>
      <c r="BL624" s="1">
        <f t="shared" si="106"/>
        <v>141.23599999999999</v>
      </c>
      <c r="BT624">
        <v>623</v>
      </c>
      <c r="BU624">
        <v>115.73</v>
      </c>
      <c r="BV624">
        <f t="shared" si="107"/>
        <v>180.26</v>
      </c>
      <c r="BW624">
        <v>26.26</v>
      </c>
      <c r="BX624">
        <f t="shared" si="108"/>
        <v>146.584</v>
      </c>
      <c r="BY624" t="s">
        <v>0</v>
      </c>
    </row>
    <row r="625" spans="60:77" x14ac:dyDescent="0.25">
      <c r="BH625">
        <v>624</v>
      </c>
      <c r="BI625">
        <v>38.04</v>
      </c>
      <c r="BJ625">
        <f t="shared" si="105"/>
        <v>0</v>
      </c>
      <c r="BK625">
        <v>-50.97</v>
      </c>
      <c r="BL625" s="1">
        <f t="shared" si="106"/>
        <v>141.23599999999999</v>
      </c>
      <c r="BT625">
        <v>624</v>
      </c>
      <c r="BU625">
        <v>115.93</v>
      </c>
      <c r="BV625">
        <f t="shared" si="107"/>
        <v>161.72</v>
      </c>
      <c r="BW625">
        <v>7.72</v>
      </c>
      <c r="BX625">
        <f t="shared" si="108"/>
        <v>146.584</v>
      </c>
      <c r="BY625" t="s">
        <v>0</v>
      </c>
    </row>
    <row r="626" spans="60:77" x14ac:dyDescent="0.25">
      <c r="BH626">
        <v>625</v>
      </c>
      <c r="BI626">
        <v>35.57</v>
      </c>
      <c r="BJ626">
        <f t="shared" si="105"/>
        <v>0</v>
      </c>
      <c r="BK626">
        <v>-49.43</v>
      </c>
      <c r="BL626" s="1">
        <f t="shared" si="106"/>
        <v>140.30799999999999</v>
      </c>
      <c r="BT626">
        <v>625</v>
      </c>
      <c r="BU626">
        <v>115.93</v>
      </c>
      <c r="BV626">
        <f t="shared" si="107"/>
        <v>0</v>
      </c>
      <c r="BW626">
        <v>0</v>
      </c>
      <c r="BX626">
        <f t="shared" si="108"/>
        <v>150.91200000000001</v>
      </c>
      <c r="BY626" t="s">
        <v>0</v>
      </c>
    </row>
    <row r="627" spans="60:77" x14ac:dyDescent="0.25">
      <c r="BH627">
        <v>626</v>
      </c>
      <c r="BI627">
        <v>33.479999999999997</v>
      </c>
      <c r="BJ627">
        <f t="shared" si="105"/>
        <v>0</v>
      </c>
      <c r="BK627">
        <v>-41.71</v>
      </c>
      <c r="BL627" s="1">
        <f t="shared" si="106"/>
        <v>141.54400000000001</v>
      </c>
      <c r="BT627">
        <v>626</v>
      </c>
      <c r="BU627">
        <v>115.85</v>
      </c>
      <c r="BV627">
        <f t="shared" si="107"/>
        <v>0</v>
      </c>
      <c r="BW627">
        <v>-3.09</v>
      </c>
      <c r="BX627">
        <f t="shared" si="108"/>
        <v>152.76400000000001</v>
      </c>
      <c r="BY627" t="s">
        <v>0</v>
      </c>
    </row>
    <row r="628" spans="60:77" x14ac:dyDescent="0.25">
      <c r="BH628">
        <v>627</v>
      </c>
      <c r="BI628">
        <v>31.7</v>
      </c>
      <c r="BJ628">
        <f t="shared" si="105"/>
        <v>0</v>
      </c>
      <c r="BK628">
        <v>-35.53</v>
      </c>
      <c r="BL628" s="1">
        <f t="shared" si="106"/>
        <v>141.23599999999999</v>
      </c>
      <c r="BT628">
        <v>627</v>
      </c>
      <c r="BU628">
        <v>115.58</v>
      </c>
      <c r="BV628">
        <f t="shared" si="107"/>
        <v>0</v>
      </c>
      <c r="BW628">
        <v>-10.81</v>
      </c>
      <c r="BX628">
        <f t="shared" si="108"/>
        <v>150.91200000000001</v>
      </c>
      <c r="BY628" t="s">
        <v>0</v>
      </c>
    </row>
    <row r="629" spans="60:77" x14ac:dyDescent="0.25">
      <c r="BH629">
        <v>628</v>
      </c>
      <c r="BI629">
        <v>29.85</v>
      </c>
      <c r="BJ629">
        <f t="shared" si="105"/>
        <v>0</v>
      </c>
      <c r="BK629">
        <v>-37.07</v>
      </c>
      <c r="BL629" s="1">
        <f t="shared" si="106"/>
        <v>139.69200000000001</v>
      </c>
      <c r="BT629">
        <v>628</v>
      </c>
      <c r="BU629">
        <v>115.19</v>
      </c>
      <c r="BV629">
        <f t="shared" si="107"/>
        <v>0</v>
      </c>
      <c r="BW629">
        <v>-15.45</v>
      </c>
      <c r="BX629">
        <f t="shared" si="108"/>
        <v>152.14400000000001</v>
      </c>
      <c r="BY629" t="s">
        <v>0</v>
      </c>
    </row>
    <row r="630" spans="60:77" x14ac:dyDescent="0.25">
      <c r="BH630">
        <v>629</v>
      </c>
      <c r="BI630">
        <v>28.15</v>
      </c>
      <c r="BJ630">
        <f t="shared" si="105"/>
        <v>0</v>
      </c>
      <c r="BK630">
        <v>-33.979999999999997</v>
      </c>
      <c r="BL630" s="1">
        <f t="shared" si="106"/>
        <v>140.61799999999999</v>
      </c>
      <c r="BT630">
        <v>629</v>
      </c>
      <c r="BU630">
        <v>114.89</v>
      </c>
      <c r="BV630">
        <f t="shared" si="107"/>
        <v>0</v>
      </c>
      <c r="BW630">
        <v>-12.36</v>
      </c>
      <c r="BX630">
        <f t="shared" si="108"/>
        <v>155.23599999999999</v>
      </c>
      <c r="BY630" t="s">
        <v>0</v>
      </c>
    </row>
    <row r="631" spans="60:77" x14ac:dyDescent="0.25">
      <c r="BH631">
        <v>630</v>
      </c>
      <c r="BI631">
        <v>26.45</v>
      </c>
      <c r="BJ631">
        <f t="shared" si="105"/>
        <v>0</v>
      </c>
      <c r="BK631">
        <v>-33.979999999999997</v>
      </c>
      <c r="BL631" s="1">
        <f t="shared" si="106"/>
        <v>140</v>
      </c>
      <c r="BT631">
        <v>630</v>
      </c>
      <c r="BU631">
        <v>114.54</v>
      </c>
      <c r="BV631">
        <f t="shared" si="107"/>
        <v>0</v>
      </c>
      <c r="BW631">
        <v>-13.9</v>
      </c>
      <c r="BX631">
        <f t="shared" si="108"/>
        <v>153.38399999999999</v>
      </c>
      <c r="BY631" t="s">
        <v>0</v>
      </c>
    </row>
    <row r="632" spans="60:77" x14ac:dyDescent="0.25">
      <c r="BH632">
        <v>631</v>
      </c>
      <c r="BI632">
        <v>24.91</v>
      </c>
      <c r="BJ632">
        <f t="shared" si="105"/>
        <v>0</v>
      </c>
      <c r="BK632">
        <v>-30.89</v>
      </c>
      <c r="BL632" s="1">
        <f t="shared" si="106"/>
        <v>140.61799999999999</v>
      </c>
      <c r="BT632">
        <v>631</v>
      </c>
      <c r="BU632">
        <v>114.34</v>
      </c>
      <c r="BV632">
        <f t="shared" si="107"/>
        <v>0</v>
      </c>
      <c r="BW632">
        <v>-7.72</v>
      </c>
      <c r="BX632">
        <f t="shared" si="108"/>
        <v>156.47200000000001</v>
      </c>
      <c r="BY632" t="s">
        <v>0</v>
      </c>
    </row>
    <row r="633" spans="60:77" x14ac:dyDescent="0.25">
      <c r="BH633">
        <v>632</v>
      </c>
      <c r="BI633">
        <v>23.59</v>
      </c>
      <c r="BJ633">
        <f t="shared" si="105"/>
        <v>0</v>
      </c>
      <c r="BK633">
        <v>-26.26</v>
      </c>
      <c r="BL633" s="1">
        <f t="shared" si="106"/>
        <v>140.92599999999999</v>
      </c>
      <c r="BT633">
        <v>632</v>
      </c>
      <c r="BU633">
        <v>113.96</v>
      </c>
      <c r="BV633">
        <f t="shared" si="107"/>
        <v>0</v>
      </c>
      <c r="BW633">
        <v>-15.45</v>
      </c>
      <c r="BX633">
        <f t="shared" si="108"/>
        <v>150.90799999999999</v>
      </c>
      <c r="BY633" t="s">
        <v>0</v>
      </c>
    </row>
    <row r="634" spans="60:77" x14ac:dyDescent="0.25">
      <c r="BH634">
        <v>633</v>
      </c>
      <c r="BI634">
        <v>22.2</v>
      </c>
      <c r="BJ634">
        <f t="shared" si="105"/>
        <v>0</v>
      </c>
      <c r="BK634">
        <v>-27.8</v>
      </c>
      <c r="BL634" s="1">
        <f t="shared" si="106"/>
        <v>139.69200000000001</v>
      </c>
      <c r="BT634">
        <v>633</v>
      </c>
      <c r="BU634">
        <v>113.61</v>
      </c>
      <c r="BV634">
        <f t="shared" si="107"/>
        <v>0</v>
      </c>
      <c r="BW634">
        <v>-13.9</v>
      </c>
      <c r="BX634">
        <f t="shared" si="108"/>
        <v>154.62</v>
      </c>
      <c r="BY634" t="s">
        <v>0</v>
      </c>
    </row>
    <row r="635" spans="60:77" x14ac:dyDescent="0.25">
      <c r="BH635">
        <v>634</v>
      </c>
      <c r="BI635">
        <v>21.01</v>
      </c>
      <c r="BJ635">
        <f t="shared" si="105"/>
        <v>0</v>
      </c>
      <c r="BK635">
        <v>-23.94</v>
      </c>
      <c r="BL635" s="1">
        <f t="shared" si="106"/>
        <v>140.77199999999999</v>
      </c>
      <c r="BT635">
        <v>634</v>
      </c>
      <c r="BU635">
        <v>113.22</v>
      </c>
      <c r="BV635">
        <f t="shared" si="107"/>
        <v>0</v>
      </c>
      <c r="BW635">
        <v>-15.45</v>
      </c>
      <c r="BX635">
        <f t="shared" si="108"/>
        <v>153.38</v>
      </c>
      <c r="BY635" t="s">
        <v>0</v>
      </c>
    </row>
    <row r="636" spans="60:77" x14ac:dyDescent="0.25">
      <c r="BH636">
        <v>635</v>
      </c>
      <c r="BI636">
        <v>20</v>
      </c>
      <c r="BJ636">
        <f t="shared" si="105"/>
        <v>0</v>
      </c>
      <c r="BK636">
        <v>-20.079999999999998</v>
      </c>
      <c r="BL636" s="1">
        <f t="shared" si="106"/>
        <v>140.77199999999999</v>
      </c>
      <c r="BT636">
        <v>635</v>
      </c>
      <c r="BU636">
        <v>112.88</v>
      </c>
      <c r="BV636">
        <f t="shared" si="107"/>
        <v>0</v>
      </c>
      <c r="BW636">
        <v>-13.9</v>
      </c>
      <c r="BX636">
        <f t="shared" si="108"/>
        <v>154.62</v>
      </c>
      <c r="BY636" t="s">
        <v>0</v>
      </c>
    </row>
    <row r="637" spans="60:77" x14ac:dyDescent="0.25">
      <c r="BH637">
        <v>636</v>
      </c>
      <c r="BI637">
        <v>18.96</v>
      </c>
      <c r="BJ637">
        <f t="shared" si="105"/>
        <v>0</v>
      </c>
      <c r="BK637">
        <v>-20.85</v>
      </c>
      <c r="BL637" s="1">
        <f t="shared" si="106"/>
        <v>139.846</v>
      </c>
      <c r="BT637">
        <v>636</v>
      </c>
      <c r="BU637">
        <v>112.41</v>
      </c>
      <c r="BV637">
        <f t="shared" si="107"/>
        <v>0</v>
      </c>
      <c r="BW637">
        <v>-18.54</v>
      </c>
      <c r="BX637">
        <f t="shared" si="108"/>
        <v>152.14400000000001</v>
      </c>
      <c r="BY637" t="s">
        <v>0</v>
      </c>
    </row>
    <row r="638" spans="60:77" x14ac:dyDescent="0.25">
      <c r="BH638">
        <v>637</v>
      </c>
      <c r="BI638">
        <v>18</v>
      </c>
      <c r="BJ638">
        <f t="shared" si="105"/>
        <v>0</v>
      </c>
      <c r="BK638">
        <v>-19.309999999999999</v>
      </c>
      <c r="BL638" s="1">
        <f t="shared" si="106"/>
        <v>140.30799999999999</v>
      </c>
      <c r="BT638">
        <v>637</v>
      </c>
      <c r="BU638">
        <v>112.03</v>
      </c>
      <c r="BV638">
        <f t="shared" si="107"/>
        <v>0</v>
      </c>
      <c r="BW638">
        <v>-15.45</v>
      </c>
      <c r="BX638">
        <f t="shared" si="108"/>
        <v>155.23599999999999</v>
      </c>
      <c r="BY638" t="s">
        <v>0</v>
      </c>
    </row>
    <row r="639" spans="60:77" x14ac:dyDescent="0.25">
      <c r="BH639">
        <v>638</v>
      </c>
      <c r="BI639">
        <v>17.07</v>
      </c>
      <c r="BJ639">
        <f t="shared" si="105"/>
        <v>0</v>
      </c>
      <c r="BK639">
        <v>-18.54</v>
      </c>
      <c r="BL639" s="1">
        <f t="shared" si="106"/>
        <v>140.154</v>
      </c>
      <c r="BT639">
        <v>638</v>
      </c>
      <c r="BU639">
        <v>111.8</v>
      </c>
      <c r="BV639">
        <f t="shared" si="107"/>
        <v>0</v>
      </c>
      <c r="BW639">
        <v>-9.27</v>
      </c>
      <c r="BX639">
        <f t="shared" si="108"/>
        <v>156.47200000000001</v>
      </c>
      <c r="BY639" t="s">
        <v>0</v>
      </c>
    </row>
    <row r="640" spans="60:77" x14ac:dyDescent="0.25">
      <c r="BH640">
        <v>639</v>
      </c>
      <c r="BI640">
        <v>16.41</v>
      </c>
      <c r="BJ640">
        <f t="shared" si="105"/>
        <v>0</v>
      </c>
      <c r="BK640">
        <v>-13.13</v>
      </c>
      <c r="BL640" s="1">
        <f t="shared" si="106"/>
        <v>141.08199999999999</v>
      </c>
      <c r="BT640">
        <v>639</v>
      </c>
      <c r="BU640">
        <v>111.49</v>
      </c>
      <c r="BV640">
        <f t="shared" si="107"/>
        <v>0</v>
      </c>
      <c r="BW640">
        <v>-12.36</v>
      </c>
      <c r="BX640">
        <f t="shared" si="108"/>
        <v>152.76400000000001</v>
      </c>
      <c r="BY640" t="s">
        <v>0</v>
      </c>
    </row>
    <row r="641" spans="60:77" x14ac:dyDescent="0.25">
      <c r="BH641">
        <v>640</v>
      </c>
      <c r="BI641">
        <v>15.68</v>
      </c>
      <c r="BJ641">
        <f t="shared" si="105"/>
        <v>0</v>
      </c>
      <c r="BK641">
        <v>-14.67</v>
      </c>
      <c r="BL641" s="1">
        <f t="shared" si="106"/>
        <v>139.69200000000001</v>
      </c>
      <c r="BT641">
        <v>640</v>
      </c>
      <c r="BU641">
        <v>111.26</v>
      </c>
      <c r="BV641">
        <f t="shared" si="107"/>
        <v>0</v>
      </c>
      <c r="BW641">
        <v>-9.27</v>
      </c>
      <c r="BX641">
        <f t="shared" si="108"/>
        <v>155.23599999999999</v>
      </c>
      <c r="BY641" t="s">
        <v>0</v>
      </c>
    </row>
    <row r="642" spans="60:77" x14ac:dyDescent="0.25">
      <c r="BH642">
        <v>641</v>
      </c>
      <c r="BI642">
        <v>15.02</v>
      </c>
      <c r="BJ642">
        <f t="shared" si="105"/>
        <v>0</v>
      </c>
      <c r="BK642">
        <v>-13.13</v>
      </c>
      <c r="BL642" s="1">
        <f t="shared" si="106"/>
        <v>140.30799999999999</v>
      </c>
      <c r="BT642">
        <v>641</v>
      </c>
      <c r="BU642">
        <v>111.14</v>
      </c>
      <c r="BV642">
        <f t="shared" si="107"/>
        <v>0</v>
      </c>
      <c r="BW642">
        <v>-4.63</v>
      </c>
      <c r="BX642">
        <f t="shared" si="108"/>
        <v>155.85599999999999</v>
      </c>
      <c r="BY642" t="s">
        <v>0</v>
      </c>
    </row>
    <row r="643" spans="60:77" x14ac:dyDescent="0.25">
      <c r="BH643">
        <v>642</v>
      </c>
      <c r="BI643">
        <v>14.48</v>
      </c>
      <c r="BJ643">
        <f t="shared" ref="BJ643:BJ696" si="109">IF(BK643&gt;0,BK643+BJ$1,0)</f>
        <v>0</v>
      </c>
      <c r="BK643">
        <v>-10.81</v>
      </c>
      <c r="BL643" s="1">
        <f t="shared" ref="BL643:BL696" si="110">(BK643-BK642)/5+BJ$1</f>
        <v>140.464</v>
      </c>
      <c r="BT643">
        <v>642</v>
      </c>
      <c r="BU643">
        <v>111.49</v>
      </c>
      <c r="BV643">
        <f t="shared" ref="BV643:BV706" si="111">IF(BW643&gt;0,BW643+BV$1,0)</f>
        <v>167.9</v>
      </c>
      <c r="BW643">
        <v>13.9</v>
      </c>
      <c r="BX643">
        <f t="shared" si="108"/>
        <v>161.41200000000001</v>
      </c>
      <c r="BY643" t="s">
        <v>0</v>
      </c>
    </row>
    <row r="644" spans="60:77" x14ac:dyDescent="0.25">
      <c r="BH644">
        <v>643</v>
      </c>
      <c r="BI644">
        <v>13.86</v>
      </c>
      <c r="BJ644">
        <f t="shared" si="109"/>
        <v>0</v>
      </c>
      <c r="BK644">
        <v>-12.36</v>
      </c>
      <c r="BL644" s="1">
        <f t="shared" si="110"/>
        <v>139.69</v>
      </c>
      <c r="BT644">
        <v>643</v>
      </c>
      <c r="BU644">
        <v>112.61</v>
      </c>
      <c r="BV644">
        <f t="shared" si="111"/>
        <v>198.8</v>
      </c>
      <c r="BW644">
        <v>44.8</v>
      </c>
      <c r="BX644">
        <f t="shared" ref="BX644:BX707" si="112">BV$1+(BW644-BW643)/2.5</f>
        <v>166.36</v>
      </c>
      <c r="BY644" t="s">
        <v>0</v>
      </c>
    </row>
    <row r="645" spans="60:77" x14ac:dyDescent="0.25">
      <c r="BH645">
        <v>644</v>
      </c>
      <c r="BI645">
        <v>13.21</v>
      </c>
      <c r="BJ645">
        <f t="shared" si="109"/>
        <v>0</v>
      </c>
      <c r="BK645">
        <v>-13.13</v>
      </c>
      <c r="BL645" s="1">
        <f t="shared" si="110"/>
        <v>139.846</v>
      </c>
      <c r="BT645">
        <v>644</v>
      </c>
      <c r="BU645">
        <v>113.53</v>
      </c>
      <c r="BV645">
        <f t="shared" si="111"/>
        <v>191.07</v>
      </c>
      <c r="BW645">
        <v>37.07</v>
      </c>
      <c r="BX645">
        <f t="shared" si="112"/>
        <v>150.90800000000002</v>
      </c>
      <c r="BY645" t="s">
        <v>0</v>
      </c>
    </row>
    <row r="646" spans="60:77" x14ac:dyDescent="0.25">
      <c r="BH646">
        <v>645</v>
      </c>
      <c r="BI646">
        <v>12.67</v>
      </c>
      <c r="BJ646">
        <f t="shared" si="109"/>
        <v>0</v>
      </c>
      <c r="BK646">
        <v>-10.81</v>
      </c>
      <c r="BL646" s="1">
        <f t="shared" si="110"/>
        <v>140.464</v>
      </c>
      <c r="BT646">
        <v>645</v>
      </c>
      <c r="BU646">
        <v>114</v>
      </c>
      <c r="BV646">
        <f t="shared" si="111"/>
        <v>172.54</v>
      </c>
      <c r="BW646">
        <v>18.54</v>
      </c>
      <c r="BX646">
        <f t="shared" si="112"/>
        <v>146.58799999999999</v>
      </c>
      <c r="BY646" t="s">
        <v>0</v>
      </c>
    </row>
    <row r="647" spans="60:77" x14ac:dyDescent="0.25">
      <c r="BH647">
        <v>646</v>
      </c>
      <c r="BI647">
        <v>12.09</v>
      </c>
      <c r="BJ647">
        <f t="shared" si="109"/>
        <v>0</v>
      </c>
      <c r="BK647">
        <v>-11.59</v>
      </c>
      <c r="BL647" s="1">
        <f t="shared" si="110"/>
        <v>139.84399999999999</v>
      </c>
      <c r="BT647">
        <v>646</v>
      </c>
      <c r="BU647">
        <v>114</v>
      </c>
      <c r="BV647">
        <f t="shared" si="111"/>
        <v>0</v>
      </c>
      <c r="BW647">
        <v>0</v>
      </c>
      <c r="BX647">
        <f t="shared" si="112"/>
        <v>146.584</v>
      </c>
      <c r="BY647" t="s">
        <v>0</v>
      </c>
    </row>
    <row r="648" spans="60:77" x14ac:dyDescent="0.25">
      <c r="BH648">
        <v>647</v>
      </c>
      <c r="BI648">
        <v>11.59</v>
      </c>
      <c r="BJ648">
        <f t="shared" si="109"/>
        <v>0</v>
      </c>
      <c r="BK648">
        <v>-10.039999999999999</v>
      </c>
      <c r="BL648" s="1">
        <f t="shared" si="110"/>
        <v>140.31</v>
      </c>
      <c r="BT648">
        <v>647</v>
      </c>
      <c r="BU648">
        <v>114</v>
      </c>
      <c r="BV648">
        <f t="shared" si="111"/>
        <v>0</v>
      </c>
      <c r="BW648">
        <v>0</v>
      </c>
      <c r="BX648">
        <f t="shared" si="112"/>
        <v>154</v>
      </c>
      <c r="BY648" t="s">
        <v>0</v>
      </c>
    </row>
    <row r="649" spans="60:77" x14ac:dyDescent="0.25">
      <c r="BH649">
        <v>648</v>
      </c>
      <c r="BI649">
        <v>11.04</v>
      </c>
      <c r="BJ649">
        <f t="shared" si="109"/>
        <v>0</v>
      </c>
      <c r="BK649">
        <v>-10.81</v>
      </c>
      <c r="BL649" s="1">
        <f t="shared" si="110"/>
        <v>139.846</v>
      </c>
      <c r="BT649">
        <v>648</v>
      </c>
      <c r="BU649">
        <v>113.73</v>
      </c>
      <c r="BV649">
        <f t="shared" si="111"/>
        <v>0</v>
      </c>
      <c r="BW649">
        <v>-10.81</v>
      </c>
      <c r="BX649">
        <f t="shared" si="112"/>
        <v>149.67599999999999</v>
      </c>
      <c r="BY649" t="s">
        <v>0</v>
      </c>
    </row>
    <row r="650" spans="60:77" x14ac:dyDescent="0.25">
      <c r="BH650">
        <v>649</v>
      </c>
      <c r="BI650">
        <v>10.58</v>
      </c>
      <c r="BJ650">
        <f t="shared" si="109"/>
        <v>0</v>
      </c>
      <c r="BK650">
        <v>-9.27</v>
      </c>
      <c r="BL650" s="1">
        <f t="shared" si="110"/>
        <v>140.30799999999999</v>
      </c>
      <c r="BT650">
        <v>649</v>
      </c>
      <c r="BU650">
        <v>113.38</v>
      </c>
      <c r="BV650">
        <f t="shared" si="111"/>
        <v>0</v>
      </c>
      <c r="BW650">
        <v>-13.9</v>
      </c>
      <c r="BX650">
        <f t="shared" si="112"/>
        <v>152.76400000000001</v>
      </c>
      <c r="BY650" t="s">
        <v>0</v>
      </c>
    </row>
    <row r="651" spans="60:77" x14ac:dyDescent="0.25">
      <c r="BH651">
        <v>650</v>
      </c>
      <c r="BI651">
        <v>10.16</v>
      </c>
      <c r="BJ651">
        <f t="shared" si="109"/>
        <v>0</v>
      </c>
      <c r="BK651">
        <v>-8.5</v>
      </c>
      <c r="BL651" s="1">
        <f t="shared" si="110"/>
        <v>140.154</v>
      </c>
      <c r="BT651">
        <v>650</v>
      </c>
      <c r="BU651">
        <v>113.03</v>
      </c>
      <c r="BV651">
        <f t="shared" si="111"/>
        <v>0</v>
      </c>
      <c r="BW651">
        <v>-13.9</v>
      </c>
      <c r="BX651">
        <f t="shared" si="112"/>
        <v>154</v>
      </c>
      <c r="BY651" t="s">
        <v>0</v>
      </c>
    </row>
    <row r="652" spans="60:77" x14ac:dyDescent="0.25">
      <c r="BH652">
        <v>651</v>
      </c>
      <c r="BI652">
        <v>9.69</v>
      </c>
      <c r="BJ652">
        <f t="shared" si="109"/>
        <v>0</v>
      </c>
      <c r="BK652">
        <v>-9.27</v>
      </c>
      <c r="BL652" s="1">
        <f t="shared" si="110"/>
        <v>139.846</v>
      </c>
      <c r="BT652">
        <v>651</v>
      </c>
      <c r="BU652">
        <v>112.61</v>
      </c>
      <c r="BV652">
        <f t="shared" si="111"/>
        <v>0</v>
      </c>
      <c r="BW652">
        <v>-16.989999999999998</v>
      </c>
      <c r="BX652">
        <f t="shared" si="112"/>
        <v>152.76400000000001</v>
      </c>
      <c r="BY652" t="s">
        <v>0</v>
      </c>
    </row>
    <row r="653" spans="60:77" x14ac:dyDescent="0.25">
      <c r="BH653">
        <v>652</v>
      </c>
      <c r="BI653">
        <v>9.42</v>
      </c>
      <c r="BJ653">
        <f t="shared" si="109"/>
        <v>0</v>
      </c>
      <c r="BK653">
        <v>-5.41</v>
      </c>
      <c r="BL653" s="1">
        <f t="shared" si="110"/>
        <v>140.77199999999999</v>
      </c>
      <c r="BT653">
        <v>652</v>
      </c>
      <c r="BU653">
        <v>112.34</v>
      </c>
      <c r="BV653">
        <f t="shared" si="111"/>
        <v>0</v>
      </c>
      <c r="BW653">
        <v>-10.81</v>
      </c>
      <c r="BX653">
        <f t="shared" si="112"/>
        <v>156.47200000000001</v>
      </c>
      <c r="BY653" t="s">
        <v>0</v>
      </c>
    </row>
    <row r="654" spans="60:77" x14ac:dyDescent="0.25">
      <c r="BH654">
        <v>653</v>
      </c>
      <c r="BI654">
        <v>9.0399999999999991</v>
      </c>
      <c r="BJ654">
        <f t="shared" si="109"/>
        <v>0</v>
      </c>
      <c r="BK654">
        <v>-7.72</v>
      </c>
      <c r="BL654" s="1">
        <f t="shared" si="110"/>
        <v>139.53800000000001</v>
      </c>
      <c r="BT654">
        <v>653</v>
      </c>
      <c r="BU654">
        <v>111.99</v>
      </c>
      <c r="BV654">
        <f t="shared" si="111"/>
        <v>0</v>
      </c>
      <c r="BW654">
        <v>-13.9</v>
      </c>
      <c r="BX654">
        <f t="shared" si="112"/>
        <v>152.76400000000001</v>
      </c>
      <c r="BY654" t="s">
        <v>0</v>
      </c>
    </row>
    <row r="655" spans="60:77" x14ac:dyDescent="0.25">
      <c r="BH655">
        <v>654</v>
      </c>
      <c r="BI655">
        <v>8.8000000000000007</v>
      </c>
      <c r="BJ655">
        <f t="shared" si="109"/>
        <v>0</v>
      </c>
      <c r="BK655">
        <v>-4.63</v>
      </c>
      <c r="BL655" s="1">
        <f t="shared" si="110"/>
        <v>140.61799999999999</v>
      </c>
      <c r="BT655">
        <v>654</v>
      </c>
      <c r="BU655">
        <v>111.64</v>
      </c>
      <c r="BV655">
        <f t="shared" si="111"/>
        <v>0</v>
      </c>
      <c r="BW655">
        <v>-13.9</v>
      </c>
      <c r="BX655">
        <f t="shared" si="112"/>
        <v>154</v>
      </c>
      <c r="BY655" t="s">
        <v>0</v>
      </c>
    </row>
    <row r="656" spans="60:77" x14ac:dyDescent="0.25">
      <c r="BH656">
        <v>655</v>
      </c>
      <c r="BI656">
        <v>8.4600000000000009</v>
      </c>
      <c r="BJ656">
        <f t="shared" si="109"/>
        <v>0</v>
      </c>
      <c r="BK656">
        <v>-6.95</v>
      </c>
      <c r="BL656" s="1">
        <f t="shared" si="110"/>
        <v>139.536</v>
      </c>
      <c r="BT656">
        <v>655</v>
      </c>
      <c r="BU656">
        <v>111.33</v>
      </c>
      <c r="BV656">
        <f t="shared" si="111"/>
        <v>0</v>
      </c>
      <c r="BW656">
        <v>-12.36</v>
      </c>
      <c r="BX656">
        <f t="shared" si="112"/>
        <v>154.61600000000001</v>
      </c>
      <c r="BY656" t="s">
        <v>0</v>
      </c>
    </row>
    <row r="657" spans="60:77" x14ac:dyDescent="0.25">
      <c r="BH657">
        <v>656</v>
      </c>
      <c r="BI657">
        <v>8.26</v>
      </c>
      <c r="BJ657">
        <f t="shared" si="109"/>
        <v>0</v>
      </c>
      <c r="BK657">
        <v>-3.86</v>
      </c>
      <c r="BL657" s="1">
        <f t="shared" si="110"/>
        <v>140.61799999999999</v>
      </c>
      <c r="BT657">
        <v>656</v>
      </c>
      <c r="BU657">
        <v>110.95</v>
      </c>
      <c r="BV657">
        <f t="shared" si="111"/>
        <v>0</v>
      </c>
      <c r="BW657">
        <v>-15.45</v>
      </c>
      <c r="BX657">
        <f t="shared" si="112"/>
        <v>152.76400000000001</v>
      </c>
      <c r="BY657" t="s">
        <v>0</v>
      </c>
    </row>
    <row r="658" spans="60:77" x14ac:dyDescent="0.25">
      <c r="BH658">
        <v>657</v>
      </c>
      <c r="BI658">
        <v>7.92</v>
      </c>
      <c r="BJ658">
        <f t="shared" si="109"/>
        <v>0</v>
      </c>
      <c r="BK658">
        <v>-6.95</v>
      </c>
      <c r="BL658" s="1">
        <f t="shared" si="110"/>
        <v>139.38200000000001</v>
      </c>
      <c r="BT658">
        <v>657</v>
      </c>
      <c r="BU658">
        <v>110.52</v>
      </c>
      <c r="BV658">
        <f t="shared" si="111"/>
        <v>0</v>
      </c>
      <c r="BW658">
        <v>-16.989999999999998</v>
      </c>
      <c r="BX658">
        <f t="shared" si="112"/>
        <v>153.38400000000001</v>
      </c>
      <c r="BY658" t="s">
        <v>0</v>
      </c>
    </row>
    <row r="659" spans="60:77" x14ac:dyDescent="0.25">
      <c r="BH659">
        <v>658</v>
      </c>
      <c r="BI659">
        <v>7.68</v>
      </c>
      <c r="BJ659">
        <f t="shared" si="109"/>
        <v>0</v>
      </c>
      <c r="BK659">
        <v>-4.63</v>
      </c>
      <c r="BL659" s="1">
        <f t="shared" si="110"/>
        <v>140.464</v>
      </c>
      <c r="BT659">
        <v>658</v>
      </c>
      <c r="BU659">
        <v>110.14</v>
      </c>
      <c r="BV659">
        <f t="shared" si="111"/>
        <v>0</v>
      </c>
      <c r="BW659">
        <v>-15.45</v>
      </c>
      <c r="BX659">
        <f t="shared" si="112"/>
        <v>154.61599999999999</v>
      </c>
      <c r="BY659" t="s">
        <v>0</v>
      </c>
    </row>
    <row r="660" spans="60:77" x14ac:dyDescent="0.25">
      <c r="BH660">
        <v>659</v>
      </c>
      <c r="BI660">
        <v>7.38</v>
      </c>
      <c r="BJ660">
        <f t="shared" si="109"/>
        <v>0</v>
      </c>
      <c r="BK660">
        <v>-6.18</v>
      </c>
      <c r="BL660" s="1">
        <f t="shared" si="110"/>
        <v>139.69</v>
      </c>
      <c r="BT660">
        <v>659</v>
      </c>
      <c r="BU660">
        <v>109.79</v>
      </c>
      <c r="BV660">
        <f t="shared" si="111"/>
        <v>0</v>
      </c>
      <c r="BW660">
        <v>-13.9</v>
      </c>
      <c r="BX660">
        <f t="shared" si="112"/>
        <v>154.62</v>
      </c>
      <c r="BY660" t="s">
        <v>0</v>
      </c>
    </row>
    <row r="661" spans="60:77" x14ac:dyDescent="0.25">
      <c r="BH661">
        <v>660</v>
      </c>
      <c r="BI661">
        <v>7.18</v>
      </c>
      <c r="BJ661">
        <f t="shared" si="109"/>
        <v>0</v>
      </c>
      <c r="BK661">
        <v>-3.86</v>
      </c>
      <c r="BL661" s="1">
        <f t="shared" si="110"/>
        <v>140.464</v>
      </c>
      <c r="BT661">
        <v>660</v>
      </c>
      <c r="BU661">
        <v>109.59</v>
      </c>
      <c r="BV661">
        <f t="shared" si="111"/>
        <v>0</v>
      </c>
      <c r="BW661">
        <v>-7.72</v>
      </c>
      <c r="BX661">
        <f t="shared" si="112"/>
        <v>156.47200000000001</v>
      </c>
      <c r="BY661" t="s">
        <v>0</v>
      </c>
    </row>
    <row r="662" spans="60:77" x14ac:dyDescent="0.25">
      <c r="BH662">
        <v>661</v>
      </c>
      <c r="BI662">
        <v>6.91</v>
      </c>
      <c r="BJ662">
        <f t="shared" si="109"/>
        <v>0</v>
      </c>
      <c r="BK662">
        <v>-5.41</v>
      </c>
      <c r="BL662" s="1">
        <f t="shared" si="110"/>
        <v>139.69</v>
      </c>
      <c r="BT662">
        <v>661</v>
      </c>
      <c r="BU662">
        <v>109.44</v>
      </c>
      <c r="BV662">
        <f t="shared" si="111"/>
        <v>0</v>
      </c>
      <c r="BW662">
        <v>-6.18</v>
      </c>
      <c r="BX662">
        <f t="shared" si="112"/>
        <v>154.61600000000001</v>
      </c>
      <c r="BY662" t="s">
        <v>0</v>
      </c>
    </row>
    <row r="663" spans="60:77" x14ac:dyDescent="0.25">
      <c r="BH663">
        <v>662</v>
      </c>
      <c r="BI663">
        <v>6.72</v>
      </c>
      <c r="BJ663">
        <f t="shared" si="109"/>
        <v>0</v>
      </c>
      <c r="BK663">
        <v>-3.86</v>
      </c>
      <c r="BL663" s="1">
        <f t="shared" si="110"/>
        <v>140.31</v>
      </c>
      <c r="BT663">
        <v>662</v>
      </c>
      <c r="BU663">
        <v>109.29</v>
      </c>
      <c r="BV663">
        <f t="shared" si="111"/>
        <v>0</v>
      </c>
      <c r="BW663">
        <v>-6.18</v>
      </c>
      <c r="BX663">
        <f t="shared" si="112"/>
        <v>154</v>
      </c>
      <c r="BY663" t="s">
        <v>0</v>
      </c>
    </row>
    <row r="664" spans="60:77" x14ac:dyDescent="0.25">
      <c r="BH664">
        <v>663</v>
      </c>
      <c r="BI664">
        <v>6.53</v>
      </c>
      <c r="BJ664">
        <f t="shared" si="109"/>
        <v>0</v>
      </c>
      <c r="BK664">
        <v>-3.86</v>
      </c>
      <c r="BL664" s="1">
        <f t="shared" si="110"/>
        <v>140</v>
      </c>
      <c r="BT664">
        <v>663</v>
      </c>
      <c r="BU664">
        <v>109.36</v>
      </c>
      <c r="BV664">
        <f t="shared" si="111"/>
        <v>157.09</v>
      </c>
      <c r="BW664">
        <v>3.09</v>
      </c>
      <c r="BX664">
        <f t="shared" si="112"/>
        <v>157.708</v>
      </c>
      <c r="BY664" t="s">
        <v>0</v>
      </c>
    </row>
    <row r="665" spans="60:77" x14ac:dyDescent="0.25">
      <c r="BH665">
        <v>664</v>
      </c>
      <c r="BI665">
        <v>6.41</v>
      </c>
      <c r="BJ665">
        <f t="shared" si="109"/>
        <v>0</v>
      </c>
      <c r="BK665">
        <v>-2.3199999999999998</v>
      </c>
      <c r="BL665" s="1">
        <f t="shared" si="110"/>
        <v>140.30799999999999</v>
      </c>
      <c r="BT665">
        <v>664</v>
      </c>
      <c r="BU665">
        <v>110.1</v>
      </c>
      <c r="BV665">
        <f t="shared" si="111"/>
        <v>183.35</v>
      </c>
      <c r="BW665">
        <v>29.35</v>
      </c>
      <c r="BX665">
        <f t="shared" si="112"/>
        <v>164.50399999999999</v>
      </c>
      <c r="BY665" t="s">
        <v>0</v>
      </c>
    </row>
    <row r="666" spans="60:77" x14ac:dyDescent="0.25">
      <c r="BH666">
        <v>665</v>
      </c>
      <c r="BI666">
        <v>6.18</v>
      </c>
      <c r="BJ666">
        <f t="shared" si="109"/>
        <v>0</v>
      </c>
      <c r="BK666">
        <v>-4.63</v>
      </c>
      <c r="BL666" s="1">
        <f t="shared" si="110"/>
        <v>139.53800000000001</v>
      </c>
      <c r="BT666">
        <v>665</v>
      </c>
      <c r="BU666">
        <v>111.22</v>
      </c>
      <c r="BV666">
        <f t="shared" si="111"/>
        <v>198.8</v>
      </c>
      <c r="BW666">
        <v>44.8</v>
      </c>
      <c r="BX666">
        <f t="shared" si="112"/>
        <v>160.18</v>
      </c>
      <c r="BY666" t="s">
        <v>0</v>
      </c>
    </row>
    <row r="667" spans="60:77" x14ac:dyDescent="0.25">
      <c r="BH667">
        <v>666</v>
      </c>
      <c r="BI667">
        <v>6.02</v>
      </c>
      <c r="BJ667">
        <f t="shared" si="109"/>
        <v>0</v>
      </c>
      <c r="BK667">
        <v>-3.09</v>
      </c>
      <c r="BL667" s="1">
        <f t="shared" si="110"/>
        <v>140.30799999999999</v>
      </c>
      <c r="BT667">
        <v>666</v>
      </c>
      <c r="BU667">
        <v>111.8</v>
      </c>
      <c r="BV667">
        <f t="shared" si="111"/>
        <v>177.17000000000002</v>
      </c>
      <c r="BW667">
        <v>23.17</v>
      </c>
      <c r="BX667">
        <f t="shared" si="112"/>
        <v>145.34800000000001</v>
      </c>
      <c r="BY667" t="s">
        <v>0</v>
      </c>
    </row>
    <row r="668" spans="60:77" x14ac:dyDescent="0.25">
      <c r="BH668">
        <v>667</v>
      </c>
      <c r="BI668">
        <v>5.83</v>
      </c>
      <c r="BJ668">
        <f t="shared" si="109"/>
        <v>0</v>
      </c>
      <c r="BK668">
        <v>-3.86</v>
      </c>
      <c r="BL668" s="1">
        <f t="shared" si="110"/>
        <v>139.846</v>
      </c>
      <c r="BT668">
        <v>667</v>
      </c>
      <c r="BU668">
        <v>111.91</v>
      </c>
      <c r="BV668">
        <f t="shared" si="111"/>
        <v>158.63</v>
      </c>
      <c r="BW668">
        <v>4.63</v>
      </c>
      <c r="BX668">
        <f t="shared" si="112"/>
        <v>146.584</v>
      </c>
      <c r="BY668" t="s">
        <v>0</v>
      </c>
    </row>
    <row r="669" spans="60:77" x14ac:dyDescent="0.25">
      <c r="BH669">
        <v>668</v>
      </c>
      <c r="BI669">
        <v>5.6</v>
      </c>
      <c r="BJ669">
        <f t="shared" si="109"/>
        <v>0</v>
      </c>
      <c r="BK669">
        <v>-4.63</v>
      </c>
      <c r="BL669" s="1">
        <f t="shared" si="110"/>
        <v>139.846</v>
      </c>
      <c r="BT669">
        <v>668</v>
      </c>
      <c r="BU669">
        <v>111.87</v>
      </c>
      <c r="BV669">
        <f t="shared" si="111"/>
        <v>0</v>
      </c>
      <c r="BW669">
        <v>-1.54</v>
      </c>
      <c r="BX669">
        <f t="shared" si="112"/>
        <v>151.53200000000001</v>
      </c>
      <c r="BY669" t="s">
        <v>0</v>
      </c>
    </row>
    <row r="670" spans="60:77" x14ac:dyDescent="0.25">
      <c r="BH670">
        <v>669</v>
      </c>
      <c r="BI670">
        <v>5.41</v>
      </c>
      <c r="BJ670">
        <f t="shared" si="109"/>
        <v>0</v>
      </c>
      <c r="BK670">
        <v>-3.86</v>
      </c>
      <c r="BL670" s="1">
        <f t="shared" si="110"/>
        <v>140.154</v>
      </c>
      <c r="BT670">
        <v>669</v>
      </c>
      <c r="BU670">
        <v>111.76</v>
      </c>
      <c r="BV670">
        <f t="shared" si="111"/>
        <v>0</v>
      </c>
      <c r="BW670">
        <v>-4.63</v>
      </c>
      <c r="BX670">
        <f t="shared" si="112"/>
        <v>152.76400000000001</v>
      </c>
      <c r="BY670" t="s">
        <v>0</v>
      </c>
    </row>
    <row r="671" spans="60:77" x14ac:dyDescent="0.25">
      <c r="BH671">
        <v>670</v>
      </c>
      <c r="BI671">
        <v>5.29</v>
      </c>
      <c r="BJ671">
        <f t="shared" si="109"/>
        <v>0</v>
      </c>
      <c r="BK671">
        <v>-2.3199999999999998</v>
      </c>
      <c r="BL671" s="1">
        <f t="shared" si="110"/>
        <v>140.30799999999999</v>
      </c>
      <c r="BT671">
        <v>670</v>
      </c>
      <c r="BU671">
        <v>111.37</v>
      </c>
      <c r="BV671">
        <f t="shared" si="111"/>
        <v>0</v>
      </c>
      <c r="BW671">
        <v>-15.45</v>
      </c>
      <c r="BX671">
        <f t="shared" si="112"/>
        <v>149.672</v>
      </c>
      <c r="BY671" t="s">
        <v>0</v>
      </c>
    </row>
    <row r="672" spans="60:77" x14ac:dyDescent="0.25">
      <c r="BH672">
        <v>671</v>
      </c>
      <c r="BI672">
        <v>5.0599999999999996</v>
      </c>
      <c r="BJ672">
        <f t="shared" si="109"/>
        <v>0</v>
      </c>
      <c r="BK672">
        <v>-4.63</v>
      </c>
      <c r="BL672" s="1">
        <f t="shared" si="110"/>
        <v>139.53800000000001</v>
      </c>
      <c r="BT672">
        <v>671</v>
      </c>
      <c r="BU672">
        <v>111.06</v>
      </c>
      <c r="BV672">
        <f t="shared" si="111"/>
        <v>0</v>
      </c>
      <c r="BW672">
        <v>-12.36</v>
      </c>
      <c r="BX672">
        <f t="shared" si="112"/>
        <v>155.23599999999999</v>
      </c>
      <c r="BY672" t="s">
        <v>0</v>
      </c>
    </row>
    <row r="673" spans="60:77" x14ac:dyDescent="0.25">
      <c r="BH673">
        <v>672</v>
      </c>
      <c r="BI673">
        <v>4.9000000000000004</v>
      </c>
      <c r="BJ673">
        <f t="shared" si="109"/>
        <v>0</v>
      </c>
      <c r="BK673">
        <v>-3.09</v>
      </c>
      <c r="BL673" s="1">
        <f t="shared" si="110"/>
        <v>140.30799999999999</v>
      </c>
      <c r="BT673">
        <v>672</v>
      </c>
      <c r="BU673">
        <v>110.75</v>
      </c>
      <c r="BV673">
        <f t="shared" si="111"/>
        <v>0</v>
      </c>
      <c r="BW673">
        <v>-12.36</v>
      </c>
      <c r="BX673">
        <f t="shared" si="112"/>
        <v>154</v>
      </c>
      <c r="BY673" t="s">
        <v>0</v>
      </c>
    </row>
    <row r="674" spans="60:77" x14ac:dyDescent="0.25">
      <c r="BH674">
        <v>673</v>
      </c>
      <c r="BI674">
        <v>4.75</v>
      </c>
      <c r="BJ674">
        <f t="shared" si="109"/>
        <v>0</v>
      </c>
      <c r="BK674">
        <v>-3.09</v>
      </c>
      <c r="BL674" s="1">
        <f t="shared" si="110"/>
        <v>140</v>
      </c>
      <c r="BT674">
        <v>673</v>
      </c>
      <c r="BU674">
        <v>110.41</v>
      </c>
      <c r="BV674">
        <f t="shared" si="111"/>
        <v>0</v>
      </c>
      <c r="BW674">
        <v>-13.9</v>
      </c>
      <c r="BX674">
        <f t="shared" si="112"/>
        <v>153.38399999999999</v>
      </c>
      <c r="BY674" t="s">
        <v>0</v>
      </c>
    </row>
    <row r="675" spans="60:77" x14ac:dyDescent="0.25">
      <c r="BH675">
        <v>674</v>
      </c>
      <c r="BI675">
        <v>4.67</v>
      </c>
      <c r="BJ675">
        <f t="shared" si="109"/>
        <v>0</v>
      </c>
      <c r="BK675">
        <v>-1.54</v>
      </c>
      <c r="BL675" s="1">
        <f t="shared" si="110"/>
        <v>140.31</v>
      </c>
      <c r="BT675">
        <v>674</v>
      </c>
      <c r="BU675">
        <v>110.14</v>
      </c>
      <c r="BV675">
        <f t="shared" si="111"/>
        <v>0</v>
      </c>
      <c r="BW675">
        <v>-10.81</v>
      </c>
      <c r="BX675">
        <f t="shared" si="112"/>
        <v>155.23599999999999</v>
      </c>
      <c r="BY675" t="s">
        <v>0</v>
      </c>
    </row>
    <row r="676" spans="60:77" x14ac:dyDescent="0.25">
      <c r="BH676">
        <v>675</v>
      </c>
      <c r="BI676">
        <v>4.5199999999999996</v>
      </c>
      <c r="BJ676">
        <f t="shared" si="109"/>
        <v>0</v>
      </c>
      <c r="BK676">
        <v>-3.09</v>
      </c>
      <c r="BL676" s="1">
        <f t="shared" si="110"/>
        <v>139.69</v>
      </c>
      <c r="BT676">
        <v>675</v>
      </c>
      <c r="BU676">
        <v>109.87</v>
      </c>
      <c r="BV676">
        <f t="shared" si="111"/>
        <v>0</v>
      </c>
      <c r="BW676">
        <v>-10.81</v>
      </c>
      <c r="BX676">
        <f t="shared" si="112"/>
        <v>154</v>
      </c>
      <c r="BY676" t="s">
        <v>0</v>
      </c>
    </row>
    <row r="677" spans="60:77" x14ac:dyDescent="0.25">
      <c r="BH677">
        <v>676</v>
      </c>
      <c r="BI677">
        <v>4.3600000000000003</v>
      </c>
      <c r="BJ677">
        <f t="shared" si="109"/>
        <v>0</v>
      </c>
      <c r="BK677">
        <v>-3.09</v>
      </c>
      <c r="BL677" s="1">
        <f t="shared" si="110"/>
        <v>140</v>
      </c>
      <c r="BT677">
        <v>676</v>
      </c>
      <c r="BU677">
        <v>109.67</v>
      </c>
      <c r="BV677">
        <f t="shared" si="111"/>
        <v>0</v>
      </c>
      <c r="BW677">
        <v>-7.72</v>
      </c>
      <c r="BX677">
        <f t="shared" si="112"/>
        <v>155.23599999999999</v>
      </c>
      <c r="BY677" t="s">
        <v>0</v>
      </c>
    </row>
    <row r="678" spans="60:77" x14ac:dyDescent="0.25">
      <c r="BH678">
        <v>677</v>
      </c>
      <c r="BI678">
        <v>4.25</v>
      </c>
      <c r="BJ678">
        <f t="shared" si="109"/>
        <v>0</v>
      </c>
      <c r="BK678">
        <v>-2.3199999999999998</v>
      </c>
      <c r="BL678" s="1">
        <f t="shared" si="110"/>
        <v>140.154</v>
      </c>
      <c r="BT678">
        <v>677</v>
      </c>
      <c r="BU678">
        <v>109.36</v>
      </c>
      <c r="BV678">
        <f t="shared" si="111"/>
        <v>0</v>
      </c>
      <c r="BW678">
        <v>-12.36</v>
      </c>
      <c r="BX678">
        <f t="shared" si="112"/>
        <v>152.14400000000001</v>
      </c>
      <c r="BY678" t="s">
        <v>0</v>
      </c>
    </row>
    <row r="679" spans="60:77" x14ac:dyDescent="0.25">
      <c r="BH679">
        <v>678</v>
      </c>
      <c r="BI679">
        <v>4.13</v>
      </c>
      <c r="BJ679">
        <f t="shared" si="109"/>
        <v>0</v>
      </c>
      <c r="BK679">
        <v>-2.3199999999999998</v>
      </c>
      <c r="BL679" s="1">
        <f t="shared" si="110"/>
        <v>140</v>
      </c>
      <c r="BT679">
        <v>678</v>
      </c>
      <c r="BU679">
        <v>108.98</v>
      </c>
      <c r="BV679">
        <f t="shared" si="111"/>
        <v>0</v>
      </c>
      <c r="BW679">
        <v>-15.45</v>
      </c>
      <c r="BX679">
        <f t="shared" si="112"/>
        <v>152.76400000000001</v>
      </c>
      <c r="BY679" t="s">
        <v>0</v>
      </c>
    </row>
    <row r="680" spans="60:77" x14ac:dyDescent="0.25">
      <c r="BH680">
        <v>679</v>
      </c>
      <c r="BI680">
        <v>4.05</v>
      </c>
      <c r="BJ680">
        <f t="shared" si="109"/>
        <v>0</v>
      </c>
      <c r="BK680">
        <v>-1.54</v>
      </c>
      <c r="BL680" s="1">
        <f t="shared" si="110"/>
        <v>140.15600000000001</v>
      </c>
      <c r="BT680">
        <v>679</v>
      </c>
      <c r="BU680">
        <v>108.71</v>
      </c>
      <c r="BV680">
        <f t="shared" si="111"/>
        <v>0</v>
      </c>
      <c r="BW680">
        <v>-10.81</v>
      </c>
      <c r="BX680">
        <f t="shared" si="112"/>
        <v>155.85599999999999</v>
      </c>
      <c r="BY680" t="s">
        <v>0</v>
      </c>
    </row>
    <row r="681" spans="60:77" x14ac:dyDescent="0.25">
      <c r="BH681">
        <v>680</v>
      </c>
      <c r="BI681">
        <v>3.98</v>
      </c>
      <c r="BJ681">
        <f t="shared" si="109"/>
        <v>0</v>
      </c>
      <c r="BK681">
        <v>-1.54</v>
      </c>
      <c r="BL681" s="1">
        <f t="shared" si="110"/>
        <v>140</v>
      </c>
      <c r="BT681">
        <v>680</v>
      </c>
      <c r="BU681">
        <v>108.36</v>
      </c>
      <c r="BV681">
        <f t="shared" si="111"/>
        <v>0</v>
      </c>
      <c r="BW681">
        <v>-13.9</v>
      </c>
      <c r="BX681">
        <f t="shared" si="112"/>
        <v>152.76400000000001</v>
      </c>
      <c r="BY681" t="s">
        <v>0</v>
      </c>
    </row>
    <row r="682" spans="60:77" x14ac:dyDescent="0.25">
      <c r="BH682">
        <v>681</v>
      </c>
      <c r="BI682">
        <v>3.9</v>
      </c>
      <c r="BJ682">
        <f t="shared" si="109"/>
        <v>0</v>
      </c>
      <c r="BK682">
        <v>-1.54</v>
      </c>
      <c r="BL682" s="1">
        <f t="shared" si="110"/>
        <v>140</v>
      </c>
      <c r="BT682">
        <v>681</v>
      </c>
      <c r="BU682">
        <v>108.09</v>
      </c>
      <c r="BV682">
        <f t="shared" si="111"/>
        <v>0</v>
      </c>
      <c r="BW682">
        <v>-10.81</v>
      </c>
      <c r="BX682">
        <f t="shared" si="112"/>
        <v>155.23599999999999</v>
      </c>
      <c r="BY682" t="s">
        <v>0</v>
      </c>
    </row>
    <row r="683" spans="60:77" x14ac:dyDescent="0.25">
      <c r="BH683">
        <v>682</v>
      </c>
      <c r="BI683">
        <v>3.86</v>
      </c>
      <c r="BJ683">
        <f t="shared" si="109"/>
        <v>0</v>
      </c>
      <c r="BK683">
        <v>-0.77</v>
      </c>
      <c r="BL683" s="1">
        <f t="shared" si="110"/>
        <v>140.154</v>
      </c>
      <c r="BT683">
        <v>682</v>
      </c>
      <c r="BU683">
        <v>107.86</v>
      </c>
      <c r="BV683">
        <f t="shared" si="111"/>
        <v>0</v>
      </c>
      <c r="BW683">
        <v>-9.27</v>
      </c>
      <c r="BX683">
        <f t="shared" si="112"/>
        <v>154.61600000000001</v>
      </c>
      <c r="BY683" t="s">
        <v>0</v>
      </c>
    </row>
    <row r="684" spans="60:77" x14ac:dyDescent="0.25">
      <c r="BH684">
        <v>683</v>
      </c>
      <c r="BI684">
        <v>3.75</v>
      </c>
      <c r="BJ684">
        <f t="shared" si="109"/>
        <v>0</v>
      </c>
      <c r="BK684">
        <v>-2.3199999999999998</v>
      </c>
      <c r="BL684" s="1">
        <f t="shared" si="110"/>
        <v>139.69</v>
      </c>
      <c r="BT684">
        <v>683</v>
      </c>
      <c r="BU684">
        <v>107.66</v>
      </c>
      <c r="BV684">
        <f t="shared" si="111"/>
        <v>0</v>
      </c>
      <c r="BW684">
        <v>-7.72</v>
      </c>
      <c r="BX684">
        <f t="shared" si="112"/>
        <v>154.62</v>
      </c>
      <c r="BY684" t="s">
        <v>0</v>
      </c>
    </row>
    <row r="685" spans="60:77" x14ac:dyDescent="0.25">
      <c r="BH685">
        <v>684</v>
      </c>
      <c r="BI685">
        <v>3.63</v>
      </c>
      <c r="BJ685">
        <f t="shared" si="109"/>
        <v>0</v>
      </c>
      <c r="BK685">
        <v>-2.3199999999999998</v>
      </c>
      <c r="BL685" s="1">
        <f t="shared" si="110"/>
        <v>140</v>
      </c>
      <c r="BT685">
        <v>684</v>
      </c>
      <c r="BU685">
        <v>107.74</v>
      </c>
      <c r="BV685">
        <f t="shared" si="111"/>
        <v>157.09</v>
      </c>
      <c r="BW685">
        <v>3.09</v>
      </c>
      <c r="BX685">
        <f t="shared" si="112"/>
        <v>158.32400000000001</v>
      </c>
      <c r="BY685" t="s">
        <v>0</v>
      </c>
    </row>
    <row r="686" spans="60:77" x14ac:dyDescent="0.25">
      <c r="BH686">
        <v>685</v>
      </c>
      <c r="BI686">
        <v>3.51</v>
      </c>
      <c r="BJ686">
        <f t="shared" si="109"/>
        <v>0</v>
      </c>
      <c r="BK686">
        <v>-2.3199999999999998</v>
      </c>
      <c r="BL686" s="1">
        <f t="shared" si="110"/>
        <v>140</v>
      </c>
      <c r="BT686">
        <v>685</v>
      </c>
      <c r="BU686">
        <v>108.59</v>
      </c>
      <c r="BV686">
        <f t="shared" si="111"/>
        <v>187.98</v>
      </c>
      <c r="BW686">
        <v>33.979999999999997</v>
      </c>
      <c r="BX686">
        <f t="shared" si="112"/>
        <v>166.35599999999999</v>
      </c>
      <c r="BY686" t="s">
        <v>0</v>
      </c>
    </row>
    <row r="687" spans="60:77" x14ac:dyDescent="0.25">
      <c r="BH687">
        <v>686</v>
      </c>
      <c r="BI687">
        <v>3.48</v>
      </c>
      <c r="BJ687">
        <f t="shared" si="109"/>
        <v>0</v>
      </c>
      <c r="BK687">
        <v>-0.77</v>
      </c>
      <c r="BL687" s="1">
        <f t="shared" si="110"/>
        <v>140.31</v>
      </c>
      <c r="BT687">
        <v>686</v>
      </c>
      <c r="BU687">
        <v>109.59</v>
      </c>
      <c r="BV687">
        <f t="shared" si="111"/>
        <v>194.16</v>
      </c>
      <c r="BW687">
        <v>40.159999999999997</v>
      </c>
      <c r="BX687">
        <f t="shared" si="112"/>
        <v>156.47200000000001</v>
      </c>
      <c r="BY687" t="s">
        <v>0</v>
      </c>
    </row>
    <row r="688" spans="60:77" x14ac:dyDescent="0.25">
      <c r="BH688">
        <v>687</v>
      </c>
      <c r="BI688">
        <v>3.36</v>
      </c>
      <c r="BJ688">
        <f t="shared" si="109"/>
        <v>0</v>
      </c>
      <c r="BK688">
        <v>-2.3199999999999998</v>
      </c>
      <c r="BL688" s="1">
        <f t="shared" si="110"/>
        <v>139.69</v>
      </c>
      <c r="BT688">
        <v>687</v>
      </c>
      <c r="BU688">
        <v>110.06</v>
      </c>
      <c r="BV688">
        <f t="shared" si="111"/>
        <v>172.54</v>
      </c>
      <c r="BW688">
        <v>18.54</v>
      </c>
      <c r="BX688">
        <f t="shared" si="112"/>
        <v>145.352</v>
      </c>
      <c r="BY688" t="s">
        <v>0</v>
      </c>
    </row>
    <row r="689" spans="60:77" x14ac:dyDescent="0.25">
      <c r="BH689">
        <v>688</v>
      </c>
      <c r="BI689">
        <v>3.36</v>
      </c>
      <c r="BJ689">
        <f t="shared" si="109"/>
        <v>0</v>
      </c>
      <c r="BK689">
        <v>0</v>
      </c>
      <c r="BL689" s="1">
        <f t="shared" si="110"/>
        <v>140.464</v>
      </c>
      <c r="BT689">
        <v>688</v>
      </c>
      <c r="BU689">
        <v>110.14</v>
      </c>
      <c r="BV689">
        <f t="shared" si="111"/>
        <v>157.09</v>
      </c>
      <c r="BW689">
        <v>3.09</v>
      </c>
      <c r="BX689">
        <f t="shared" si="112"/>
        <v>147.82</v>
      </c>
      <c r="BY689" t="s">
        <v>0</v>
      </c>
    </row>
    <row r="690" spans="60:77" x14ac:dyDescent="0.25">
      <c r="BH690">
        <v>689</v>
      </c>
      <c r="BI690">
        <v>3.28</v>
      </c>
      <c r="BJ690">
        <f t="shared" si="109"/>
        <v>0</v>
      </c>
      <c r="BK690">
        <v>-1.54</v>
      </c>
      <c r="BL690" s="1">
        <f t="shared" si="110"/>
        <v>139.69200000000001</v>
      </c>
      <c r="BT690">
        <v>689</v>
      </c>
      <c r="BU690">
        <v>110.1</v>
      </c>
      <c r="BV690">
        <f t="shared" si="111"/>
        <v>0</v>
      </c>
      <c r="BW690">
        <v>-1.55</v>
      </c>
      <c r="BX690">
        <f t="shared" si="112"/>
        <v>152.14400000000001</v>
      </c>
      <c r="BY690" t="s">
        <v>0</v>
      </c>
    </row>
    <row r="691" spans="60:77" x14ac:dyDescent="0.25">
      <c r="BH691">
        <v>690</v>
      </c>
      <c r="BI691">
        <v>3.13</v>
      </c>
      <c r="BJ691">
        <f t="shared" si="109"/>
        <v>0</v>
      </c>
      <c r="BK691">
        <v>-3.09</v>
      </c>
      <c r="BL691" s="1">
        <f t="shared" si="110"/>
        <v>139.69</v>
      </c>
      <c r="BT691">
        <v>690</v>
      </c>
      <c r="BU691">
        <v>109.9</v>
      </c>
      <c r="BV691">
        <f t="shared" si="111"/>
        <v>0</v>
      </c>
      <c r="BW691">
        <v>-7.72</v>
      </c>
      <c r="BX691">
        <f t="shared" si="112"/>
        <v>151.53200000000001</v>
      </c>
      <c r="BY691" t="s">
        <v>0</v>
      </c>
    </row>
    <row r="692" spans="60:77" x14ac:dyDescent="0.25">
      <c r="BH692">
        <v>691</v>
      </c>
      <c r="BI692">
        <v>3.05</v>
      </c>
      <c r="BJ692">
        <f t="shared" si="109"/>
        <v>0</v>
      </c>
      <c r="BK692">
        <v>-1.54</v>
      </c>
      <c r="BL692" s="1">
        <f t="shared" si="110"/>
        <v>140.31</v>
      </c>
      <c r="BT692">
        <v>691</v>
      </c>
      <c r="BU692">
        <v>109.59</v>
      </c>
      <c r="BV692">
        <f t="shared" si="111"/>
        <v>0</v>
      </c>
      <c r="BW692">
        <v>-12.36</v>
      </c>
      <c r="BX692">
        <f t="shared" si="112"/>
        <v>152.14400000000001</v>
      </c>
      <c r="BY692" t="s">
        <v>0</v>
      </c>
    </row>
    <row r="693" spans="60:77" x14ac:dyDescent="0.25">
      <c r="BH693">
        <v>692</v>
      </c>
      <c r="BI693">
        <v>2.93</v>
      </c>
      <c r="BJ693">
        <f t="shared" si="109"/>
        <v>0</v>
      </c>
      <c r="BK693">
        <v>-2.3199999999999998</v>
      </c>
      <c r="BL693" s="1">
        <f t="shared" si="110"/>
        <v>139.84399999999999</v>
      </c>
      <c r="BT693">
        <v>692</v>
      </c>
      <c r="BU693">
        <v>109.25</v>
      </c>
      <c r="BV693">
        <f t="shared" si="111"/>
        <v>0</v>
      </c>
      <c r="BW693">
        <v>-13.9</v>
      </c>
      <c r="BX693">
        <f t="shared" si="112"/>
        <v>153.38399999999999</v>
      </c>
      <c r="BY693" t="s">
        <v>0</v>
      </c>
    </row>
    <row r="694" spans="60:77" x14ac:dyDescent="0.25">
      <c r="BH694">
        <v>693</v>
      </c>
      <c r="BI694">
        <v>2.86</v>
      </c>
      <c r="BJ694">
        <f t="shared" si="109"/>
        <v>0</v>
      </c>
      <c r="BK694">
        <v>-1.54</v>
      </c>
      <c r="BL694" s="1">
        <f t="shared" si="110"/>
        <v>140.15600000000001</v>
      </c>
      <c r="BT694">
        <v>693</v>
      </c>
      <c r="BU694">
        <v>108.75</v>
      </c>
      <c r="BV694">
        <f t="shared" si="111"/>
        <v>0</v>
      </c>
      <c r="BW694">
        <v>-20.079999999999998</v>
      </c>
      <c r="BX694">
        <f t="shared" si="112"/>
        <v>151.52799999999999</v>
      </c>
      <c r="BY694" t="s">
        <v>0</v>
      </c>
    </row>
    <row r="695" spans="60:77" x14ac:dyDescent="0.25">
      <c r="BH695">
        <v>694</v>
      </c>
      <c r="BI695">
        <v>2.74</v>
      </c>
      <c r="BJ695">
        <f t="shared" si="109"/>
        <v>0</v>
      </c>
      <c r="BK695">
        <v>-2.3199999999999998</v>
      </c>
      <c r="BL695" s="1">
        <f t="shared" si="110"/>
        <v>139.84399999999999</v>
      </c>
      <c r="BT695">
        <v>694</v>
      </c>
      <c r="BU695">
        <v>108.51</v>
      </c>
      <c r="BV695">
        <f t="shared" si="111"/>
        <v>0</v>
      </c>
      <c r="BW695">
        <v>-9.27</v>
      </c>
      <c r="BX695">
        <f t="shared" si="112"/>
        <v>158.32400000000001</v>
      </c>
      <c r="BY695" t="s">
        <v>0</v>
      </c>
    </row>
    <row r="696" spans="60:77" x14ac:dyDescent="0.25">
      <c r="BH696">
        <v>695</v>
      </c>
      <c r="BI696">
        <v>2.7</v>
      </c>
      <c r="BJ696">
        <f t="shared" si="109"/>
        <v>0</v>
      </c>
      <c r="BK696">
        <v>-0.77</v>
      </c>
      <c r="BL696" s="1">
        <f t="shared" si="110"/>
        <v>140.31</v>
      </c>
      <c r="BT696">
        <v>695</v>
      </c>
      <c r="BU696">
        <v>108.24</v>
      </c>
      <c r="BV696">
        <f t="shared" si="111"/>
        <v>0</v>
      </c>
      <c r="BW696">
        <v>-10.81</v>
      </c>
      <c r="BX696">
        <f t="shared" si="112"/>
        <v>153.38399999999999</v>
      </c>
      <c r="BY696" t="s">
        <v>0</v>
      </c>
    </row>
    <row r="697" spans="60:77" x14ac:dyDescent="0.25">
      <c r="BK697">
        <f>MAX(BK274:BK696)</f>
        <v>23.94</v>
      </c>
      <c r="BT697">
        <v>696</v>
      </c>
      <c r="BU697">
        <v>108.01</v>
      </c>
      <c r="BV697">
        <f t="shared" si="111"/>
        <v>0</v>
      </c>
      <c r="BW697">
        <v>-9.27</v>
      </c>
      <c r="BX697">
        <f t="shared" si="112"/>
        <v>154.61600000000001</v>
      </c>
      <c r="BY697" t="s">
        <v>0</v>
      </c>
    </row>
    <row r="698" spans="60:77" x14ac:dyDescent="0.25">
      <c r="BT698">
        <v>697</v>
      </c>
      <c r="BU698">
        <v>107.86</v>
      </c>
      <c r="BV698">
        <f t="shared" si="111"/>
        <v>0</v>
      </c>
      <c r="BW698">
        <v>-6.18</v>
      </c>
      <c r="BX698">
        <f t="shared" si="112"/>
        <v>155.23599999999999</v>
      </c>
      <c r="BY698" t="s">
        <v>0</v>
      </c>
    </row>
    <row r="699" spans="60:77" x14ac:dyDescent="0.25">
      <c r="BT699">
        <v>698</v>
      </c>
      <c r="BU699">
        <v>107.55</v>
      </c>
      <c r="BV699">
        <f t="shared" si="111"/>
        <v>0</v>
      </c>
      <c r="BW699">
        <v>-12.36</v>
      </c>
      <c r="BX699">
        <f t="shared" si="112"/>
        <v>151.52799999999999</v>
      </c>
      <c r="BY699" t="s">
        <v>0</v>
      </c>
    </row>
    <row r="700" spans="60:77" x14ac:dyDescent="0.25">
      <c r="BT700">
        <v>699</v>
      </c>
      <c r="BU700">
        <v>107.16</v>
      </c>
      <c r="BV700">
        <f t="shared" si="111"/>
        <v>0</v>
      </c>
      <c r="BW700">
        <v>-15.45</v>
      </c>
      <c r="BX700">
        <f t="shared" si="112"/>
        <v>152.76400000000001</v>
      </c>
      <c r="BY700" t="s">
        <v>0</v>
      </c>
    </row>
    <row r="701" spans="60:77" x14ac:dyDescent="0.25">
      <c r="BT701">
        <v>700</v>
      </c>
      <c r="BU701">
        <v>106.81</v>
      </c>
      <c r="BV701">
        <f t="shared" si="111"/>
        <v>0</v>
      </c>
      <c r="BW701">
        <v>-13.9</v>
      </c>
      <c r="BX701">
        <f t="shared" si="112"/>
        <v>154.62</v>
      </c>
      <c r="BY701" t="s">
        <v>0</v>
      </c>
    </row>
    <row r="702" spans="60:77" x14ac:dyDescent="0.25">
      <c r="BT702">
        <v>701</v>
      </c>
      <c r="BU702">
        <v>106.47</v>
      </c>
      <c r="BV702">
        <f t="shared" si="111"/>
        <v>0</v>
      </c>
      <c r="BW702">
        <v>-13.9</v>
      </c>
      <c r="BX702">
        <f t="shared" si="112"/>
        <v>154</v>
      </c>
      <c r="BY702" t="s">
        <v>0</v>
      </c>
    </row>
    <row r="703" spans="60:77" x14ac:dyDescent="0.25">
      <c r="BT703">
        <v>702</v>
      </c>
      <c r="BU703">
        <v>106.08</v>
      </c>
      <c r="BV703">
        <f t="shared" si="111"/>
        <v>0</v>
      </c>
      <c r="BW703">
        <v>-15.45</v>
      </c>
      <c r="BX703">
        <f t="shared" si="112"/>
        <v>153.38</v>
      </c>
      <c r="BY703" t="s">
        <v>0</v>
      </c>
    </row>
    <row r="704" spans="60:77" x14ac:dyDescent="0.25">
      <c r="BT704">
        <v>703</v>
      </c>
      <c r="BU704">
        <v>105.77</v>
      </c>
      <c r="BV704">
        <f t="shared" si="111"/>
        <v>0</v>
      </c>
      <c r="BW704">
        <v>-12.36</v>
      </c>
      <c r="BX704">
        <f t="shared" si="112"/>
        <v>155.23599999999999</v>
      </c>
      <c r="BY704" t="s">
        <v>0</v>
      </c>
    </row>
    <row r="705" spans="72:77" x14ac:dyDescent="0.25">
      <c r="BT705">
        <v>704</v>
      </c>
      <c r="BU705">
        <v>105.58</v>
      </c>
      <c r="BV705">
        <f t="shared" si="111"/>
        <v>0</v>
      </c>
      <c r="BW705">
        <v>-7.72</v>
      </c>
      <c r="BX705">
        <f t="shared" si="112"/>
        <v>155.85599999999999</v>
      </c>
      <c r="BY705" t="s">
        <v>0</v>
      </c>
    </row>
    <row r="706" spans="72:77" x14ac:dyDescent="0.25">
      <c r="BT706">
        <v>705</v>
      </c>
      <c r="BU706">
        <v>105.69</v>
      </c>
      <c r="BV706">
        <f t="shared" si="111"/>
        <v>158.63</v>
      </c>
      <c r="BW706">
        <v>4.63</v>
      </c>
      <c r="BX706">
        <f t="shared" si="112"/>
        <v>158.94</v>
      </c>
      <c r="BY706" t="s">
        <v>0</v>
      </c>
    </row>
    <row r="707" spans="72:77" x14ac:dyDescent="0.25">
      <c r="BT707">
        <v>706</v>
      </c>
      <c r="BU707">
        <v>106.7</v>
      </c>
      <c r="BV707">
        <f t="shared" ref="BV707:BV770" si="113">IF(BW707&gt;0,BW707+BV$1,0)</f>
        <v>194.16</v>
      </c>
      <c r="BW707">
        <v>40.159999999999997</v>
      </c>
      <c r="BX707">
        <f t="shared" si="112"/>
        <v>168.21199999999999</v>
      </c>
      <c r="BY707" t="s">
        <v>0</v>
      </c>
    </row>
    <row r="708" spans="72:77" x14ac:dyDescent="0.25">
      <c r="BT708">
        <v>707</v>
      </c>
      <c r="BU708">
        <v>107.66</v>
      </c>
      <c r="BV708">
        <f t="shared" si="113"/>
        <v>192.62</v>
      </c>
      <c r="BW708">
        <v>38.619999999999997</v>
      </c>
      <c r="BX708">
        <f t="shared" ref="BX708:BX771" si="114">BV$1+(BW708-BW707)/2.5</f>
        <v>153.38400000000001</v>
      </c>
      <c r="BY708" t="s">
        <v>0</v>
      </c>
    </row>
    <row r="709" spans="72:77" x14ac:dyDescent="0.25">
      <c r="BT709">
        <v>708</v>
      </c>
      <c r="BU709">
        <v>108.01</v>
      </c>
      <c r="BV709">
        <f t="shared" si="113"/>
        <v>167.9</v>
      </c>
      <c r="BW709">
        <v>13.9</v>
      </c>
      <c r="BX709">
        <f t="shared" si="114"/>
        <v>144.11199999999999</v>
      </c>
      <c r="BY709" t="s">
        <v>0</v>
      </c>
    </row>
    <row r="710" spans="72:77" x14ac:dyDescent="0.25">
      <c r="BT710">
        <v>709</v>
      </c>
      <c r="BU710">
        <v>108.05</v>
      </c>
      <c r="BV710">
        <f t="shared" si="113"/>
        <v>155.54</v>
      </c>
      <c r="BW710">
        <v>1.54</v>
      </c>
      <c r="BX710">
        <f t="shared" si="114"/>
        <v>149.05600000000001</v>
      </c>
      <c r="BY710" t="s">
        <v>0</v>
      </c>
    </row>
    <row r="711" spans="72:77" x14ac:dyDescent="0.25">
      <c r="BT711">
        <v>710</v>
      </c>
      <c r="BU711">
        <v>108.01</v>
      </c>
      <c r="BV711">
        <f t="shared" si="113"/>
        <v>0</v>
      </c>
      <c r="BW711">
        <v>-1.54</v>
      </c>
      <c r="BX711">
        <f t="shared" si="114"/>
        <v>152.768</v>
      </c>
      <c r="BY711" t="s">
        <v>0</v>
      </c>
    </row>
    <row r="712" spans="72:77" x14ac:dyDescent="0.25">
      <c r="BT712">
        <v>711</v>
      </c>
      <c r="BU712">
        <v>107.78</v>
      </c>
      <c r="BV712">
        <f t="shared" si="113"/>
        <v>0</v>
      </c>
      <c r="BW712">
        <v>-9.27</v>
      </c>
      <c r="BX712">
        <f t="shared" si="114"/>
        <v>150.90799999999999</v>
      </c>
      <c r="BY712" t="s">
        <v>0</v>
      </c>
    </row>
    <row r="713" spans="72:77" x14ac:dyDescent="0.25">
      <c r="BT713">
        <v>712</v>
      </c>
      <c r="BU713">
        <v>107.39</v>
      </c>
      <c r="BV713">
        <f t="shared" si="113"/>
        <v>0</v>
      </c>
      <c r="BW713">
        <v>-15.45</v>
      </c>
      <c r="BX713">
        <f t="shared" si="114"/>
        <v>151.52799999999999</v>
      </c>
      <c r="BY713" t="s">
        <v>0</v>
      </c>
    </row>
    <row r="714" spans="72:77" x14ac:dyDescent="0.25">
      <c r="BT714">
        <v>713</v>
      </c>
      <c r="BU714">
        <v>107.01</v>
      </c>
      <c r="BV714">
        <f t="shared" si="113"/>
        <v>0</v>
      </c>
      <c r="BW714">
        <v>-15.45</v>
      </c>
      <c r="BX714">
        <f t="shared" si="114"/>
        <v>154</v>
      </c>
      <c r="BY714" t="s">
        <v>0</v>
      </c>
    </row>
    <row r="715" spans="72:77" x14ac:dyDescent="0.25">
      <c r="BT715">
        <v>714</v>
      </c>
      <c r="BU715">
        <v>106.74</v>
      </c>
      <c r="BV715">
        <f t="shared" si="113"/>
        <v>0</v>
      </c>
      <c r="BW715">
        <v>-10.81</v>
      </c>
      <c r="BX715">
        <f t="shared" si="114"/>
        <v>155.85599999999999</v>
      </c>
      <c r="BY715" t="s">
        <v>0</v>
      </c>
    </row>
    <row r="716" spans="72:77" x14ac:dyDescent="0.25">
      <c r="BT716">
        <v>715</v>
      </c>
      <c r="BU716">
        <v>106.51</v>
      </c>
      <c r="BV716">
        <f t="shared" si="113"/>
        <v>0</v>
      </c>
      <c r="BW716">
        <v>-9.27</v>
      </c>
      <c r="BX716">
        <f t="shared" si="114"/>
        <v>154.61600000000001</v>
      </c>
      <c r="BY716" t="s">
        <v>0</v>
      </c>
    </row>
    <row r="717" spans="72:77" x14ac:dyDescent="0.25">
      <c r="BT717">
        <v>716</v>
      </c>
      <c r="BU717">
        <v>106.24</v>
      </c>
      <c r="BV717">
        <f t="shared" si="113"/>
        <v>0</v>
      </c>
      <c r="BW717">
        <v>-10.81</v>
      </c>
      <c r="BX717">
        <f t="shared" si="114"/>
        <v>153.38399999999999</v>
      </c>
      <c r="BY717" t="s">
        <v>0</v>
      </c>
    </row>
    <row r="718" spans="72:77" x14ac:dyDescent="0.25">
      <c r="BT718">
        <v>717</v>
      </c>
      <c r="BU718">
        <v>105.96</v>
      </c>
      <c r="BV718">
        <f t="shared" si="113"/>
        <v>0</v>
      </c>
      <c r="BW718">
        <v>-10.81</v>
      </c>
      <c r="BX718">
        <f t="shared" si="114"/>
        <v>154</v>
      </c>
      <c r="BY718" t="s">
        <v>0</v>
      </c>
    </row>
    <row r="719" spans="72:77" x14ac:dyDescent="0.25">
      <c r="BT719">
        <v>718</v>
      </c>
      <c r="BU719">
        <v>105.73</v>
      </c>
      <c r="BV719">
        <f t="shared" si="113"/>
        <v>0</v>
      </c>
      <c r="BW719">
        <v>-9.27</v>
      </c>
      <c r="BX719">
        <f t="shared" si="114"/>
        <v>154.61600000000001</v>
      </c>
      <c r="BY719" t="s">
        <v>0</v>
      </c>
    </row>
    <row r="720" spans="72:77" x14ac:dyDescent="0.25">
      <c r="BT720">
        <v>719</v>
      </c>
      <c r="BU720">
        <v>105.46</v>
      </c>
      <c r="BV720">
        <f t="shared" si="113"/>
        <v>0</v>
      </c>
      <c r="BW720">
        <v>-10.81</v>
      </c>
      <c r="BX720">
        <f t="shared" si="114"/>
        <v>153.38399999999999</v>
      </c>
      <c r="BY720" t="s">
        <v>0</v>
      </c>
    </row>
    <row r="721" spans="72:77" x14ac:dyDescent="0.25">
      <c r="BT721">
        <v>720</v>
      </c>
      <c r="BU721">
        <v>105.08</v>
      </c>
      <c r="BV721">
        <f t="shared" si="113"/>
        <v>0</v>
      </c>
      <c r="BW721">
        <v>-15.45</v>
      </c>
      <c r="BX721">
        <f t="shared" si="114"/>
        <v>152.14400000000001</v>
      </c>
      <c r="BY721" t="s">
        <v>0</v>
      </c>
    </row>
    <row r="722" spans="72:77" x14ac:dyDescent="0.25">
      <c r="BT722">
        <v>721</v>
      </c>
      <c r="BU722">
        <v>104.73</v>
      </c>
      <c r="BV722">
        <f t="shared" si="113"/>
        <v>0</v>
      </c>
      <c r="BW722">
        <v>-13.9</v>
      </c>
      <c r="BX722">
        <f t="shared" si="114"/>
        <v>154.62</v>
      </c>
      <c r="BY722" t="s">
        <v>0</v>
      </c>
    </row>
    <row r="723" spans="72:77" x14ac:dyDescent="0.25">
      <c r="BT723">
        <v>722</v>
      </c>
      <c r="BU723">
        <v>104.34</v>
      </c>
      <c r="BV723">
        <f t="shared" si="113"/>
        <v>0</v>
      </c>
      <c r="BW723">
        <v>-15.45</v>
      </c>
      <c r="BX723">
        <f t="shared" si="114"/>
        <v>153.38</v>
      </c>
      <c r="BY723" t="s">
        <v>0</v>
      </c>
    </row>
    <row r="724" spans="72:77" x14ac:dyDescent="0.25">
      <c r="BT724">
        <v>723</v>
      </c>
      <c r="BU724">
        <v>103.96</v>
      </c>
      <c r="BV724">
        <f t="shared" si="113"/>
        <v>0</v>
      </c>
      <c r="BW724">
        <v>-15.45</v>
      </c>
      <c r="BX724">
        <f t="shared" si="114"/>
        <v>154</v>
      </c>
      <c r="BY724" t="s">
        <v>0</v>
      </c>
    </row>
    <row r="725" spans="72:77" x14ac:dyDescent="0.25">
      <c r="BT725">
        <v>724</v>
      </c>
      <c r="BU725">
        <v>103.65</v>
      </c>
      <c r="BV725">
        <f t="shared" si="113"/>
        <v>0</v>
      </c>
      <c r="BW725">
        <v>-12.36</v>
      </c>
      <c r="BX725">
        <f t="shared" si="114"/>
        <v>155.23599999999999</v>
      </c>
      <c r="BY725" t="s">
        <v>0</v>
      </c>
    </row>
    <row r="726" spans="72:77" x14ac:dyDescent="0.25">
      <c r="BT726">
        <v>725</v>
      </c>
      <c r="BU726">
        <v>103.38</v>
      </c>
      <c r="BV726">
        <f t="shared" si="113"/>
        <v>0</v>
      </c>
      <c r="BW726">
        <v>-10.81</v>
      </c>
      <c r="BX726">
        <f t="shared" si="114"/>
        <v>154.62</v>
      </c>
      <c r="BY726" t="s">
        <v>0</v>
      </c>
    </row>
    <row r="727" spans="72:77" x14ac:dyDescent="0.25">
      <c r="BT727">
        <v>726</v>
      </c>
      <c r="BU727">
        <v>103.45</v>
      </c>
      <c r="BV727">
        <f t="shared" si="113"/>
        <v>157.09</v>
      </c>
      <c r="BW727">
        <v>3.09</v>
      </c>
      <c r="BX727">
        <f t="shared" si="114"/>
        <v>159.56</v>
      </c>
      <c r="BY727" t="s">
        <v>0</v>
      </c>
    </row>
    <row r="728" spans="72:77" x14ac:dyDescent="0.25">
      <c r="BT728">
        <v>727</v>
      </c>
      <c r="BU728">
        <v>104.34</v>
      </c>
      <c r="BV728">
        <f t="shared" si="113"/>
        <v>189.53</v>
      </c>
      <c r="BW728">
        <v>35.53</v>
      </c>
      <c r="BX728">
        <f t="shared" si="114"/>
        <v>166.976</v>
      </c>
      <c r="BY728" t="s">
        <v>0</v>
      </c>
    </row>
    <row r="729" spans="72:77" x14ac:dyDescent="0.25">
      <c r="BT729">
        <v>728</v>
      </c>
      <c r="BU729">
        <v>105.46</v>
      </c>
      <c r="BV729">
        <f t="shared" si="113"/>
        <v>198.8</v>
      </c>
      <c r="BW729">
        <v>44.8</v>
      </c>
      <c r="BX729">
        <f t="shared" si="114"/>
        <v>157.708</v>
      </c>
      <c r="BY729" t="s">
        <v>0</v>
      </c>
    </row>
    <row r="730" spans="72:77" x14ac:dyDescent="0.25">
      <c r="BT730">
        <v>729</v>
      </c>
      <c r="BU730">
        <v>105.81</v>
      </c>
      <c r="BV730">
        <f t="shared" si="113"/>
        <v>167.9</v>
      </c>
      <c r="BW730">
        <v>13.9</v>
      </c>
      <c r="BX730">
        <f t="shared" si="114"/>
        <v>141.63999999999999</v>
      </c>
      <c r="BY730" t="s">
        <v>0</v>
      </c>
    </row>
    <row r="731" spans="72:77" x14ac:dyDescent="0.25">
      <c r="BT731">
        <v>730</v>
      </c>
      <c r="BU731">
        <v>105.85</v>
      </c>
      <c r="BV731">
        <f t="shared" si="113"/>
        <v>155.54</v>
      </c>
      <c r="BW731">
        <v>1.54</v>
      </c>
      <c r="BX731">
        <f t="shared" si="114"/>
        <v>149.05600000000001</v>
      </c>
      <c r="BY731" t="s">
        <v>0</v>
      </c>
    </row>
    <row r="732" spans="72:77" x14ac:dyDescent="0.25">
      <c r="BT732">
        <v>731</v>
      </c>
      <c r="BU732">
        <v>105.81</v>
      </c>
      <c r="BV732">
        <f t="shared" si="113"/>
        <v>0</v>
      </c>
      <c r="BW732">
        <v>-1.54</v>
      </c>
      <c r="BX732">
        <f t="shared" si="114"/>
        <v>152.768</v>
      </c>
      <c r="BY732" t="s">
        <v>0</v>
      </c>
    </row>
    <row r="733" spans="72:77" x14ac:dyDescent="0.25">
      <c r="BT733">
        <v>732</v>
      </c>
      <c r="BU733">
        <v>105.62</v>
      </c>
      <c r="BV733">
        <f t="shared" si="113"/>
        <v>0</v>
      </c>
      <c r="BW733">
        <v>-7.72</v>
      </c>
      <c r="BX733">
        <f t="shared" si="114"/>
        <v>151.52799999999999</v>
      </c>
      <c r="BY733" t="s">
        <v>0</v>
      </c>
    </row>
    <row r="734" spans="72:77" x14ac:dyDescent="0.25">
      <c r="BT734">
        <v>733</v>
      </c>
      <c r="BU734">
        <v>105.23</v>
      </c>
      <c r="BV734">
        <f t="shared" si="113"/>
        <v>0</v>
      </c>
      <c r="BW734">
        <v>-15.45</v>
      </c>
      <c r="BX734">
        <f t="shared" si="114"/>
        <v>150.90799999999999</v>
      </c>
      <c r="BY734" t="s">
        <v>0</v>
      </c>
    </row>
    <row r="735" spans="72:77" x14ac:dyDescent="0.25">
      <c r="BT735">
        <v>734</v>
      </c>
      <c r="BU735">
        <v>104.88</v>
      </c>
      <c r="BV735">
        <f t="shared" si="113"/>
        <v>0</v>
      </c>
      <c r="BW735">
        <v>-13.9</v>
      </c>
      <c r="BX735">
        <f t="shared" si="114"/>
        <v>154.62</v>
      </c>
      <c r="BY735" t="s">
        <v>0</v>
      </c>
    </row>
    <row r="736" spans="72:77" x14ac:dyDescent="0.25">
      <c r="BT736">
        <v>735</v>
      </c>
      <c r="BU736">
        <v>104.46</v>
      </c>
      <c r="BV736">
        <f t="shared" si="113"/>
        <v>0</v>
      </c>
      <c r="BW736">
        <v>-16.989999999999998</v>
      </c>
      <c r="BX736">
        <f t="shared" si="114"/>
        <v>152.76400000000001</v>
      </c>
      <c r="BY736" t="s">
        <v>0</v>
      </c>
    </row>
    <row r="737" spans="72:77" x14ac:dyDescent="0.25">
      <c r="BT737">
        <v>736</v>
      </c>
      <c r="BU737">
        <v>104.27</v>
      </c>
      <c r="BV737">
        <f t="shared" si="113"/>
        <v>0</v>
      </c>
      <c r="BW737">
        <v>-7.72</v>
      </c>
      <c r="BX737">
        <f t="shared" si="114"/>
        <v>157.708</v>
      </c>
      <c r="BY737" t="s">
        <v>0</v>
      </c>
    </row>
    <row r="738" spans="72:77" x14ac:dyDescent="0.25">
      <c r="BT738">
        <v>737</v>
      </c>
      <c r="BU738">
        <v>104</v>
      </c>
      <c r="BV738">
        <f t="shared" si="113"/>
        <v>0</v>
      </c>
      <c r="BW738">
        <v>-10.81</v>
      </c>
      <c r="BX738">
        <f t="shared" si="114"/>
        <v>152.76400000000001</v>
      </c>
      <c r="BY738" t="s">
        <v>0</v>
      </c>
    </row>
    <row r="739" spans="72:77" x14ac:dyDescent="0.25">
      <c r="BT739">
        <v>738</v>
      </c>
      <c r="BU739">
        <v>103.84</v>
      </c>
      <c r="BV739">
        <f t="shared" si="113"/>
        <v>0</v>
      </c>
      <c r="BW739">
        <v>-6.18</v>
      </c>
      <c r="BX739">
        <f t="shared" si="114"/>
        <v>155.852</v>
      </c>
      <c r="BY739" t="s">
        <v>0</v>
      </c>
    </row>
    <row r="740" spans="72:77" x14ac:dyDescent="0.25">
      <c r="BT740">
        <v>739</v>
      </c>
      <c r="BU740">
        <v>103.65</v>
      </c>
      <c r="BV740">
        <f t="shared" si="113"/>
        <v>0</v>
      </c>
      <c r="BW740">
        <v>-7.72</v>
      </c>
      <c r="BX740">
        <f t="shared" si="114"/>
        <v>153.38399999999999</v>
      </c>
      <c r="BY740" t="s">
        <v>0</v>
      </c>
    </row>
    <row r="741" spans="72:77" x14ac:dyDescent="0.25">
      <c r="BT741">
        <v>740</v>
      </c>
      <c r="BU741">
        <v>103.34</v>
      </c>
      <c r="BV741">
        <f t="shared" si="113"/>
        <v>0</v>
      </c>
      <c r="BW741">
        <v>-12.36</v>
      </c>
      <c r="BX741">
        <f t="shared" si="114"/>
        <v>152.14400000000001</v>
      </c>
      <c r="BY741" t="s">
        <v>0</v>
      </c>
    </row>
    <row r="742" spans="72:77" x14ac:dyDescent="0.25">
      <c r="BT742">
        <v>741</v>
      </c>
      <c r="BU742">
        <v>102.99</v>
      </c>
      <c r="BV742">
        <f t="shared" si="113"/>
        <v>0</v>
      </c>
      <c r="BW742">
        <v>-13.9</v>
      </c>
      <c r="BX742">
        <f t="shared" si="114"/>
        <v>153.38399999999999</v>
      </c>
      <c r="BY742" t="s">
        <v>0</v>
      </c>
    </row>
    <row r="743" spans="72:77" x14ac:dyDescent="0.25">
      <c r="BT743">
        <v>742</v>
      </c>
      <c r="BU743">
        <v>102.76</v>
      </c>
      <c r="BV743">
        <f t="shared" si="113"/>
        <v>0</v>
      </c>
      <c r="BW743">
        <v>-9.27</v>
      </c>
      <c r="BX743">
        <f t="shared" si="114"/>
        <v>155.852</v>
      </c>
      <c r="BY743" t="s">
        <v>0</v>
      </c>
    </row>
    <row r="744" spans="72:77" x14ac:dyDescent="0.25">
      <c r="BT744">
        <v>743</v>
      </c>
      <c r="BU744">
        <v>102.33</v>
      </c>
      <c r="BV744">
        <f t="shared" si="113"/>
        <v>0</v>
      </c>
      <c r="BW744">
        <v>-16.989999999999998</v>
      </c>
      <c r="BX744">
        <f t="shared" si="114"/>
        <v>150.91200000000001</v>
      </c>
      <c r="BY744" t="s">
        <v>0</v>
      </c>
    </row>
    <row r="745" spans="72:77" x14ac:dyDescent="0.25">
      <c r="BT745">
        <v>744</v>
      </c>
      <c r="BU745">
        <v>102.03</v>
      </c>
      <c r="BV745">
        <f t="shared" si="113"/>
        <v>0</v>
      </c>
      <c r="BW745">
        <v>-12.36</v>
      </c>
      <c r="BX745">
        <f t="shared" si="114"/>
        <v>155.852</v>
      </c>
      <c r="BY745" t="s">
        <v>0</v>
      </c>
    </row>
    <row r="746" spans="72:77" x14ac:dyDescent="0.25">
      <c r="BT746">
        <v>745</v>
      </c>
      <c r="BU746">
        <v>101.72</v>
      </c>
      <c r="BV746">
        <f t="shared" si="113"/>
        <v>0</v>
      </c>
      <c r="BW746">
        <v>-12.36</v>
      </c>
      <c r="BX746">
        <f t="shared" si="114"/>
        <v>154</v>
      </c>
      <c r="BY746" t="s">
        <v>0</v>
      </c>
    </row>
    <row r="747" spans="72:77" x14ac:dyDescent="0.25">
      <c r="BT747">
        <v>746</v>
      </c>
      <c r="BU747">
        <v>101.45</v>
      </c>
      <c r="BV747">
        <f t="shared" si="113"/>
        <v>0</v>
      </c>
      <c r="BW747">
        <v>-10.81</v>
      </c>
      <c r="BX747">
        <f t="shared" si="114"/>
        <v>154.62</v>
      </c>
      <c r="BY747" t="s">
        <v>0</v>
      </c>
    </row>
    <row r="748" spans="72:77" x14ac:dyDescent="0.25">
      <c r="BT748">
        <v>747</v>
      </c>
      <c r="BU748">
        <v>101.52</v>
      </c>
      <c r="BV748">
        <f t="shared" si="113"/>
        <v>157.09</v>
      </c>
      <c r="BW748">
        <v>3.09</v>
      </c>
      <c r="BX748">
        <f t="shared" si="114"/>
        <v>159.56</v>
      </c>
      <c r="BY748" t="s">
        <v>0</v>
      </c>
    </row>
    <row r="749" spans="72:77" x14ac:dyDescent="0.25">
      <c r="BT749">
        <v>748</v>
      </c>
      <c r="BU749">
        <v>102.3</v>
      </c>
      <c r="BV749">
        <f t="shared" si="113"/>
        <v>184.89</v>
      </c>
      <c r="BW749">
        <v>30.89</v>
      </c>
      <c r="BX749">
        <f t="shared" si="114"/>
        <v>165.12</v>
      </c>
      <c r="BY749" t="s">
        <v>0</v>
      </c>
    </row>
    <row r="750" spans="72:77" x14ac:dyDescent="0.25">
      <c r="BT750">
        <v>749</v>
      </c>
      <c r="BU750">
        <v>103.34</v>
      </c>
      <c r="BV750">
        <f t="shared" si="113"/>
        <v>195.71</v>
      </c>
      <c r="BW750">
        <v>41.71</v>
      </c>
      <c r="BX750">
        <f t="shared" si="114"/>
        <v>158.328</v>
      </c>
      <c r="BY750" t="s">
        <v>0</v>
      </c>
    </row>
    <row r="751" spans="72:77" x14ac:dyDescent="0.25">
      <c r="BT751">
        <v>750</v>
      </c>
      <c r="BU751">
        <v>103.72</v>
      </c>
      <c r="BV751">
        <f t="shared" si="113"/>
        <v>169.45</v>
      </c>
      <c r="BW751">
        <v>15.45</v>
      </c>
      <c r="BX751">
        <f t="shared" si="114"/>
        <v>143.49600000000001</v>
      </c>
      <c r="BY751" t="s">
        <v>0</v>
      </c>
    </row>
    <row r="752" spans="72:77" x14ac:dyDescent="0.25">
      <c r="BT752">
        <v>751</v>
      </c>
      <c r="BU752">
        <v>103.76</v>
      </c>
      <c r="BV752">
        <f t="shared" si="113"/>
        <v>155.54</v>
      </c>
      <c r="BW752">
        <v>1.54</v>
      </c>
      <c r="BX752">
        <f t="shared" si="114"/>
        <v>148.43600000000001</v>
      </c>
      <c r="BY752" t="s">
        <v>0</v>
      </c>
    </row>
    <row r="753" spans="72:77" x14ac:dyDescent="0.25">
      <c r="BT753">
        <v>752</v>
      </c>
      <c r="BU753">
        <v>103.65</v>
      </c>
      <c r="BV753">
        <f t="shared" si="113"/>
        <v>0</v>
      </c>
      <c r="BW753">
        <v>-4.63</v>
      </c>
      <c r="BX753">
        <f t="shared" si="114"/>
        <v>151.53200000000001</v>
      </c>
      <c r="BY753" t="s">
        <v>0</v>
      </c>
    </row>
    <row r="754" spans="72:77" x14ac:dyDescent="0.25">
      <c r="BT754">
        <v>753</v>
      </c>
      <c r="BU754">
        <v>103.45</v>
      </c>
      <c r="BV754">
        <f t="shared" si="113"/>
        <v>0</v>
      </c>
      <c r="BW754">
        <v>-7.72</v>
      </c>
      <c r="BX754">
        <f t="shared" si="114"/>
        <v>152.76400000000001</v>
      </c>
      <c r="BY754" t="s">
        <v>0</v>
      </c>
    </row>
    <row r="755" spans="72:77" x14ac:dyDescent="0.25">
      <c r="BT755">
        <v>754</v>
      </c>
      <c r="BU755">
        <v>103.11</v>
      </c>
      <c r="BV755">
        <f t="shared" si="113"/>
        <v>0</v>
      </c>
      <c r="BW755">
        <v>-13.9</v>
      </c>
      <c r="BX755">
        <f t="shared" si="114"/>
        <v>151.52799999999999</v>
      </c>
      <c r="BY755" t="s">
        <v>0</v>
      </c>
    </row>
    <row r="756" spans="72:77" x14ac:dyDescent="0.25">
      <c r="BT756">
        <v>755</v>
      </c>
      <c r="BU756">
        <v>102.8</v>
      </c>
      <c r="BV756">
        <f t="shared" si="113"/>
        <v>0</v>
      </c>
      <c r="BW756">
        <v>-12.36</v>
      </c>
      <c r="BX756">
        <f t="shared" si="114"/>
        <v>154.61600000000001</v>
      </c>
      <c r="BY756" t="s">
        <v>0</v>
      </c>
    </row>
    <row r="757" spans="72:77" x14ac:dyDescent="0.25">
      <c r="BT757">
        <v>756</v>
      </c>
      <c r="BU757">
        <v>102.45</v>
      </c>
      <c r="BV757">
        <f t="shared" si="113"/>
        <v>0</v>
      </c>
      <c r="BW757">
        <v>-13.9</v>
      </c>
      <c r="BX757">
        <f t="shared" si="114"/>
        <v>153.38399999999999</v>
      </c>
      <c r="BY757" t="s">
        <v>0</v>
      </c>
    </row>
    <row r="758" spans="72:77" x14ac:dyDescent="0.25">
      <c r="BT758">
        <v>757</v>
      </c>
      <c r="BU758">
        <v>102.18</v>
      </c>
      <c r="BV758">
        <f t="shared" si="113"/>
        <v>0</v>
      </c>
      <c r="BW758">
        <v>-10.81</v>
      </c>
      <c r="BX758">
        <f t="shared" si="114"/>
        <v>155.23599999999999</v>
      </c>
      <c r="BY758" t="s">
        <v>0</v>
      </c>
    </row>
    <row r="759" spans="72:77" x14ac:dyDescent="0.25">
      <c r="BT759">
        <v>758</v>
      </c>
      <c r="BU759">
        <v>101.91</v>
      </c>
      <c r="BV759">
        <f t="shared" si="113"/>
        <v>0</v>
      </c>
      <c r="BW759">
        <v>-10.81</v>
      </c>
      <c r="BX759">
        <f t="shared" si="114"/>
        <v>154</v>
      </c>
      <c r="BY759" t="s">
        <v>0</v>
      </c>
    </row>
    <row r="760" spans="72:77" x14ac:dyDescent="0.25">
      <c r="BT760">
        <v>759</v>
      </c>
      <c r="BU760">
        <v>101.72</v>
      </c>
      <c r="BV760">
        <f t="shared" si="113"/>
        <v>0</v>
      </c>
      <c r="BW760">
        <v>-7.72</v>
      </c>
      <c r="BX760">
        <f t="shared" si="114"/>
        <v>155.23599999999999</v>
      </c>
      <c r="BY760" t="s">
        <v>0</v>
      </c>
    </row>
    <row r="761" spans="72:77" x14ac:dyDescent="0.25">
      <c r="BT761">
        <v>760</v>
      </c>
      <c r="BU761">
        <v>101.52</v>
      </c>
      <c r="BV761">
        <f t="shared" si="113"/>
        <v>0</v>
      </c>
      <c r="BW761">
        <v>-7.72</v>
      </c>
      <c r="BX761">
        <f t="shared" si="114"/>
        <v>154</v>
      </c>
      <c r="BY761" t="s">
        <v>0</v>
      </c>
    </row>
    <row r="762" spans="72:77" x14ac:dyDescent="0.25">
      <c r="BT762">
        <v>761</v>
      </c>
      <c r="BU762">
        <v>101.29</v>
      </c>
      <c r="BV762">
        <f t="shared" si="113"/>
        <v>0</v>
      </c>
      <c r="BW762">
        <v>-9.27</v>
      </c>
      <c r="BX762">
        <f t="shared" si="114"/>
        <v>153.38</v>
      </c>
      <c r="BY762" t="s">
        <v>0</v>
      </c>
    </row>
    <row r="763" spans="72:77" x14ac:dyDescent="0.25">
      <c r="BT763">
        <v>762</v>
      </c>
      <c r="BU763">
        <v>100.94</v>
      </c>
      <c r="BV763">
        <f t="shared" si="113"/>
        <v>0</v>
      </c>
      <c r="BW763">
        <v>-13.9</v>
      </c>
      <c r="BX763">
        <f t="shared" si="114"/>
        <v>152.148</v>
      </c>
      <c r="BY763" t="s">
        <v>0</v>
      </c>
    </row>
    <row r="764" spans="72:77" x14ac:dyDescent="0.25">
      <c r="BT764">
        <v>763</v>
      </c>
      <c r="BU764">
        <v>100.67</v>
      </c>
      <c r="BV764">
        <f t="shared" si="113"/>
        <v>0</v>
      </c>
      <c r="BW764">
        <v>-10.81</v>
      </c>
      <c r="BX764">
        <f t="shared" si="114"/>
        <v>155.23599999999999</v>
      </c>
      <c r="BY764" t="s">
        <v>0</v>
      </c>
    </row>
    <row r="765" spans="72:77" x14ac:dyDescent="0.25">
      <c r="BT765">
        <v>764</v>
      </c>
      <c r="BU765">
        <v>100.33</v>
      </c>
      <c r="BV765">
        <f t="shared" si="113"/>
        <v>0</v>
      </c>
      <c r="BW765">
        <v>-13.9</v>
      </c>
      <c r="BX765">
        <f t="shared" si="114"/>
        <v>152.76400000000001</v>
      </c>
      <c r="BY765" t="s">
        <v>0</v>
      </c>
    </row>
    <row r="766" spans="72:77" x14ac:dyDescent="0.25">
      <c r="BT766">
        <v>765</v>
      </c>
      <c r="BU766">
        <v>100.06</v>
      </c>
      <c r="BV766">
        <f t="shared" si="113"/>
        <v>0</v>
      </c>
      <c r="BW766">
        <v>-10.81</v>
      </c>
      <c r="BX766">
        <f t="shared" si="114"/>
        <v>155.23599999999999</v>
      </c>
      <c r="BY766" t="s">
        <v>0</v>
      </c>
    </row>
    <row r="767" spans="72:77" x14ac:dyDescent="0.25">
      <c r="BT767">
        <v>766</v>
      </c>
      <c r="BU767">
        <v>99.67</v>
      </c>
      <c r="BV767">
        <f t="shared" si="113"/>
        <v>0</v>
      </c>
      <c r="BW767">
        <v>-15.45</v>
      </c>
      <c r="BX767">
        <f t="shared" si="114"/>
        <v>152.14400000000001</v>
      </c>
      <c r="BY767" t="s">
        <v>0</v>
      </c>
    </row>
    <row r="768" spans="72:77" x14ac:dyDescent="0.25">
      <c r="BT768">
        <v>767</v>
      </c>
      <c r="BU768">
        <v>99.48</v>
      </c>
      <c r="BV768">
        <f t="shared" si="113"/>
        <v>0</v>
      </c>
      <c r="BW768">
        <v>-7.72</v>
      </c>
      <c r="BX768">
        <f t="shared" si="114"/>
        <v>157.09200000000001</v>
      </c>
      <c r="BY768" t="s">
        <v>0</v>
      </c>
    </row>
    <row r="769" spans="72:77" x14ac:dyDescent="0.25">
      <c r="BT769">
        <v>768</v>
      </c>
      <c r="BU769">
        <v>99.52</v>
      </c>
      <c r="BV769">
        <f t="shared" si="113"/>
        <v>155.54</v>
      </c>
      <c r="BW769">
        <v>1.54</v>
      </c>
      <c r="BX769">
        <f t="shared" si="114"/>
        <v>157.70400000000001</v>
      </c>
      <c r="BY769" t="s">
        <v>0</v>
      </c>
    </row>
    <row r="770" spans="72:77" x14ac:dyDescent="0.25">
      <c r="BT770">
        <v>769</v>
      </c>
      <c r="BU770">
        <v>100.33</v>
      </c>
      <c r="BV770">
        <f t="shared" si="113"/>
        <v>186.44</v>
      </c>
      <c r="BW770">
        <v>32.44</v>
      </c>
      <c r="BX770">
        <f t="shared" si="114"/>
        <v>166.36</v>
      </c>
      <c r="BY770" t="s">
        <v>0</v>
      </c>
    </row>
    <row r="771" spans="72:77" x14ac:dyDescent="0.25">
      <c r="BT771">
        <v>770</v>
      </c>
      <c r="BU771">
        <v>101.45</v>
      </c>
      <c r="BV771">
        <f t="shared" ref="BV771:BV834" si="115">IF(BW771&gt;0,BW771+BV$1,0)</f>
        <v>198.8</v>
      </c>
      <c r="BW771">
        <v>44.8</v>
      </c>
      <c r="BX771">
        <f t="shared" si="114"/>
        <v>158.94399999999999</v>
      </c>
      <c r="BY771" t="s">
        <v>0</v>
      </c>
    </row>
    <row r="772" spans="72:77" x14ac:dyDescent="0.25">
      <c r="BT772">
        <v>771</v>
      </c>
      <c r="BU772">
        <v>101.83</v>
      </c>
      <c r="BV772">
        <f t="shared" si="115"/>
        <v>169.45</v>
      </c>
      <c r="BW772">
        <v>15.45</v>
      </c>
      <c r="BX772">
        <f t="shared" ref="BX772:BX835" si="116">BV$1+(BW772-BW771)/2.5</f>
        <v>142.26</v>
      </c>
      <c r="BY772" t="s">
        <v>0</v>
      </c>
    </row>
    <row r="773" spans="72:77" x14ac:dyDescent="0.25">
      <c r="BT773">
        <v>772</v>
      </c>
      <c r="BU773">
        <v>101.83</v>
      </c>
      <c r="BV773">
        <f t="shared" si="115"/>
        <v>0</v>
      </c>
      <c r="BW773">
        <v>0</v>
      </c>
      <c r="BX773">
        <f t="shared" si="116"/>
        <v>147.82</v>
      </c>
      <c r="BY773" t="s">
        <v>0</v>
      </c>
    </row>
    <row r="774" spans="72:77" x14ac:dyDescent="0.25">
      <c r="BT774">
        <v>773</v>
      </c>
      <c r="BU774">
        <v>101.79</v>
      </c>
      <c r="BV774">
        <f t="shared" si="115"/>
        <v>0</v>
      </c>
      <c r="BW774">
        <v>-1.54</v>
      </c>
      <c r="BX774">
        <f t="shared" si="116"/>
        <v>153.38399999999999</v>
      </c>
      <c r="BY774" t="s">
        <v>0</v>
      </c>
    </row>
    <row r="775" spans="72:77" x14ac:dyDescent="0.25">
      <c r="BT775">
        <v>774</v>
      </c>
      <c r="BU775">
        <v>101.6</v>
      </c>
      <c r="BV775">
        <f t="shared" si="115"/>
        <v>0</v>
      </c>
      <c r="BW775">
        <v>-7.72</v>
      </c>
      <c r="BX775">
        <f t="shared" si="116"/>
        <v>151.52799999999999</v>
      </c>
      <c r="BY775" t="s">
        <v>0</v>
      </c>
    </row>
    <row r="776" spans="72:77" x14ac:dyDescent="0.25">
      <c r="BT776">
        <v>775</v>
      </c>
      <c r="BU776">
        <v>101.21</v>
      </c>
      <c r="BV776">
        <f t="shared" si="115"/>
        <v>0</v>
      </c>
      <c r="BW776">
        <v>-15.45</v>
      </c>
      <c r="BX776">
        <f t="shared" si="116"/>
        <v>150.90799999999999</v>
      </c>
      <c r="BY776" t="s">
        <v>0</v>
      </c>
    </row>
    <row r="777" spans="72:77" x14ac:dyDescent="0.25">
      <c r="BT777">
        <v>776</v>
      </c>
      <c r="BU777">
        <v>100.87</v>
      </c>
      <c r="BV777">
        <f t="shared" si="115"/>
        <v>0</v>
      </c>
      <c r="BW777">
        <v>-13.9</v>
      </c>
      <c r="BX777">
        <f t="shared" si="116"/>
        <v>154.62</v>
      </c>
      <c r="BY777" t="s">
        <v>0</v>
      </c>
    </row>
    <row r="778" spans="72:77" x14ac:dyDescent="0.25">
      <c r="BT778">
        <v>777</v>
      </c>
      <c r="BU778">
        <v>100.52</v>
      </c>
      <c r="BV778">
        <f t="shared" si="115"/>
        <v>0</v>
      </c>
      <c r="BW778">
        <v>-13.9</v>
      </c>
      <c r="BX778">
        <f t="shared" si="116"/>
        <v>154</v>
      </c>
      <c r="BY778" t="s">
        <v>0</v>
      </c>
    </row>
    <row r="779" spans="72:77" x14ac:dyDescent="0.25">
      <c r="BT779">
        <v>778</v>
      </c>
      <c r="BU779">
        <v>100.29</v>
      </c>
      <c r="BV779">
        <f t="shared" si="115"/>
        <v>0</v>
      </c>
      <c r="BW779">
        <v>-9.27</v>
      </c>
      <c r="BX779">
        <f t="shared" si="116"/>
        <v>155.852</v>
      </c>
      <c r="BY779" t="s">
        <v>0</v>
      </c>
    </row>
    <row r="780" spans="72:77" x14ac:dyDescent="0.25">
      <c r="BT780">
        <v>779</v>
      </c>
      <c r="BU780">
        <v>100.1</v>
      </c>
      <c r="BV780">
        <f t="shared" si="115"/>
        <v>0</v>
      </c>
      <c r="BW780">
        <v>-7.72</v>
      </c>
      <c r="BX780">
        <f t="shared" si="116"/>
        <v>154.62</v>
      </c>
      <c r="BY780" t="s">
        <v>0</v>
      </c>
    </row>
    <row r="781" spans="72:77" x14ac:dyDescent="0.25">
      <c r="BT781">
        <v>780</v>
      </c>
      <c r="BU781">
        <v>99.9</v>
      </c>
      <c r="BV781">
        <f t="shared" si="115"/>
        <v>0</v>
      </c>
      <c r="BW781">
        <v>-7.72</v>
      </c>
      <c r="BX781">
        <f t="shared" si="116"/>
        <v>154</v>
      </c>
      <c r="BY781" t="s">
        <v>0</v>
      </c>
    </row>
    <row r="782" spans="72:77" x14ac:dyDescent="0.25">
      <c r="BT782">
        <v>781</v>
      </c>
      <c r="BU782">
        <v>99.63</v>
      </c>
      <c r="BV782">
        <f t="shared" si="115"/>
        <v>0</v>
      </c>
      <c r="BW782">
        <v>-10.81</v>
      </c>
      <c r="BX782">
        <f t="shared" si="116"/>
        <v>152.76400000000001</v>
      </c>
      <c r="BY782" t="s">
        <v>0</v>
      </c>
    </row>
    <row r="783" spans="72:77" x14ac:dyDescent="0.25">
      <c r="BT783">
        <v>782</v>
      </c>
      <c r="BU783">
        <v>99.4</v>
      </c>
      <c r="BV783">
        <f t="shared" si="115"/>
        <v>0</v>
      </c>
      <c r="BW783">
        <v>-9.27</v>
      </c>
      <c r="BX783">
        <f t="shared" si="116"/>
        <v>154.61600000000001</v>
      </c>
      <c r="BY783" t="s">
        <v>0</v>
      </c>
    </row>
    <row r="784" spans="72:77" x14ac:dyDescent="0.25">
      <c r="BT784">
        <v>783</v>
      </c>
      <c r="BU784">
        <v>99.13</v>
      </c>
      <c r="BV784">
        <f t="shared" si="115"/>
        <v>0</v>
      </c>
      <c r="BW784">
        <v>-10.81</v>
      </c>
      <c r="BX784">
        <f t="shared" si="116"/>
        <v>153.38399999999999</v>
      </c>
      <c r="BY784" t="s">
        <v>0</v>
      </c>
    </row>
    <row r="785" spans="72:77" x14ac:dyDescent="0.25">
      <c r="BT785">
        <v>784</v>
      </c>
      <c r="BU785">
        <v>98.9</v>
      </c>
      <c r="BV785">
        <f t="shared" si="115"/>
        <v>0</v>
      </c>
      <c r="BW785">
        <v>-9.27</v>
      </c>
      <c r="BX785">
        <f t="shared" si="116"/>
        <v>154.61600000000001</v>
      </c>
      <c r="BY785" t="s">
        <v>0</v>
      </c>
    </row>
    <row r="786" spans="72:77" x14ac:dyDescent="0.25">
      <c r="BT786">
        <v>785</v>
      </c>
      <c r="BU786">
        <v>98.59</v>
      </c>
      <c r="BV786">
        <f t="shared" si="115"/>
        <v>0</v>
      </c>
      <c r="BW786">
        <v>-12.36</v>
      </c>
      <c r="BX786">
        <f t="shared" si="116"/>
        <v>152.76400000000001</v>
      </c>
      <c r="BY786" t="s">
        <v>0</v>
      </c>
    </row>
    <row r="787" spans="72:77" x14ac:dyDescent="0.25">
      <c r="BT787">
        <v>786</v>
      </c>
      <c r="BU787">
        <v>98.28</v>
      </c>
      <c r="BV787">
        <f t="shared" si="115"/>
        <v>0</v>
      </c>
      <c r="BW787">
        <v>-12.36</v>
      </c>
      <c r="BX787">
        <f t="shared" si="116"/>
        <v>154</v>
      </c>
      <c r="BY787" t="s">
        <v>0</v>
      </c>
    </row>
    <row r="788" spans="72:77" x14ac:dyDescent="0.25">
      <c r="BT788">
        <v>787</v>
      </c>
      <c r="BU788">
        <v>97.97</v>
      </c>
      <c r="BV788">
        <f t="shared" si="115"/>
        <v>0</v>
      </c>
      <c r="BW788">
        <v>-12.36</v>
      </c>
      <c r="BX788">
        <f t="shared" si="116"/>
        <v>154</v>
      </c>
      <c r="BY788" t="s">
        <v>0</v>
      </c>
    </row>
    <row r="789" spans="72:77" x14ac:dyDescent="0.25">
      <c r="BT789">
        <v>788</v>
      </c>
      <c r="BU789">
        <v>97.78</v>
      </c>
      <c r="BV789">
        <f t="shared" si="115"/>
        <v>0</v>
      </c>
      <c r="BW789">
        <v>-7.72</v>
      </c>
      <c r="BX789">
        <f t="shared" si="116"/>
        <v>155.85599999999999</v>
      </c>
      <c r="BY789" t="s">
        <v>0</v>
      </c>
    </row>
    <row r="790" spans="72:77" x14ac:dyDescent="0.25">
      <c r="BT790">
        <v>789</v>
      </c>
      <c r="BU790">
        <v>98.09</v>
      </c>
      <c r="BV790">
        <f t="shared" si="115"/>
        <v>166.36</v>
      </c>
      <c r="BW790">
        <v>12.36</v>
      </c>
      <c r="BX790">
        <f t="shared" si="116"/>
        <v>162.03200000000001</v>
      </c>
      <c r="BY790" t="s">
        <v>0</v>
      </c>
    </row>
    <row r="791" spans="72:77" x14ac:dyDescent="0.25">
      <c r="BT791">
        <v>790</v>
      </c>
      <c r="BU791">
        <v>99.05</v>
      </c>
      <c r="BV791">
        <f t="shared" si="115"/>
        <v>192.62</v>
      </c>
      <c r="BW791">
        <v>38.619999999999997</v>
      </c>
      <c r="BX791">
        <f t="shared" si="116"/>
        <v>164.50399999999999</v>
      </c>
      <c r="BY791" t="s">
        <v>0</v>
      </c>
    </row>
    <row r="792" spans="72:77" x14ac:dyDescent="0.25">
      <c r="BT792">
        <v>791</v>
      </c>
      <c r="BU792">
        <v>99.82</v>
      </c>
      <c r="BV792">
        <f t="shared" si="115"/>
        <v>184.89</v>
      </c>
      <c r="BW792">
        <v>30.89</v>
      </c>
      <c r="BX792">
        <f t="shared" si="116"/>
        <v>150.90800000000002</v>
      </c>
      <c r="BY792" t="s">
        <v>0</v>
      </c>
    </row>
    <row r="793" spans="72:77" x14ac:dyDescent="0.25">
      <c r="BT793">
        <v>792</v>
      </c>
      <c r="BU793">
        <v>100.06</v>
      </c>
      <c r="BV793">
        <f t="shared" si="115"/>
        <v>163.27000000000001</v>
      </c>
      <c r="BW793">
        <v>9.27</v>
      </c>
      <c r="BX793">
        <f t="shared" si="116"/>
        <v>145.352</v>
      </c>
      <c r="BY793" t="s">
        <v>0</v>
      </c>
    </row>
    <row r="794" spans="72:77" x14ac:dyDescent="0.25">
      <c r="BT794">
        <v>793</v>
      </c>
      <c r="BU794">
        <v>100.06</v>
      </c>
      <c r="BV794">
        <f t="shared" si="115"/>
        <v>0</v>
      </c>
      <c r="BW794">
        <v>0</v>
      </c>
      <c r="BX794">
        <f t="shared" si="116"/>
        <v>150.292</v>
      </c>
      <c r="BY794" t="s">
        <v>0</v>
      </c>
    </row>
    <row r="795" spans="72:77" x14ac:dyDescent="0.25">
      <c r="BT795">
        <v>794</v>
      </c>
      <c r="BU795">
        <v>99.94</v>
      </c>
      <c r="BV795">
        <f t="shared" si="115"/>
        <v>0</v>
      </c>
      <c r="BW795">
        <v>-4.63</v>
      </c>
      <c r="BX795">
        <f t="shared" si="116"/>
        <v>152.148</v>
      </c>
      <c r="BY795" t="s">
        <v>0</v>
      </c>
    </row>
    <row r="796" spans="72:77" x14ac:dyDescent="0.25">
      <c r="BT796">
        <v>795</v>
      </c>
      <c r="BU796">
        <v>99.63</v>
      </c>
      <c r="BV796">
        <f t="shared" si="115"/>
        <v>0</v>
      </c>
      <c r="BW796">
        <v>-12.36</v>
      </c>
      <c r="BX796">
        <f t="shared" si="116"/>
        <v>150.90799999999999</v>
      </c>
      <c r="BY796" t="s">
        <v>0</v>
      </c>
    </row>
    <row r="797" spans="72:77" x14ac:dyDescent="0.25">
      <c r="BT797">
        <v>796</v>
      </c>
      <c r="BU797">
        <v>99.32</v>
      </c>
      <c r="BV797">
        <f t="shared" si="115"/>
        <v>0</v>
      </c>
      <c r="BW797">
        <v>-12.36</v>
      </c>
      <c r="BX797">
        <f t="shared" si="116"/>
        <v>154</v>
      </c>
      <c r="BY797" t="s">
        <v>0</v>
      </c>
    </row>
    <row r="798" spans="72:77" x14ac:dyDescent="0.25">
      <c r="BT798">
        <v>797</v>
      </c>
      <c r="BU798">
        <v>98.94</v>
      </c>
      <c r="BV798">
        <f t="shared" si="115"/>
        <v>0</v>
      </c>
      <c r="BW798">
        <v>-15.45</v>
      </c>
      <c r="BX798">
        <f t="shared" si="116"/>
        <v>152.76400000000001</v>
      </c>
      <c r="BY798" t="s">
        <v>0</v>
      </c>
    </row>
    <row r="799" spans="72:77" x14ac:dyDescent="0.25">
      <c r="BT799">
        <v>798</v>
      </c>
      <c r="BU799">
        <v>98.78</v>
      </c>
      <c r="BV799">
        <f t="shared" si="115"/>
        <v>0</v>
      </c>
      <c r="BW799">
        <v>-6.18</v>
      </c>
      <c r="BX799">
        <f t="shared" si="116"/>
        <v>157.708</v>
      </c>
      <c r="BY799" t="s">
        <v>0</v>
      </c>
    </row>
    <row r="800" spans="72:77" x14ac:dyDescent="0.25">
      <c r="BT800">
        <v>799</v>
      </c>
      <c r="BU800">
        <v>98.59</v>
      </c>
      <c r="BV800">
        <f t="shared" si="115"/>
        <v>0</v>
      </c>
      <c r="BW800">
        <v>-7.72</v>
      </c>
      <c r="BX800">
        <f t="shared" si="116"/>
        <v>153.38399999999999</v>
      </c>
      <c r="BY800" t="s">
        <v>0</v>
      </c>
    </row>
    <row r="801" spans="72:77" x14ac:dyDescent="0.25">
      <c r="BT801">
        <v>800</v>
      </c>
      <c r="BU801">
        <v>98.43</v>
      </c>
      <c r="BV801">
        <f t="shared" si="115"/>
        <v>0</v>
      </c>
      <c r="BW801">
        <v>-6.18</v>
      </c>
      <c r="BX801">
        <f t="shared" si="116"/>
        <v>154.61600000000001</v>
      </c>
      <c r="BY801" t="s">
        <v>0</v>
      </c>
    </row>
    <row r="802" spans="72:77" x14ac:dyDescent="0.25">
      <c r="BT802">
        <v>801</v>
      </c>
      <c r="BU802">
        <v>98.24</v>
      </c>
      <c r="BV802">
        <f t="shared" si="115"/>
        <v>0</v>
      </c>
      <c r="BW802">
        <v>-7.72</v>
      </c>
      <c r="BX802">
        <f t="shared" si="116"/>
        <v>153.38399999999999</v>
      </c>
      <c r="BY802" t="s">
        <v>0</v>
      </c>
    </row>
    <row r="803" spans="72:77" x14ac:dyDescent="0.25">
      <c r="BT803">
        <v>802</v>
      </c>
      <c r="BU803">
        <v>98.13</v>
      </c>
      <c r="BV803">
        <f t="shared" si="115"/>
        <v>0</v>
      </c>
      <c r="BW803">
        <v>-4.63</v>
      </c>
      <c r="BX803">
        <f t="shared" si="116"/>
        <v>155.23599999999999</v>
      </c>
      <c r="BY803" t="s">
        <v>0</v>
      </c>
    </row>
    <row r="804" spans="72:77" x14ac:dyDescent="0.25">
      <c r="BT804">
        <v>803</v>
      </c>
      <c r="BU804">
        <v>97.86</v>
      </c>
      <c r="BV804">
        <f t="shared" si="115"/>
        <v>0</v>
      </c>
      <c r="BW804">
        <v>-10.81</v>
      </c>
      <c r="BX804">
        <f t="shared" si="116"/>
        <v>151.52799999999999</v>
      </c>
      <c r="BY804" t="s">
        <v>0</v>
      </c>
    </row>
    <row r="805" spans="72:77" x14ac:dyDescent="0.25">
      <c r="BT805">
        <v>804</v>
      </c>
      <c r="BU805">
        <v>97.58</v>
      </c>
      <c r="BV805">
        <f t="shared" si="115"/>
        <v>0</v>
      </c>
      <c r="BW805">
        <v>-10.81</v>
      </c>
      <c r="BX805">
        <f t="shared" si="116"/>
        <v>154</v>
      </c>
      <c r="BY805" t="s">
        <v>0</v>
      </c>
    </row>
    <row r="806" spans="72:77" x14ac:dyDescent="0.25">
      <c r="BT806">
        <v>805</v>
      </c>
      <c r="BU806">
        <v>97.28</v>
      </c>
      <c r="BV806">
        <f t="shared" si="115"/>
        <v>0</v>
      </c>
      <c r="BW806">
        <v>-12.36</v>
      </c>
      <c r="BX806">
        <f t="shared" si="116"/>
        <v>153.38</v>
      </c>
      <c r="BY806" t="s">
        <v>0</v>
      </c>
    </row>
    <row r="807" spans="72:77" x14ac:dyDescent="0.25">
      <c r="BT807">
        <v>806</v>
      </c>
      <c r="BU807">
        <v>96.93</v>
      </c>
      <c r="BV807">
        <f t="shared" si="115"/>
        <v>0</v>
      </c>
      <c r="BW807">
        <v>-13.9</v>
      </c>
      <c r="BX807">
        <f t="shared" si="116"/>
        <v>153.38399999999999</v>
      </c>
      <c r="BY807" t="s">
        <v>0</v>
      </c>
    </row>
    <row r="808" spans="72:77" x14ac:dyDescent="0.25">
      <c r="BT808">
        <v>807</v>
      </c>
      <c r="BU808">
        <v>96.66</v>
      </c>
      <c r="BV808">
        <f t="shared" si="115"/>
        <v>0</v>
      </c>
      <c r="BW808">
        <v>-10.81</v>
      </c>
      <c r="BX808">
        <f t="shared" si="116"/>
        <v>155.23599999999999</v>
      </c>
      <c r="BY808" t="s">
        <v>0</v>
      </c>
    </row>
    <row r="809" spans="72:77" x14ac:dyDescent="0.25">
      <c r="BT809">
        <v>808</v>
      </c>
      <c r="BU809">
        <v>96.35</v>
      </c>
      <c r="BV809">
        <f t="shared" si="115"/>
        <v>0</v>
      </c>
      <c r="BW809">
        <v>-12.36</v>
      </c>
      <c r="BX809">
        <f t="shared" si="116"/>
        <v>153.38</v>
      </c>
      <c r="BY809" t="s">
        <v>0</v>
      </c>
    </row>
    <row r="810" spans="72:77" x14ac:dyDescent="0.25">
      <c r="BT810">
        <v>809</v>
      </c>
      <c r="BU810">
        <v>96.54</v>
      </c>
      <c r="BV810">
        <f t="shared" si="115"/>
        <v>161.72</v>
      </c>
      <c r="BW810">
        <v>7.72</v>
      </c>
      <c r="BX810">
        <f t="shared" si="116"/>
        <v>162.03200000000001</v>
      </c>
      <c r="BY810" t="s">
        <v>0</v>
      </c>
    </row>
    <row r="811" spans="72:77" x14ac:dyDescent="0.25">
      <c r="BT811">
        <v>810</v>
      </c>
      <c r="BU811">
        <v>97.47</v>
      </c>
      <c r="BV811">
        <f t="shared" si="115"/>
        <v>191.07</v>
      </c>
      <c r="BW811">
        <v>37.07</v>
      </c>
      <c r="BX811">
        <f t="shared" si="116"/>
        <v>165.74</v>
      </c>
      <c r="BY811" t="s">
        <v>0</v>
      </c>
    </row>
    <row r="812" spans="72:77" x14ac:dyDescent="0.25">
      <c r="BT812">
        <v>811</v>
      </c>
      <c r="BU812">
        <v>98.13</v>
      </c>
      <c r="BV812">
        <f t="shared" si="115"/>
        <v>180.26</v>
      </c>
      <c r="BW812">
        <v>26.26</v>
      </c>
      <c r="BX812">
        <f t="shared" si="116"/>
        <v>149.67599999999999</v>
      </c>
      <c r="BY812" t="s">
        <v>0</v>
      </c>
    </row>
    <row r="813" spans="72:77" x14ac:dyDescent="0.25">
      <c r="BT813">
        <v>812</v>
      </c>
      <c r="BU813">
        <v>98.28</v>
      </c>
      <c r="BV813">
        <f t="shared" si="115"/>
        <v>160.18</v>
      </c>
      <c r="BW813">
        <v>6.18</v>
      </c>
      <c r="BX813">
        <f t="shared" si="116"/>
        <v>145.96799999999999</v>
      </c>
      <c r="BY813" t="s">
        <v>0</v>
      </c>
    </row>
    <row r="814" spans="72:77" x14ac:dyDescent="0.25">
      <c r="BT814">
        <v>813</v>
      </c>
      <c r="BU814">
        <v>98.28</v>
      </c>
      <c r="BV814">
        <f t="shared" si="115"/>
        <v>0</v>
      </c>
      <c r="BW814">
        <v>0</v>
      </c>
      <c r="BX814">
        <f t="shared" si="116"/>
        <v>151.52799999999999</v>
      </c>
      <c r="BY814" t="s">
        <v>0</v>
      </c>
    </row>
    <row r="815" spans="72:77" x14ac:dyDescent="0.25">
      <c r="BT815">
        <v>814</v>
      </c>
      <c r="BU815">
        <v>98.28</v>
      </c>
      <c r="BV815">
        <f t="shared" si="115"/>
        <v>0</v>
      </c>
      <c r="BW815">
        <v>0</v>
      </c>
      <c r="BX815">
        <f t="shared" si="116"/>
        <v>154</v>
      </c>
      <c r="BY815" t="s">
        <v>0</v>
      </c>
    </row>
    <row r="816" spans="72:77" x14ac:dyDescent="0.25">
      <c r="BT816">
        <v>815</v>
      </c>
      <c r="BU816">
        <v>98.13</v>
      </c>
      <c r="BV816">
        <f t="shared" si="115"/>
        <v>0</v>
      </c>
      <c r="BW816">
        <v>-6.18</v>
      </c>
      <c r="BX816">
        <f t="shared" si="116"/>
        <v>151.52799999999999</v>
      </c>
      <c r="BY816" t="s">
        <v>0</v>
      </c>
    </row>
    <row r="817" spans="72:77" x14ac:dyDescent="0.25">
      <c r="BT817">
        <v>816</v>
      </c>
      <c r="BU817">
        <v>97.78</v>
      </c>
      <c r="BV817">
        <f t="shared" si="115"/>
        <v>0</v>
      </c>
      <c r="BW817">
        <v>-13.9</v>
      </c>
      <c r="BX817">
        <f t="shared" si="116"/>
        <v>150.91200000000001</v>
      </c>
      <c r="BY817" t="s">
        <v>0</v>
      </c>
    </row>
    <row r="818" spans="72:77" x14ac:dyDescent="0.25">
      <c r="BT818">
        <v>817</v>
      </c>
      <c r="BU818">
        <v>97.51</v>
      </c>
      <c r="BV818">
        <f t="shared" si="115"/>
        <v>0</v>
      </c>
      <c r="BW818">
        <v>-10.81</v>
      </c>
      <c r="BX818">
        <f t="shared" si="116"/>
        <v>155.23599999999999</v>
      </c>
      <c r="BY818" t="s">
        <v>0</v>
      </c>
    </row>
    <row r="819" spans="72:77" x14ac:dyDescent="0.25">
      <c r="BT819">
        <v>818</v>
      </c>
      <c r="BU819">
        <v>97.28</v>
      </c>
      <c r="BV819">
        <f t="shared" si="115"/>
        <v>0</v>
      </c>
      <c r="BW819">
        <v>-9.27</v>
      </c>
      <c r="BX819">
        <f t="shared" si="116"/>
        <v>154.61600000000001</v>
      </c>
      <c r="BY819" t="s">
        <v>0</v>
      </c>
    </row>
    <row r="820" spans="72:77" x14ac:dyDescent="0.25">
      <c r="BT820">
        <v>819</v>
      </c>
      <c r="BU820">
        <v>97.01</v>
      </c>
      <c r="BV820">
        <f t="shared" si="115"/>
        <v>0</v>
      </c>
      <c r="BW820">
        <v>-10.81</v>
      </c>
      <c r="BX820">
        <f t="shared" si="116"/>
        <v>153.38399999999999</v>
      </c>
      <c r="BY820" t="s">
        <v>0</v>
      </c>
    </row>
    <row r="821" spans="72:77" x14ac:dyDescent="0.25">
      <c r="BT821">
        <v>820</v>
      </c>
      <c r="BU821">
        <v>96.93</v>
      </c>
      <c r="BV821">
        <f t="shared" si="115"/>
        <v>0</v>
      </c>
      <c r="BW821">
        <v>-3.09</v>
      </c>
      <c r="BX821">
        <f t="shared" si="116"/>
        <v>157.08799999999999</v>
      </c>
      <c r="BY821" t="s">
        <v>0</v>
      </c>
    </row>
    <row r="822" spans="72:77" x14ac:dyDescent="0.25">
      <c r="BT822">
        <v>821</v>
      </c>
      <c r="BU822">
        <v>96.77</v>
      </c>
      <c r="BV822">
        <f t="shared" si="115"/>
        <v>0</v>
      </c>
      <c r="BW822">
        <v>-6.18</v>
      </c>
      <c r="BX822">
        <f t="shared" si="116"/>
        <v>152.76400000000001</v>
      </c>
      <c r="BY822" t="s">
        <v>0</v>
      </c>
    </row>
    <row r="823" spans="72:77" x14ac:dyDescent="0.25">
      <c r="BT823">
        <v>822</v>
      </c>
      <c r="BU823">
        <v>96.54</v>
      </c>
      <c r="BV823">
        <f t="shared" si="115"/>
        <v>0</v>
      </c>
      <c r="BW823">
        <v>-9.27</v>
      </c>
      <c r="BX823">
        <f t="shared" si="116"/>
        <v>152.76400000000001</v>
      </c>
      <c r="BY823" t="s">
        <v>0</v>
      </c>
    </row>
    <row r="824" spans="72:77" x14ac:dyDescent="0.25">
      <c r="BT824">
        <v>823</v>
      </c>
      <c r="BU824">
        <v>96.31</v>
      </c>
      <c r="BV824">
        <f t="shared" si="115"/>
        <v>0</v>
      </c>
      <c r="BW824">
        <v>-9.27</v>
      </c>
      <c r="BX824">
        <f t="shared" si="116"/>
        <v>154</v>
      </c>
      <c r="BY824" t="s">
        <v>0</v>
      </c>
    </row>
    <row r="825" spans="72:77" x14ac:dyDescent="0.25">
      <c r="BT825">
        <v>824</v>
      </c>
      <c r="BU825">
        <v>96.08</v>
      </c>
      <c r="BV825">
        <f t="shared" si="115"/>
        <v>0</v>
      </c>
      <c r="BW825">
        <v>-9.27</v>
      </c>
      <c r="BX825">
        <f t="shared" si="116"/>
        <v>154</v>
      </c>
      <c r="BY825" t="s">
        <v>0</v>
      </c>
    </row>
    <row r="826" spans="72:77" x14ac:dyDescent="0.25">
      <c r="BT826">
        <v>825</v>
      </c>
      <c r="BU826">
        <v>95.85</v>
      </c>
      <c r="BV826">
        <f t="shared" si="115"/>
        <v>0</v>
      </c>
      <c r="BW826">
        <v>-9.27</v>
      </c>
      <c r="BX826">
        <f t="shared" si="116"/>
        <v>154</v>
      </c>
      <c r="BY826" t="s">
        <v>0</v>
      </c>
    </row>
    <row r="827" spans="72:77" x14ac:dyDescent="0.25">
      <c r="BT827">
        <v>826</v>
      </c>
      <c r="BU827">
        <v>95.5</v>
      </c>
      <c r="BV827">
        <f t="shared" si="115"/>
        <v>0</v>
      </c>
      <c r="BW827">
        <v>-13.9</v>
      </c>
      <c r="BX827">
        <f t="shared" si="116"/>
        <v>152.148</v>
      </c>
      <c r="BY827" t="s">
        <v>0</v>
      </c>
    </row>
    <row r="828" spans="72:77" x14ac:dyDescent="0.25">
      <c r="BT828">
        <v>827</v>
      </c>
      <c r="BU828">
        <v>95.23</v>
      </c>
      <c r="BV828">
        <f t="shared" si="115"/>
        <v>0</v>
      </c>
      <c r="BW828">
        <v>-10.81</v>
      </c>
      <c r="BX828">
        <f t="shared" si="116"/>
        <v>155.23599999999999</v>
      </c>
      <c r="BY828" t="s">
        <v>0</v>
      </c>
    </row>
    <row r="829" spans="72:77" x14ac:dyDescent="0.25">
      <c r="BT829">
        <v>828</v>
      </c>
      <c r="BU829">
        <v>94.92</v>
      </c>
      <c r="BV829">
        <f t="shared" si="115"/>
        <v>0</v>
      </c>
      <c r="BW829">
        <v>-12.36</v>
      </c>
      <c r="BX829">
        <f t="shared" si="116"/>
        <v>153.38</v>
      </c>
      <c r="BY829" t="s">
        <v>0</v>
      </c>
    </row>
    <row r="830" spans="72:77" x14ac:dyDescent="0.25">
      <c r="BT830">
        <v>829</v>
      </c>
      <c r="BU830">
        <v>94.88</v>
      </c>
      <c r="BV830">
        <f t="shared" si="115"/>
        <v>0</v>
      </c>
      <c r="BW830">
        <v>-1.54</v>
      </c>
      <c r="BX830">
        <f t="shared" si="116"/>
        <v>158.328</v>
      </c>
      <c r="BY830" t="s">
        <v>0</v>
      </c>
    </row>
    <row r="831" spans="72:77" x14ac:dyDescent="0.25">
      <c r="BT831">
        <v>830</v>
      </c>
      <c r="BU831">
        <v>95.65</v>
      </c>
      <c r="BV831">
        <f t="shared" si="115"/>
        <v>184.89</v>
      </c>
      <c r="BW831">
        <v>30.89</v>
      </c>
      <c r="BX831">
        <f t="shared" si="116"/>
        <v>166.97200000000001</v>
      </c>
      <c r="BY831" t="s">
        <v>0</v>
      </c>
    </row>
    <row r="832" spans="72:77" x14ac:dyDescent="0.25">
      <c r="BT832">
        <v>831</v>
      </c>
      <c r="BU832">
        <v>96.35</v>
      </c>
      <c r="BV832">
        <f t="shared" si="115"/>
        <v>181.8</v>
      </c>
      <c r="BW832">
        <v>27.8</v>
      </c>
      <c r="BX832">
        <f t="shared" si="116"/>
        <v>152.76400000000001</v>
      </c>
      <c r="BY832" t="s">
        <v>0</v>
      </c>
    </row>
    <row r="833" spans="72:77" x14ac:dyDescent="0.25">
      <c r="BT833">
        <v>832</v>
      </c>
      <c r="BU833">
        <v>96.54</v>
      </c>
      <c r="BV833">
        <f t="shared" si="115"/>
        <v>161.72</v>
      </c>
      <c r="BW833">
        <v>7.72</v>
      </c>
      <c r="BX833">
        <f t="shared" si="116"/>
        <v>145.96799999999999</v>
      </c>
      <c r="BY833" t="s">
        <v>0</v>
      </c>
    </row>
    <row r="834" spans="72:77" x14ac:dyDescent="0.25">
      <c r="BT834">
        <v>833</v>
      </c>
      <c r="BU834">
        <v>96.66</v>
      </c>
      <c r="BV834">
        <f t="shared" si="115"/>
        <v>158.63</v>
      </c>
      <c r="BW834">
        <v>4.63</v>
      </c>
      <c r="BX834">
        <f t="shared" si="116"/>
        <v>152.76400000000001</v>
      </c>
      <c r="BY834" t="s">
        <v>0</v>
      </c>
    </row>
    <row r="835" spans="72:77" x14ac:dyDescent="0.25">
      <c r="BT835">
        <v>834</v>
      </c>
      <c r="BU835">
        <v>96.66</v>
      </c>
      <c r="BV835">
        <f t="shared" ref="BV835:BV898" si="117">IF(BW835&gt;0,BW835+BV$1,0)</f>
        <v>0</v>
      </c>
      <c r="BW835">
        <v>0</v>
      </c>
      <c r="BX835">
        <f t="shared" si="116"/>
        <v>152.148</v>
      </c>
      <c r="BY835" t="s">
        <v>0</v>
      </c>
    </row>
    <row r="836" spans="72:77" x14ac:dyDescent="0.25">
      <c r="BT836">
        <v>835</v>
      </c>
      <c r="BU836">
        <v>96.47</v>
      </c>
      <c r="BV836">
        <f t="shared" si="117"/>
        <v>0</v>
      </c>
      <c r="BW836">
        <v>-7.72</v>
      </c>
      <c r="BX836">
        <f t="shared" ref="BX836:BX899" si="118">BV$1+(BW836-BW835)/2.5</f>
        <v>150.91200000000001</v>
      </c>
      <c r="BY836" t="s">
        <v>0</v>
      </c>
    </row>
    <row r="837" spans="72:77" x14ac:dyDescent="0.25">
      <c r="BT837">
        <v>836</v>
      </c>
      <c r="BU837">
        <v>96.23</v>
      </c>
      <c r="BV837">
        <f t="shared" si="117"/>
        <v>0</v>
      </c>
      <c r="BW837">
        <v>-9.27</v>
      </c>
      <c r="BX837">
        <f t="shared" si="118"/>
        <v>153.38</v>
      </c>
      <c r="BY837" t="s">
        <v>0</v>
      </c>
    </row>
    <row r="838" spans="72:77" x14ac:dyDescent="0.25">
      <c r="BT838">
        <v>837</v>
      </c>
      <c r="BU838">
        <v>95.96</v>
      </c>
      <c r="BV838">
        <f t="shared" si="117"/>
        <v>0</v>
      </c>
      <c r="BW838">
        <v>-10.81</v>
      </c>
      <c r="BX838">
        <f t="shared" si="118"/>
        <v>153.38399999999999</v>
      </c>
      <c r="BY838" t="s">
        <v>0</v>
      </c>
    </row>
    <row r="839" spans="72:77" x14ac:dyDescent="0.25">
      <c r="BT839">
        <v>838</v>
      </c>
      <c r="BU839">
        <v>95.73</v>
      </c>
      <c r="BV839">
        <f t="shared" si="117"/>
        <v>0</v>
      </c>
      <c r="BW839">
        <v>-9.27</v>
      </c>
      <c r="BX839">
        <f t="shared" si="118"/>
        <v>154.61600000000001</v>
      </c>
      <c r="BY839" t="s">
        <v>0</v>
      </c>
    </row>
    <row r="840" spans="72:77" x14ac:dyDescent="0.25">
      <c r="BT840">
        <v>839</v>
      </c>
      <c r="BU840">
        <v>95.54</v>
      </c>
      <c r="BV840">
        <f t="shared" si="117"/>
        <v>0</v>
      </c>
      <c r="BW840">
        <v>-7.72</v>
      </c>
      <c r="BX840">
        <f t="shared" si="118"/>
        <v>154.62</v>
      </c>
      <c r="BY840" t="s">
        <v>0</v>
      </c>
    </row>
    <row r="841" spans="72:77" x14ac:dyDescent="0.25">
      <c r="BT841">
        <v>840</v>
      </c>
      <c r="BU841">
        <v>95.5</v>
      </c>
      <c r="BV841">
        <f t="shared" si="117"/>
        <v>0</v>
      </c>
      <c r="BW841">
        <v>-1.54</v>
      </c>
      <c r="BX841">
        <f t="shared" si="118"/>
        <v>156.47200000000001</v>
      </c>
      <c r="BY841" t="s">
        <v>0</v>
      </c>
    </row>
    <row r="842" spans="72:77" x14ac:dyDescent="0.25">
      <c r="BT842">
        <v>841</v>
      </c>
      <c r="BU842">
        <v>95.31</v>
      </c>
      <c r="BV842">
        <f t="shared" si="117"/>
        <v>0</v>
      </c>
      <c r="BW842">
        <v>-7.72</v>
      </c>
      <c r="BX842">
        <f t="shared" si="118"/>
        <v>151.52799999999999</v>
      </c>
      <c r="BY842" t="s">
        <v>0</v>
      </c>
    </row>
    <row r="843" spans="72:77" x14ac:dyDescent="0.25">
      <c r="BT843">
        <v>842</v>
      </c>
      <c r="BU843">
        <v>95.15</v>
      </c>
      <c r="BV843">
        <f t="shared" si="117"/>
        <v>0</v>
      </c>
      <c r="BW843">
        <v>-6.18</v>
      </c>
      <c r="BX843">
        <f t="shared" si="118"/>
        <v>154.61600000000001</v>
      </c>
      <c r="BY843" t="s">
        <v>0</v>
      </c>
    </row>
    <row r="844" spans="72:77" x14ac:dyDescent="0.25">
      <c r="BT844">
        <v>843</v>
      </c>
      <c r="BU844">
        <v>94.92</v>
      </c>
      <c r="BV844">
        <f t="shared" si="117"/>
        <v>0</v>
      </c>
      <c r="BW844">
        <v>-9.27</v>
      </c>
      <c r="BX844">
        <f t="shared" si="118"/>
        <v>152.76400000000001</v>
      </c>
      <c r="BY844" t="s">
        <v>0</v>
      </c>
    </row>
    <row r="845" spans="72:77" x14ac:dyDescent="0.25">
      <c r="BT845">
        <v>844</v>
      </c>
      <c r="BU845">
        <v>94.84</v>
      </c>
      <c r="BV845">
        <f t="shared" si="117"/>
        <v>0</v>
      </c>
      <c r="BW845">
        <v>-3.09</v>
      </c>
      <c r="BX845">
        <f t="shared" si="118"/>
        <v>156.47200000000001</v>
      </c>
      <c r="BY845" t="s">
        <v>0</v>
      </c>
    </row>
    <row r="846" spans="72:77" x14ac:dyDescent="0.25">
      <c r="BT846">
        <v>845</v>
      </c>
      <c r="BU846">
        <v>94.61</v>
      </c>
      <c r="BV846">
        <f t="shared" si="117"/>
        <v>0</v>
      </c>
      <c r="BW846">
        <v>-9.27</v>
      </c>
      <c r="BX846">
        <f t="shared" si="118"/>
        <v>151.52799999999999</v>
      </c>
      <c r="BY846" t="s">
        <v>0</v>
      </c>
    </row>
    <row r="847" spans="72:77" x14ac:dyDescent="0.25">
      <c r="BT847">
        <v>846</v>
      </c>
      <c r="BU847">
        <v>94.38</v>
      </c>
      <c r="BV847">
        <f t="shared" si="117"/>
        <v>0</v>
      </c>
      <c r="BW847">
        <v>-9.27</v>
      </c>
      <c r="BX847">
        <f t="shared" si="118"/>
        <v>154</v>
      </c>
      <c r="BY847" t="s">
        <v>0</v>
      </c>
    </row>
    <row r="848" spans="72:77" x14ac:dyDescent="0.25">
      <c r="BT848">
        <v>847</v>
      </c>
      <c r="BU848">
        <v>94.15</v>
      </c>
      <c r="BV848">
        <f t="shared" si="117"/>
        <v>0</v>
      </c>
      <c r="BW848">
        <v>-9.27</v>
      </c>
      <c r="BX848">
        <f t="shared" si="118"/>
        <v>154</v>
      </c>
      <c r="BY848" t="s">
        <v>0</v>
      </c>
    </row>
    <row r="849" spans="72:77" x14ac:dyDescent="0.25">
      <c r="BT849">
        <v>848</v>
      </c>
      <c r="BU849">
        <v>93.88</v>
      </c>
      <c r="BV849">
        <f t="shared" si="117"/>
        <v>0</v>
      </c>
      <c r="BW849">
        <v>-10.81</v>
      </c>
      <c r="BX849">
        <f t="shared" si="118"/>
        <v>153.38399999999999</v>
      </c>
      <c r="BY849" t="s">
        <v>0</v>
      </c>
    </row>
    <row r="850" spans="72:77" x14ac:dyDescent="0.25">
      <c r="BT850">
        <v>849</v>
      </c>
      <c r="BU850">
        <v>93.72</v>
      </c>
      <c r="BV850">
        <f t="shared" si="117"/>
        <v>0</v>
      </c>
      <c r="BW850">
        <v>-6.18</v>
      </c>
      <c r="BX850">
        <f t="shared" si="118"/>
        <v>155.852</v>
      </c>
      <c r="BY850" t="s">
        <v>0</v>
      </c>
    </row>
    <row r="851" spans="72:77" x14ac:dyDescent="0.25">
      <c r="BT851">
        <v>850</v>
      </c>
      <c r="BU851">
        <v>94.07</v>
      </c>
      <c r="BV851">
        <f t="shared" si="117"/>
        <v>167.9</v>
      </c>
      <c r="BW851">
        <v>13.9</v>
      </c>
      <c r="BX851">
        <f t="shared" si="118"/>
        <v>162.03200000000001</v>
      </c>
      <c r="BY851" t="s">
        <v>0</v>
      </c>
    </row>
    <row r="852" spans="72:77" x14ac:dyDescent="0.25">
      <c r="BT852">
        <v>851</v>
      </c>
      <c r="BU852">
        <v>94.92</v>
      </c>
      <c r="BV852">
        <f t="shared" si="117"/>
        <v>187.98</v>
      </c>
      <c r="BW852">
        <v>33.979999999999997</v>
      </c>
      <c r="BX852">
        <f t="shared" si="118"/>
        <v>162.03200000000001</v>
      </c>
      <c r="BY852" t="s">
        <v>0</v>
      </c>
    </row>
    <row r="853" spans="72:77" x14ac:dyDescent="0.25">
      <c r="BT853">
        <v>852</v>
      </c>
      <c r="BU853">
        <v>95.15</v>
      </c>
      <c r="BV853">
        <f t="shared" si="117"/>
        <v>163.27000000000001</v>
      </c>
      <c r="BW853">
        <v>9.27</v>
      </c>
      <c r="BX853">
        <f t="shared" si="118"/>
        <v>144.11600000000001</v>
      </c>
      <c r="BY853" t="s">
        <v>0</v>
      </c>
    </row>
    <row r="854" spans="72:77" x14ac:dyDescent="0.25">
      <c r="BT854">
        <v>853</v>
      </c>
      <c r="BU854">
        <v>95.31</v>
      </c>
      <c r="BV854">
        <f t="shared" si="117"/>
        <v>160.18</v>
      </c>
      <c r="BW854">
        <v>6.18</v>
      </c>
      <c r="BX854">
        <f t="shared" si="118"/>
        <v>152.76400000000001</v>
      </c>
      <c r="BY854" t="s">
        <v>0</v>
      </c>
    </row>
    <row r="855" spans="72:77" x14ac:dyDescent="0.25">
      <c r="BT855">
        <v>854</v>
      </c>
      <c r="BU855">
        <v>95.35</v>
      </c>
      <c r="BV855">
        <f t="shared" si="117"/>
        <v>155.54</v>
      </c>
      <c r="BW855">
        <v>1.54</v>
      </c>
      <c r="BX855">
        <f t="shared" si="118"/>
        <v>152.14400000000001</v>
      </c>
      <c r="BY855" t="s">
        <v>0</v>
      </c>
    </row>
    <row r="856" spans="72:77" x14ac:dyDescent="0.25">
      <c r="BT856">
        <v>855</v>
      </c>
      <c r="BU856">
        <v>95.31</v>
      </c>
      <c r="BV856">
        <f t="shared" si="117"/>
        <v>0</v>
      </c>
      <c r="BW856">
        <v>-1.54</v>
      </c>
      <c r="BX856">
        <f t="shared" si="118"/>
        <v>152.768</v>
      </c>
      <c r="BY856" t="s">
        <v>0</v>
      </c>
    </row>
    <row r="857" spans="72:77" x14ac:dyDescent="0.25">
      <c r="BT857">
        <v>856</v>
      </c>
      <c r="BU857">
        <v>95.15</v>
      </c>
      <c r="BV857">
        <f t="shared" si="117"/>
        <v>0</v>
      </c>
      <c r="BW857">
        <v>-6.18</v>
      </c>
      <c r="BX857">
        <f t="shared" si="118"/>
        <v>152.14400000000001</v>
      </c>
      <c r="BY857" t="s">
        <v>0</v>
      </c>
    </row>
    <row r="858" spans="72:77" x14ac:dyDescent="0.25">
      <c r="BT858">
        <v>857</v>
      </c>
      <c r="BU858">
        <v>94.88</v>
      </c>
      <c r="BV858">
        <f t="shared" si="117"/>
        <v>0</v>
      </c>
      <c r="BW858">
        <v>-10.81</v>
      </c>
      <c r="BX858">
        <f t="shared" si="118"/>
        <v>152.148</v>
      </c>
      <c r="BY858" t="s">
        <v>0</v>
      </c>
    </row>
    <row r="859" spans="72:77" x14ac:dyDescent="0.25">
      <c r="BT859">
        <v>858</v>
      </c>
      <c r="BU859">
        <v>94.73</v>
      </c>
      <c r="BV859">
        <f t="shared" si="117"/>
        <v>0</v>
      </c>
      <c r="BW859">
        <v>-6.18</v>
      </c>
      <c r="BX859">
        <f t="shared" si="118"/>
        <v>155.852</v>
      </c>
      <c r="BY859" t="s">
        <v>0</v>
      </c>
    </row>
    <row r="860" spans="72:77" x14ac:dyDescent="0.25">
      <c r="BT860">
        <v>859</v>
      </c>
      <c r="BU860">
        <v>94.57</v>
      </c>
      <c r="BV860">
        <f t="shared" si="117"/>
        <v>0</v>
      </c>
      <c r="BW860">
        <v>-6.18</v>
      </c>
      <c r="BX860">
        <f t="shared" si="118"/>
        <v>154</v>
      </c>
      <c r="BY860" t="s">
        <v>0</v>
      </c>
    </row>
    <row r="861" spans="72:77" x14ac:dyDescent="0.25">
      <c r="BT861">
        <v>860</v>
      </c>
      <c r="BU861">
        <v>94.42</v>
      </c>
      <c r="BV861">
        <f t="shared" si="117"/>
        <v>0</v>
      </c>
      <c r="BW861">
        <v>-6.18</v>
      </c>
      <c r="BX861">
        <f t="shared" si="118"/>
        <v>154</v>
      </c>
      <c r="BY861" t="s">
        <v>0</v>
      </c>
    </row>
    <row r="862" spans="72:77" x14ac:dyDescent="0.25">
      <c r="BT862">
        <v>861</v>
      </c>
      <c r="BU862">
        <v>94.34</v>
      </c>
      <c r="BV862">
        <f t="shared" si="117"/>
        <v>0</v>
      </c>
      <c r="BW862">
        <v>-3.09</v>
      </c>
      <c r="BX862">
        <f t="shared" si="118"/>
        <v>155.23599999999999</v>
      </c>
      <c r="BY862" t="s">
        <v>0</v>
      </c>
    </row>
    <row r="863" spans="72:77" x14ac:dyDescent="0.25">
      <c r="BT863">
        <v>862</v>
      </c>
      <c r="BU863">
        <v>94.19</v>
      </c>
      <c r="BV863">
        <f t="shared" si="117"/>
        <v>0</v>
      </c>
      <c r="BW863">
        <v>-6.18</v>
      </c>
      <c r="BX863">
        <f t="shared" si="118"/>
        <v>152.76400000000001</v>
      </c>
      <c r="BY863" t="s">
        <v>0</v>
      </c>
    </row>
    <row r="864" spans="72:77" x14ac:dyDescent="0.25">
      <c r="BT864">
        <v>863</v>
      </c>
      <c r="BU864">
        <v>93.99</v>
      </c>
      <c r="BV864">
        <f t="shared" si="117"/>
        <v>0</v>
      </c>
      <c r="BW864">
        <v>-7.72</v>
      </c>
      <c r="BX864">
        <f t="shared" si="118"/>
        <v>153.38399999999999</v>
      </c>
      <c r="BY864" t="s">
        <v>0</v>
      </c>
    </row>
    <row r="865" spans="72:77" x14ac:dyDescent="0.25">
      <c r="BT865">
        <v>864</v>
      </c>
      <c r="BU865">
        <v>93.84</v>
      </c>
      <c r="BV865">
        <f t="shared" si="117"/>
        <v>0</v>
      </c>
      <c r="BW865">
        <v>-6.18</v>
      </c>
      <c r="BX865">
        <f t="shared" si="118"/>
        <v>154.61600000000001</v>
      </c>
      <c r="BY865" t="s">
        <v>0</v>
      </c>
    </row>
    <row r="866" spans="72:77" x14ac:dyDescent="0.25">
      <c r="BT866">
        <v>865</v>
      </c>
      <c r="BU866">
        <v>93.61</v>
      </c>
      <c r="BV866">
        <f t="shared" si="117"/>
        <v>0</v>
      </c>
      <c r="BW866">
        <v>-9.27</v>
      </c>
      <c r="BX866">
        <f t="shared" si="118"/>
        <v>152.76400000000001</v>
      </c>
      <c r="BY866" t="s">
        <v>0</v>
      </c>
    </row>
    <row r="867" spans="72:77" x14ac:dyDescent="0.25">
      <c r="BT867">
        <v>866</v>
      </c>
      <c r="BU867">
        <v>93.45</v>
      </c>
      <c r="BV867">
        <f t="shared" si="117"/>
        <v>0</v>
      </c>
      <c r="BW867">
        <v>-6.18</v>
      </c>
      <c r="BX867">
        <f t="shared" si="118"/>
        <v>155.23599999999999</v>
      </c>
      <c r="BY867" t="s">
        <v>0</v>
      </c>
    </row>
    <row r="868" spans="72:77" x14ac:dyDescent="0.25">
      <c r="BT868">
        <v>867</v>
      </c>
      <c r="BU868">
        <v>93.3</v>
      </c>
      <c r="BV868">
        <f t="shared" si="117"/>
        <v>0</v>
      </c>
      <c r="BW868">
        <v>-6.18</v>
      </c>
      <c r="BX868">
        <f t="shared" si="118"/>
        <v>154</v>
      </c>
      <c r="BY868" t="s">
        <v>0</v>
      </c>
    </row>
    <row r="869" spans="72:77" x14ac:dyDescent="0.25">
      <c r="BT869">
        <v>868</v>
      </c>
      <c r="BU869">
        <v>93.07</v>
      </c>
      <c r="BV869">
        <f t="shared" si="117"/>
        <v>0</v>
      </c>
      <c r="BW869">
        <v>-9.27</v>
      </c>
      <c r="BX869">
        <f t="shared" si="118"/>
        <v>152.76400000000001</v>
      </c>
      <c r="BY869" t="s">
        <v>0</v>
      </c>
    </row>
    <row r="870" spans="72:77" x14ac:dyDescent="0.25">
      <c r="BT870">
        <v>869</v>
      </c>
      <c r="BU870">
        <v>92.87</v>
      </c>
      <c r="BV870">
        <f t="shared" si="117"/>
        <v>0</v>
      </c>
      <c r="BW870">
        <v>-7.72</v>
      </c>
      <c r="BX870">
        <f t="shared" si="118"/>
        <v>154.62</v>
      </c>
      <c r="BY870" t="s">
        <v>0</v>
      </c>
    </row>
    <row r="871" spans="72:77" x14ac:dyDescent="0.25">
      <c r="BT871">
        <v>870</v>
      </c>
      <c r="BU871">
        <v>93.07</v>
      </c>
      <c r="BV871">
        <f t="shared" si="117"/>
        <v>161.72</v>
      </c>
      <c r="BW871">
        <v>7.72</v>
      </c>
      <c r="BX871">
        <f t="shared" si="118"/>
        <v>160.17599999999999</v>
      </c>
      <c r="BY871" t="s">
        <v>0</v>
      </c>
    </row>
    <row r="872" spans="72:77" x14ac:dyDescent="0.25">
      <c r="BT872">
        <v>871</v>
      </c>
      <c r="BU872">
        <v>93.61</v>
      </c>
      <c r="BV872">
        <f t="shared" si="117"/>
        <v>175.63</v>
      </c>
      <c r="BW872">
        <v>21.63</v>
      </c>
      <c r="BX872">
        <f t="shared" si="118"/>
        <v>159.56399999999999</v>
      </c>
      <c r="BY872" t="s">
        <v>0</v>
      </c>
    </row>
    <row r="873" spans="72:77" x14ac:dyDescent="0.25">
      <c r="BT873">
        <v>872</v>
      </c>
      <c r="BU873">
        <v>93.88</v>
      </c>
      <c r="BV873">
        <f t="shared" si="117"/>
        <v>164.81</v>
      </c>
      <c r="BW873">
        <v>10.81</v>
      </c>
      <c r="BX873">
        <f t="shared" si="118"/>
        <v>149.672</v>
      </c>
      <c r="BY873" t="s">
        <v>0</v>
      </c>
    </row>
    <row r="874" spans="72:77" x14ac:dyDescent="0.25">
      <c r="BT874">
        <v>873</v>
      </c>
      <c r="BU874">
        <v>94.07</v>
      </c>
      <c r="BV874">
        <f t="shared" si="117"/>
        <v>161.72</v>
      </c>
      <c r="BW874">
        <v>7.72</v>
      </c>
      <c r="BX874">
        <f t="shared" si="118"/>
        <v>152.76400000000001</v>
      </c>
      <c r="BY874" t="s">
        <v>0</v>
      </c>
    </row>
    <row r="875" spans="72:77" x14ac:dyDescent="0.25">
      <c r="BT875">
        <v>874</v>
      </c>
      <c r="BU875">
        <v>94.15</v>
      </c>
      <c r="BV875">
        <f t="shared" si="117"/>
        <v>157.09</v>
      </c>
      <c r="BW875">
        <v>3.09</v>
      </c>
      <c r="BX875">
        <f t="shared" si="118"/>
        <v>152.148</v>
      </c>
      <c r="BY875" t="s">
        <v>0</v>
      </c>
    </row>
    <row r="876" spans="72:77" x14ac:dyDescent="0.25">
      <c r="BT876">
        <v>875</v>
      </c>
      <c r="BU876">
        <v>94.15</v>
      </c>
      <c r="BV876">
        <f t="shared" si="117"/>
        <v>0</v>
      </c>
      <c r="BW876">
        <v>0</v>
      </c>
      <c r="BX876">
        <f t="shared" si="118"/>
        <v>152.76400000000001</v>
      </c>
      <c r="BY876" t="s">
        <v>0</v>
      </c>
    </row>
    <row r="877" spans="72:77" x14ac:dyDescent="0.25">
      <c r="BT877">
        <v>876</v>
      </c>
      <c r="BU877">
        <v>93.95</v>
      </c>
      <c r="BV877">
        <f t="shared" si="117"/>
        <v>0</v>
      </c>
      <c r="BW877">
        <v>-7.72</v>
      </c>
      <c r="BX877">
        <f t="shared" si="118"/>
        <v>150.91200000000001</v>
      </c>
      <c r="BY877" t="s">
        <v>0</v>
      </c>
    </row>
    <row r="878" spans="72:77" x14ac:dyDescent="0.25">
      <c r="BT878">
        <v>877</v>
      </c>
      <c r="BU878">
        <v>93.68</v>
      </c>
      <c r="BV878">
        <f t="shared" si="117"/>
        <v>0</v>
      </c>
      <c r="BW878">
        <v>-10.81</v>
      </c>
      <c r="BX878">
        <f t="shared" si="118"/>
        <v>152.76400000000001</v>
      </c>
      <c r="BY878" t="s">
        <v>0</v>
      </c>
    </row>
    <row r="879" spans="72:77" x14ac:dyDescent="0.25">
      <c r="BT879">
        <v>878</v>
      </c>
      <c r="BU879">
        <v>93.53</v>
      </c>
      <c r="BV879">
        <f t="shared" si="117"/>
        <v>0</v>
      </c>
      <c r="BW879">
        <v>-6.18</v>
      </c>
      <c r="BX879">
        <f t="shared" si="118"/>
        <v>155.852</v>
      </c>
      <c r="BY879" t="s">
        <v>0</v>
      </c>
    </row>
    <row r="880" spans="72:77" x14ac:dyDescent="0.25">
      <c r="BT880">
        <v>879</v>
      </c>
      <c r="BU880">
        <v>93.34</v>
      </c>
      <c r="BV880">
        <f t="shared" si="117"/>
        <v>0</v>
      </c>
      <c r="BW880">
        <v>-7.72</v>
      </c>
      <c r="BX880">
        <f t="shared" si="118"/>
        <v>153.38399999999999</v>
      </c>
      <c r="BY880" t="s">
        <v>0</v>
      </c>
    </row>
    <row r="881" spans="72:77" x14ac:dyDescent="0.25">
      <c r="BT881">
        <v>880</v>
      </c>
      <c r="BU881">
        <v>93.3</v>
      </c>
      <c r="BV881">
        <f t="shared" si="117"/>
        <v>0</v>
      </c>
      <c r="BW881">
        <v>-1.54</v>
      </c>
      <c r="BX881">
        <f t="shared" si="118"/>
        <v>156.47200000000001</v>
      </c>
      <c r="BY881" t="s">
        <v>0</v>
      </c>
    </row>
    <row r="882" spans="72:77" x14ac:dyDescent="0.25">
      <c r="BT882">
        <v>881</v>
      </c>
      <c r="BU882">
        <v>93.14</v>
      </c>
      <c r="BV882">
        <f t="shared" si="117"/>
        <v>0</v>
      </c>
      <c r="BW882">
        <v>-6.18</v>
      </c>
      <c r="BX882">
        <f t="shared" si="118"/>
        <v>152.14400000000001</v>
      </c>
      <c r="BY882" t="s">
        <v>0</v>
      </c>
    </row>
    <row r="883" spans="72:77" x14ac:dyDescent="0.25">
      <c r="BT883">
        <v>882</v>
      </c>
      <c r="BU883">
        <v>92.95</v>
      </c>
      <c r="BV883">
        <f t="shared" si="117"/>
        <v>0</v>
      </c>
      <c r="BW883">
        <v>-7.72</v>
      </c>
      <c r="BX883">
        <f t="shared" si="118"/>
        <v>153.38399999999999</v>
      </c>
      <c r="BY883" t="s">
        <v>0</v>
      </c>
    </row>
    <row r="884" spans="72:77" x14ac:dyDescent="0.25">
      <c r="BT884">
        <v>883</v>
      </c>
      <c r="BU884">
        <v>92.84</v>
      </c>
      <c r="BV884">
        <f t="shared" si="117"/>
        <v>0</v>
      </c>
      <c r="BW884">
        <v>-4.63</v>
      </c>
      <c r="BX884">
        <f t="shared" si="118"/>
        <v>155.23599999999999</v>
      </c>
      <c r="BY884" t="s">
        <v>0</v>
      </c>
    </row>
    <row r="885" spans="72:77" x14ac:dyDescent="0.25">
      <c r="BT885">
        <v>884</v>
      </c>
      <c r="BU885">
        <v>92.64</v>
      </c>
      <c r="BV885">
        <f t="shared" si="117"/>
        <v>0</v>
      </c>
      <c r="BW885">
        <v>-7.72</v>
      </c>
      <c r="BX885">
        <f t="shared" si="118"/>
        <v>152.76400000000001</v>
      </c>
      <c r="BY885" t="s">
        <v>0</v>
      </c>
    </row>
    <row r="886" spans="72:77" x14ac:dyDescent="0.25">
      <c r="BT886">
        <v>885</v>
      </c>
      <c r="BU886">
        <v>92.45</v>
      </c>
      <c r="BV886">
        <f t="shared" si="117"/>
        <v>0</v>
      </c>
      <c r="BW886">
        <v>-7.72</v>
      </c>
      <c r="BX886">
        <f t="shared" si="118"/>
        <v>154</v>
      </c>
      <c r="BY886" t="s">
        <v>0</v>
      </c>
    </row>
    <row r="887" spans="72:77" x14ac:dyDescent="0.25">
      <c r="BT887">
        <v>886</v>
      </c>
      <c r="BU887">
        <v>92.22</v>
      </c>
      <c r="BV887">
        <f t="shared" si="117"/>
        <v>0</v>
      </c>
      <c r="BW887">
        <v>-9.27</v>
      </c>
      <c r="BX887">
        <f t="shared" si="118"/>
        <v>153.38</v>
      </c>
      <c r="BY887" t="s">
        <v>0</v>
      </c>
    </row>
    <row r="888" spans="72:77" x14ac:dyDescent="0.25">
      <c r="BT888">
        <v>887</v>
      </c>
      <c r="BU888">
        <v>92.06</v>
      </c>
      <c r="BV888">
        <f t="shared" si="117"/>
        <v>0</v>
      </c>
      <c r="BW888">
        <v>-6.18</v>
      </c>
      <c r="BX888">
        <f t="shared" si="118"/>
        <v>155.23599999999999</v>
      </c>
      <c r="BY888" t="s">
        <v>0</v>
      </c>
    </row>
    <row r="889" spans="72:77" x14ac:dyDescent="0.25">
      <c r="BT889">
        <v>888</v>
      </c>
      <c r="BU889">
        <v>91.79</v>
      </c>
      <c r="BV889">
        <f t="shared" si="117"/>
        <v>0</v>
      </c>
      <c r="BW889">
        <v>-10.81</v>
      </c>
      <c r="BX889">
        <f t="shared" si="118"/>
        <v>152.148</v>
      </c>
      <c r="BY889" t="s">
        <v>0</v>
      </c>
    </row>
    <row r="890" spans="72:77" x14ac:dyDescent="0.25">
      <c r="BT890">
        <v>889</v>
      </c>
      <c r="BU890">
        <v>91.64</v>
      </c>
      <c r="BV890">
        <f t="shared" si="117"/>
        <v>0</v>
      </c>
      <c r="BW890">
        <v>-6.18</v>
      </c>
      <c r="BX890">
        <f t="shared" si="118"/>
        <v>155.852</v>
      </c>
      <c r="BY890" t="s">
        <v>0</v>
      </c>
    </row>
    <row r="891" spans="72:77" x14ac:dyDescent="0.25">
      <c r="BT891">
        <v>890</v>
      </c>
      <c r="BU891">
        <v>91.6</v>
      </c>
      <c r="BV891">
        <f t="shared" si="117"/>
        <v>0</v>
      </c>
      <c r="BW891">
        <v>-1.54</v>
      </c>
      <c r="BX891">
        <f t="shared" si="118"/>
        <v>155.85599999999999</v>
      </c>
      <c r="BY891" t="s">
        <v>0</v>
      </c>
    </row>
    <row r="892" spans="72:77" x14ac:dyDescent="0.25">
      <c r="BT892">
        <v>891</v>
      </c>
      <c r="BU892">
        <v>92.06</v>
      </c>
      <c r="BV892">
        <f t="shared" si="117"/>
        <v>172.54</v>
      </c>
      <c r="BW892">
        <v>18.54</v>
      </c>
      <c r="BX892">
        <f t="shared" si="118"/>
        <v>162.03200000000001</v>
      </c>
      <c r="BY892" t="s">
        <v>0</v>
      </c>
    </row>
    <row r="893" spans="72:77" x14ac:dyDescent="0.25">
      <c r="BT893">
        <v>892</v>
      </c>
      <c r="BU893">
        <v>92.45</v>
      </c>
      <c r="BV893">
        <f t="shared" si="117"/>
        <v>169.45</v>
      </c>
      <c r="BW893">
        <v>15.45</v>
      </c>
      <c r="BX893">
        <f t="shared" si="118"/>
        <v>152.76400000000001</v>
      </c>
      <c r="BY893" t="s">
        <v>0</v>
      </c>
    </row>
    <row r="894" spans="72:77" x14ac:dyDescent="0.25">
      <c r="BT894">
        <v>893</v>
      </c>
      <c r="BU894">
        <v>92.56</v>
      </c>
      <c r="BV894">
        <f t="shared" si="117"/>
        <v>158.63</v>
      </c>
      <c r="BW894">
        <v>4.63</v>
      </c>
      <c r="BX894">
        <f t="shared" si="118"/>
        <v>149.672</v>
      </c>
      <c r="BY894" t="s">
        <v>0</v>
      </c>
    </row>
    <row r="895" spans="72:77" x14ac:dyDescent="0.25">
      <c r="BT895">
        <v>894</v>
      </c>
      <c r="BU895">
        <v>88.47</v>
      </c>
      <c r="BV895">
        <f t="shared" si="117"/>
        <v>0</v>
      </c>
      <c r="BW895">
        <v>-163.74</v>
      </c>
      <c r="BX895">
        <f t="shared" si="118"/>
        <v>86.652000000000001</v>
      </c>
      <c r="BY895" t="s">
        <v>0</v>
      </c>
    </row>
    <row r="896" spans="72:77" x14ac:dyDescent="0.25">
      <c r="BT896">
        <v>895</v>
      </c>
      <c r="BU896">
        <v>84.07</v>
      </c>
      <c r="BV896">
        <f t="shared" si="117"/>
        <v>0</v>
      </c>
      <c r="BW896">
        <v>-176.09</v>
      </c>
      <c r="BX896">
        <f t="shared" si="118"/>
        <v>149.06</v>
      </c>
      <c r="BY896" t="s">
        <v>0</v>
      </c>
    </row>
    <row r="897" spans="72:77" x14ac:dyDescent="0.25">
      <c r="BT897">
        <v>896</v>
      </c>
      <c r="BU897">
        <v>80.400000000000006</v>
      </c>
      <c r="BV897">
        <f t="shared" si="117"/>
        <v>0</v>
      </c>
      <c r="BW897">
        <v>-146.74</v>
      </c>
      <c r="BX897">
        <f t="shared" si="118"/>
        <v>165.74</v>
      </c>
      <c r="BY897" t="s">
        <v>0</v>
      </c>
    </row>
    <row r="898" spans="72:77" x14ac:dyDescent="0.25">
      <c r="BT898">
        <v>897</v>
      </c>
      <c r="BU898">
        <v>77.27</v>
      </c>
      <c r="BV898">
        <f t="shared" si="117"/>
        <v>0</v>
      </c>
      <c r="BW898">
        <v>-125.12</v>
      </c>
      <c r="BX898">
        <f t="shared" si="118"/>
        <v>162.648</v>
      </c>
      <c r="BY898" t="s">
        <v>0</v>
      </c>
    </row>
    <row r="899" spans="72:77" x14ac:dyDescent="0.25">
      <c r="BT899">
        <v>898</v>
      </c>
      <c r="BU899">
        <v>74.38</v>
      </c>
      <c r="BV899">
        <f t="shared" ref="BV899:BV962" si="119">IF(BW899&gt;0,BW899+BV$1,0)</f>
        <v>0</v>
      </c>
      <c r="BW899">
        <v>-115.85</v>
      </c>
      <c r="BX899">
        <f t="shared" si="118"/>
        <v>157.708</v>
      </c>
      <c r="BY899" t="s">
        <v>0</v>
      </c>
    </row>
    <row r="900" spans="72:77" x14ac:dyDescent="0.25">
      <c r="BT900">
        <v>899</v>
      </c>
      <c r="BU900">
        <v>71.790000000000006</v>
      </c>
      <c r="BV900">
        <f t="shared" si="119"/>
        <v>0</v>
      </c>
      <c r="BW900">
        <v>-103.49</v>
      </c>
      <c r="BX900">
        <f t="shared" ref="BX900:BX963" si="120">BV$1+(BW900-BW899)/2.5</f>
        <v>158.94399999999999</v>
      </c>
      <c r="BY900" t="s">
        <v>0</v>
      </c>
    </row>
    <row r="901" spans="72:77" x14ac:dyDescent="0.25">
      <c r="BT901">
        <v>900</v>
      </c>
      <c r="BU901">
        <v>69.2</v>
      </c>
      <c r="BV901">
        <f t="shared" si="119"/>
        <v>0</v>
      </c>
      <c r="BW901">
        <v>-103.49</v>
      </c>
      <c r="BX901">
        <f t="shared" si="120"/>
        <v>154</v>
      </c>
      <c r="BY901" t="s">
        <v>0</v>
      </c>
    </row>
    <row r="902" spans="72:77" x14ac:dyDescent="0.25">
      <c r="BT902">
        <v>901</v>
      </c>
      <c r="BU902">
        <v>66.849999999999994</v>
      </c>
      <c r="BV902">
        <f t="shared" si="119"/>
        <v>0</v>
      </c>
      <c r="BW902">
        <v>-94.23</v>
      </c>
      <c r="BX902">
        <f t="shared" si="120"/>
        <v>157.70400000000001</v>
      </c>
      <c r="BY902" t="s">
        <v>0</v>
      </c>
    </row>
    <row r="903" spans="72:77" x14ac:dyDescent="0.25">
      <c r="BT903">
        <v>902</v>
      </c>
      <c r="BU903">
        <v>64.64</v>
      </c>
      <c r="BV903">
        <f t="shared" si="119"/>
        <v>0</v>
      </c>
      <c r="BW903">
        <v>-88.05</v>
      </c>
      <c r="BX903">
        <f t="shared" si="120"/>
        <v>156.47200000000001</v>
      </c>
      <c r="BY903" t="s">
        <v>0</v>
      </c>
    </row>
    <row r="904" spans="72:77" x14ac:dyDescent="0.25">
      <c r="BT904">
        <v>903</v>
      </c>
      <c r="BU904">
        <v>62.44</v>
      </c>
      <c r="BV904">
        <f t="shared" si="119"/>
        <v>0</v>
      </c>
      <c r="BW904">
        <v>-88.05</v>
      </c>
      <c r="BX904">
        <f t="shared" si="120"/>
        <v>154</v>
      </c>
      <c r="BY904" t="s">
        <v>0</v>
      </c>
    </row>
    <row r="905" spans="72:77" x14ac:dyDescent="0.25">
      <c r="BT905">
        <v>904</v>
      </c>
      <c r="BU905">
        <v>60.24</v>
      </c>
      <c r="BV905">
        <f t="shared" si="119"/>
        <v>0</v>
      </c>
      <c r="BW905">
        <v>-88.05</v>
      </c>
      <c r="BX905">
        <f t="shared" si="120"/>
        <v>154</v>
      </c>
      <c r="BY905" t="s">
        <v>0</v>
      </c>
    </row>
    <row r="906" spans="72:77" x14ac:dyDescent="0.25">
      <c r="BT906">
        <v>905</v>
      </c>
      <c r="BU906">
        <v>58.23</v>
      </c>
      <c r="BV906">
        <f t="shared" si="119"/>
        <v>0</v>
      </c>
      <c r="BW906">
        <v>-80.319999999999993</v>
      </c>
      <c r="BX906">
        <f t="shared" si="120"/>
        <v>157.09200000000001</v>
      </c>
      <c r="BY906" t="s">
        <v>0</v>
      </c>
    </row>
    <row r="907" spans="72:77" x14ac:dyDescent="0.25">
      <c r="BT907">
        <v>906</v>
      </c>
      <c r="BU907">
        <v>56.23</v>
      </c>
      <c r="BV907">
        <f t="shared" si="119"/>
        <v>0</v>
      </c>
      <c r="BW907">
        <v>-80.319999999999993</v>
      </c>
      <c r="BX907">
        <f t="shared" si="120"/>
        <v>154</v>
      </c>
      <c r="BY907" t="s">
        <v>0</v>
      </c>
    </row>
    <row r="908" spans="72:77" x14ac:dyDescent="0.25">
      <c r="BT908">
        <v>907</v>
      </c>
      <c r="BU908">
        <v>54.41</v>
      </c>
      <c r="BV908">
        <f t="shared" si="119"/>
        <v>0</v>
      </c>
      <c r="BW908">
        <v>-72.599999999999994</v>
      </c>
      <c r="BX908">
        <f t="shared" si="120"/>
        <v>157.08799999999999</v>
      </c>
      <c r="BY908" t="s">
        <v>0</v>
      </c>
    </row>
    <row r="909" spans="72:77" x14ac:dyDescent="0.25">
      <c r="BT909">
        <v>908</v>
      </c>
      <c r="BU909">
        <v>52.6</v>
      </c>
      <c r="BV909">
        <f t="shared" si="119"/>
        <v>0</v>
      </c>
      <c r="BW909">
        <v>-72.599999999999994</v>
      </c>
      <c r="BX909">
        <f t="shared" si="120"/>
        <v>154</v>
      </c>
      <c r="BY909" t="s">
        <v>0</v>
      </c>
    </row>
    <row r="910" spans="72:77" x14ac:dyDescent="0.25">
      <c r="BT910">
        <v>909</v>
      </c>
      <c r="BU910">
        <v>50.82</v>
      </c>
      <c r="BV910">
        <f t="shared" si="119"/>
        <v>0</v>
      </c>
      <c r="BW910">
        <v>-71.05</v>
      </c>
      <c r="BX910">
        <f t="shared" si="120"/>
        <v>154.62</v>
      </c>
      <c r="BY910" t="s">
        <v>0</v>
      </c>
    </row>
    <row r="911" spans="72:77" x14ac:dyDescent="0.25">
      <c r="BT911">
        <v>910</v>
      </c>
      <c r="BU911">
        <v>49.12</v>
      </c>
      <c r="BV911">
        <f t="shared" si="119"/>
        <v>0</v>
      </c>
      <c r="BW911">
        <v>-67.97</v>
      </c>
      <c r="BX911">
        <f t="shared" si="120"/>
        <v>155.232</v>
      </c>
      <c r="BY911" t="s">
        <v>0</v>
      </c>
    </row>
    <row r="912" spans="72:77" x14ac:dyDescent="0.25">
      <c r="BT912">
        <v>911</v>
      </c>
      <c r="BU912">
        <v>47.69</v>
      </c>
      <c r="BV912">
        <f t="shared" si="119"/>
        <v>0</v>
      </c>
      <c r="BW912">
        <v>-57.15</v>
      </c>
      <c r="BX912">
        <f t="shared" si="120"/>
        <v>158.328</v>
      </c>
      <c r="BY912" t="s">
        <v>0</v>
      </c>
    </row>
    <row r="913" spans="72:77" x14ac:dyDescent="0.25">
      <c r="BT913">
        <v>912</v>
      </c>
      <c r="BU913">
        <v>46.38</v>
      </c>
      <c r="BV913">
        <f t="shared" si="119"/>
        <v>0</v>
      </c>
      <c r="BW913">
        <v>-52.52</v>
      </c>
      <c r="BX913">
        <f t="shared" si="120"/>
        <v>155.852</v>
      </c>
      <c r="BY913" t="s">
        <v>0</v>
      </c>
    </row>
    <row r="914" spans="72:77" x14ac:dyDescent="0.25">
      <c r="BT914">
        <v>913</v>
      </c>
      <c r="BU914">
        <v>44.95</v>
      </c>
      <c r="BV914">
        <f t="shared" si="119"/>
        <v>0</v>
      </c>
      <c r="BW914">
        <v>-57.15</v>
      </c>
      <c r="BX914">
        <f t="shared" si="120"/>
        <v>152.148</v>
      </c>
      <c r="BY914" t="s">
        <v>0</v>
      </c>
    </row>
    <row r="915" spans="72:77" x14ac:dyDescent="0.25">
      <c r="BT915">
        <v>914</v>
      </c>
      <c r="BU915">
        <v>43.6</v>
      </c>
      <c r="BV915">
        <f t="shared" si="119"/>
        <v>0</v>
      </c>
      <c r="BW915">
        <v>-54.06</v>
      </c>
      <c r="BX915">
        <f t="shared" si="120"/>
        <v>155.23599999999999</v>
      </c>
      <c r="BY915" t="s">
        <v>0</v>
      </c>
    </row>
    <row r="916" spans="72:77" x14ac:dyDescent="0.25">
      <c r="BT916">
        <v>915</v>
      </c>
      <c r="BU916">
        <v>42.25</v>
      </c>
      <c r="BV916">
        <f t="shared" si="119"/>
        <v>0</v>
      </c>
      <c r="BW916">
        <v>-54.06</v>
      </c>
      <c r="BX916">
        <f t="shared" si="120"/>
        <v>154</v>
      </c>
      <c r="BY916" t="s">
        <v>0</v>
      </c>
    </row>
    <row r="917" spans="72:77" x14ac:dyDescent="0.25">
      <c r="BT917">
        <v>916</v>
      </c>
      <c r="BU917">
        <v>40.9</v>
      </c>
      <c r="BV917">
        <f t="shared" si="119"/>
        <v>0</v>
      </c>
      <c r="BW917">
        <v>-54.06</v>
      </c>
      <c r="BX917">
        <f t="shared" si="120"/>
        <v>154</v>
      </c>
      <c r="BY917" t="s">
        <v>0</v>
      </c>
    </row>
    <row r="918" spans="72:77" x14ac:dyDescent="0.25">
      <c r="BT918">
        <v>917</v>
      </c>
      <c r="BU918">
        <v>39.54</v>
      </c>
      <c r="BV918">
        <f t="shared" si="119"/>
        <v>0</v>
      </c>
      <c r="BW918">
        <v>-54.06</v>
      </c>
      <c r="BX918">
        <f t="shared" si="120"/>
        <v>154</v>
      </c>
      <c r="BY918" t="s">
        <v>0</v>
      </c>
    </row>
    <row r="919" spans="72:77" x14ac:dyDescent="0.25">
      <c r="BT919">
        <v>918</v>
      </c>
      <c r="BU919">
        <v>38.229999999999997</v>
      </c>
      <c r="BV919">
        <f t="shared" si="119"/>
        <v>0</v>
      </c>
      <c r="BW919">
        <v>-52.52</v>
      </c>
      <c r="BX919">
        <f t="shared" si="120"/>
        <v>154.61599999999999</v>
      </c>
      <c r="BY919" t="s">
        <v>0</v>
      </c>
    </row>
    <row r="920" spans="72:77" x14ac:dyDescent="0.25">
      <c r="BT920">
        <v>919</v>
      </c>
      <c r="BU920">
        <v>36.99</v>
      </c>
      <c r="BV920">
        <f t="shared" si="119"/>
        <v>0</v>
      </c>
      <c r="BW920">
        <v>-49.43</v>
      </c>
      <c r="BX920">
        <f t="shared" si="120"/>
        <v>155.23599999999999</v>
      </c>
      <c r="BY920" t="s">
        <v>0</v>
      </c>
    </row>
    <row r="921" spans="72:77" x14ac:dyDescent="0.25">
      <c r="BT921">
        <v>920</v>
      </c>
      <c r="BU921">
        <v>35.880000000000003</v>
      </c>
      <c r="BV921">
        <f t="shared" si="119"/>
        <v>0</v>
      </c>
      <c r="BW921">
        <v>-44.8</v>
      </c>
      <c r="BX921">
        <f t="shared" si="120"/>
        <v>155.852</v>
      </c>
      <c r="BY921" t="s">
        <v>0</v>
      </c>
    </row>
    <row r="922" spans="72:77" x14ac:dyDescent="0.25">
      <c r="BT922">
        <v>921</v>
      </c>
      <c r="BU922">
        <v>34.72</v>
      </c>
      <c r="BV922">
        <f t="shared" si="119"/>
        <v>0</v>
      </c>
      <c r="BW922">
        <v>-46.34</v>
      </c>
      <c r="BX922">
        <f t="shared" si="120"/>
        <v>153.38399999999999</v>
      </c>
      <c r="BY922" t="s">
        <v>0</v>
      </c>
    </row>
    <row r="923" spans="72:77" x14ac:dyDescent="0.25">
      <c r="BT923">
        <v>922</v>
      </c>
      <c r="BU923">
        <v>33.6</v>
      </c>
      <c r="BV923">
        <f t="shared" si="119"/>
        <v>0</v>
      </c>
      <c r="BW923">
        <v>-44.8</v>
      </c>
      <c r="BX923">
        <f t="shared" si="120"/>
        <v>154.61600000000001</v>
      </c>
      <c r="BY923" t="s">
        <v>0</v>
      </c>
    </row>
    <row r="924" spans="72:77" x14ac:dyDescent="0.25">
      <c r="BT924">
        <v>923</v>
      </c>
      <c r="BU924">
        <v>32.590000000000003</v>
      </c>
      <c r="BV924">
        <f t="shared" si="119"/>
        <v>0</v>
      </c>
      <c r="BW924">
        <v>-40.159999999999997</v>
      </c>
      <c r="BX924">
        <f t="shared" si="120"/>
        <v>155.85599999999999</v>
      </c>
      <c r="BY924" t="s">
        <v>0</v>
      </c>
    </row>
    <row r="925" spans="72:77" x14ac:dyDescent="0.25">
      <c r="BT925">
        <v>924</v>
      </c>
      <c r="BU925">
        <v>31.47</v>
      </c>
      <c r="BV925">
        <f t="shared" si="119"/>
        <v>0</v>
      </c>
      <c r="BW925">
        <v>-44.8</v>
      </c>
      <c r="BX925">
        <f t="shared" si="120"/>
        <v>152.14400000000001</v>
      </c>
      <c r="BY925" t="s">
        <v>0</v>
      </c>
    </row>
    <row r="926" spans="72:77" x14ac:dyDescent="0.25">
      <c r="BT926">
        <v>925</v>
      </c>
      <c r="BU926">
        <v>30.51</v>
      </c>
      <c r="BV926">
        <f t="shared" si="119"/>
        <v>0</v>
      </c>
      <c r="BW926">
        <v>-38.619999999999997</v>
      </c>
      <c r="BX926">
        <f t="shared" si="120"/>
        <v>156.47200000000001</v>
      </c>
      <c r="BY926" t="s">
        <v>0</v>
      </c>
    </row>
    <row r="927" spans="72:77" x14ac:dyDescent="0.25">
      <c r="BT927">
        <v>926</v>
      </c>
      <c r="BU927">
        <v>29.5</v>
      </c>
      <c r="BV927">
        <f t="shared" si="119"/>
        <v>0</v>
      </c>
      <c r="BW927">
        <v>-40.159999999999997</v>
      </c>
      <c r="BX927">
        <f t="shared" si="120"/>
        <v>153.38400000000001</v>
      </c>
      <c r="BY927" t="s">
        <v>0</v>
      </c>
    </row>
    <row r="928" spans="72:77" x14ac:dyDescent="0.25">
      <c r="BT928">
        <v>927</v>
      </c>
      <c r="BU928">
        <v>28.58</v>
      </c>
      <c r="BV928">
        <f t="shared" si="119"/>
        <v>0</v>
      </c>
      <c r="BW928">
        <v>-37.07</v>
      </c>
      <c r="BX928">
        <f t="shared" si="120"/>
        <v>155.23599999999999</v>
      </c>
      <c r="BY928" t="s">
        <v>0</v>
      </c>
    </row>
    <row r="929" spans="72:77" x14ac:dyDescent="0.25">
      <c r="BT929">
        <v>928</v>
      </c>
      <c r="BU929">
        <v>27.73</v>
      </c>
      <c r="BV929">
        <f t="shared" si="119"/>
        <v>0</v>
      </c>
      <c r="BW929">
        <v>-33.979999999999997</v>
      </c>
      <c r="BX929">
        <f t="shared" si="120"/>
        <v>155.23599999999999</v>
      </c>
      <c r="BY929" t="s">
        <v>0</v>
      </c>
    </row>
    <row r="930" spans="72:77" x14ac:dyDescent="0.25">
      <c r="BT930">
        <v>929</v>
      </c>
      <c r="BU930">
        <v>26.88</v>
      </c>
      <c r="BV930">
        <f t="shared" si="119"/>
        <v>0</v>
      </c>
      <c r="BW930">
        <v>-33.979999999999997</v>
      </c>
      <c r="BX930">
        <f t="shared" si="120"/>
        <v>154</v>
      </c>
      <c r="BY930" t="s">
        <v>0</v>
      </c>
    </row>
    <row r="931" spans="72:77" x14ac:dyDescent="0.25">
      <c r="BT931">
        <v>930</v>
      </c>
      <c r="BU931">
        <v>26.07</v>
      </c>
      <c r="BV931">
        <f t="shared" si="119"/>
        <v>0</v>
      </c>
      <c r="BW931">
        <v>-32.44</v>
      </c>
      <c r="BX931">
        <f t="shared" si="120"/>
        <v>154.61599999999999</v>
      </c>
      <c r="BY931" t="s">
        <v>0</v>
      </c>
    </row>
    <row r="932" spans="72:77" x14ac:dyDescent="0.25">
      <c r="BT932">
        <v>931</v>
      </c>
      <c r="BU932">
        <v>25.29</v>
      </c>
      <c r="BV932">
        <f t="shared" si="119"/>
        <v>0</v>
      </c>
      <c r="BW932">
        <v>-30.89</v>
      </c>
      <c r="BX932">
        <f t="shared" si="120"/>
        <v>154.62</v>
      </c>
      <c r="BY932" t="s">
        <v>0</v>
      </c>
    </row>
    <row r="933" spans="72:77" x14ac:dyDescent="0.25">
      <c r="BT933">
        <v>932</v>
      </c>
      <c r="BU933">
        <v>24.75</v>
      </c>
      <c r="BV933">
        <f t="shared" si="119"/>
        <v>0</v>
      </c>
      <c r="BW933">
        <v>-21.63</v>
      </c>
      <c r="BX933">
        <f t="shared" si="120"/>
        <v>157.70400000000001</v>
      </c>
      <c r="BY933" t="s">
        <v>0</v>
      </c>
    </row>
    <row r="934" spans="72:77" x14ac:dyDescent="0.25">
      <c r="BT934">
        <v>933</v>
      </c>
      <c r="BU934">
        <v>24.14</v>
      </c>
      <c r="BV934">
        <f t="shared" si="119"/>
        <v>0</v>
      </c>
      <c r="BW934">
        <v>-24.71</v>
      </c>
      <c r="BX934">
        <f t="shared" si="120"/>
        <v>152.768</v>
      </c>
      <c r="BY934" t="s">
        <v>0</v>
      </c>
    </row>
    <row r="935" spans="72:77" x14ac:dyDescent="0.25">
      <c r="BT935">
        <v>934</v>
      </c>
      <c r="BU935">
        <v>23.56</v>
      </c>
      <c r="BV935">
        <f t="shared" si="119"/>
        <v>0</v>
      </c>
      <c r="BW935">
        <v>-23.17</v>
      </c>
      <c r="BX935">
        <f t="shared" si="120"/>
        <v>154.61599999999999</v>
      </c>
      <c r="BY935" t="s">
        <v>0</v>
      </c>
    </row>
    <row r="936" spans="72:77" x14ac:dyDescent="0.25">
      <c r="BT936">
        <v>935</v>
      </c>
      <c r="BU936">
        <v>22.98</v>
      </c>
      <c r="BV936">
        <f t="shared" si="119"/>
        <v>0</v>
      </c>
      <c r="BW936">
        <v>-23.17</v>
      </c>
      <c r="BX936">
        <f t="shared" si="120"/>
        <v>154</v>
      </c>
      <c r="BY936" t="s">
        <v>0</v>
      </c>
    </row>
    <row r="937" spans="72:77" x14ac:dyDescent="0.25">
      <c r="BT937">
        <v>936</v>
      </c>
      <c r="BU937">
        <v>22.24</v>
      </c>
      <c r="BV937">
        <f t="shared" si="119"/>
        <v>0</v>
      </c>
      <c r="BW937">
        <v>-29.35</v>
      </c>
      <c r="BX937">
        <f t="shared" si="120"/>
        <v>151.52799999999999</v>
      </c>
      <c r="BY937" t="s">
        <v>0</v>
      </c>
    </row>
    <row r="938" spans="72:77" x14ac:dyDescent="0.25">
      <c r="BT938">
        <v>937</v>
      </c>
      <c r="BU938">
        <v>21.66</v>
      </c>
      <c r="BV938">
        <f t="shared" si="119"/>
        <v>0</v>
      </c>
      <c r="BW938">
        <v>-23.17</v>
      </c>
      <c r="BX938">
        <f t="shared" si="120"/>
        <v>156.47200000000001</v>
      </c>
      <c r="BY938" t="s">
        <v>0</v>
      </c>
    </row>
    <row r="939" spans="72:77" x14ac:dyDescent="0.25">
      <c r="BT939">
        <v>938</v>
      </c>
      <c r="BU939">
        <v>21.05</v>
      </c>
      <c r="BV939">
        <f t="shared" si="119"/>
        <v>0</v>
      </c>
      <c r="BW939">
        <v>-24.71</v>
      </c>
      <c r="BX939">
        <f t="shared" si="120"/>
        <v>153.38400000000001</v>
      </c>
      <c r="BY939" t="s">
        <v>0</v>
      </c>
    </row>
    <row r="940" spans="72:77" x14ac:dyDescent="0.25">
      <c r="BT940">
        <v>939</v>
      </c>
      <c r="BU940">
        <v>20.47</v>
      </c>
      <c r="BV940">
        <f t="shared" si="119"/>
        <v>0</v>
      </c>
      <c r="BW940">
        <v>-23.17</v>
      </c>
      <c r="BX940">
        <f t="shared" si="120"/>
        <v>154.61599999999999</v>
      </c>
      <c r="BY940" t="s">
        <v>0</v>
      </c>
    </row>
    <row r="941" spans="72:77" x14ac:dyDescent="0.25">
      <c r="BT941">
        <v>940</v>
      </c>
      <c r="BU941">
        <v>19.93</v>
      </c>
      <c r="BV941">
        <f t="shared" si="119"/>
        <v>0</v>
      </c>
      <c r="BW941">
        <v>-21.63</v>
      </c>
      <c r="BX941">
        <f t="shared" si="120"/>
        <v>154.61600000000001</v>
      </c>
      <c r="BY941" t="s">
        <v>0</v>
      </c>
    </row>
    <row r="942" spans="72:77" x14ac:dyDescent="0.25">
      <c r="BT942">
        <v>941</v>
      </c>
      <c r="BU942">
        <v>19.420000000000002</v>
      </c>
      <c r="BV942">
        <f t="shared" si="119"/>
        <v>0</v>
      </c>
      <c r="BW942">
        <v>-20.079999999999998</v>
      </c>
      <c r="BX942">
        <f t="shared" si="120"/>
        <v>154.62</v>
      </c>
      <c r="BY942" t="s">
        <v>0</v>
      </c>
    </row>
    <row r="943" spans="72:77" x14ac:dyDescent="0.25">
      <c r="BT943">
        <v>942</v>
      </c>
      <c r="BU943">
        <v>18.850000000000001</v>
      </c>
      <c r="BV943">
        <f t="shared" si="119"/>
        <v>0</v>
      </c>
      <c r="BW943">
        <v>-23.17</v>
      </c>
      <c r="BX943">
        <f t="shared" si="120"/>
        <v>152.76400000000001</v>
      </c>
      <c r="BY943" t="s">
        <v>0</v>
      </c>
    </row>
    <row r="944" spans="72:77" x14ac:dyDescent="0.25">
      <c r="BT944">
        <v>943</v>
      </c>
      <c r="BU944">
        <v>18.38</v>
      </c>
      <c r="BV944">
        <f t="shared" si="119"/>
        <v>0</v>
      </c>
      <c r="BW944">
        <v>-18.54</v>
      </c>
      <c r="BX944">
        <f t="shared" si="120"/>
        <v>155.852</v>
      </c>
      <c r="BY944" t="s">
        <v>0</v>
      </c>
    </row>
    <row r="945" spans="72:77" x14ac:dyDescent="0.25">
      <c r="BT945">
        <v>944</v>
      </c>
      <c r="BU945">
        <v>17.96</v>
      </c>
      <c r="BV945">
        <f t="shared" si="119"/>
        <v>0</v>
      </c>
      <c r="BW945">
        <v>-16.989999999999998</v>
      </c>
      <c r="BX945">
        <f t="shared" si="120"/>
        <v>154.62</v>
      </c>
      <c r="BY945" t="s">
        <v>0</v>
      </c>
    </row>
    <row r="946" spans="72:77" x14ac:dyDescent="0.25">
      <c r="BT946">
        <v>945</v>
      </c>
      <c r="BU946">
        <v>17.38</v>
      </c>
      <c r="BV946">
        <f t="shared" si="119"/>
        <v>0</v>
      </c>
      <c r="BW946">
        <v>-23.17</v>
      </c>
      <c r="BX946">
        <f t="shared" si="120"/>
        <v>151.52799999999999</v>
      </c>
      <c r="BY946" t="s">
        <v>0</v>
      </c>
    </row>
    <row r="947" spans="72:77" x14ac:dyDescent="0.25">
      <c r="BT947">
        <v>946</v>
      </c>
      <c r="BU947">
        <v>16.95</v>
      </c>
      <c r="BV947">
        <f t="shared" si="119"/>
        <v>0</v>
      </c>
      <c r="BW947">
        <v>-16.989999999999998</v>
      </c>
      <c r="BX947">
        <f t="shared" si="120"/>
        <v>156.47200000000001</v>
      </c>
      <c r="BY947" t="s">
        <v>0</v>
      </c>
    </row>
    <row r="948" spans="72:77" x14ac:dyDescent="0.25">
      <c r="BT948">
        <v>947</v>
      </c>
      <c r="BU948">
        <v>16.57</v>
      </c>
      <c r="BV948">
        <f t="shared" si="119"/>
        <v>0</v>
      </c>
      <c r="BW948">
        <v>-15.45</v>
      </c>
      <c r="BX948">
        <f t="shared" si="120"/>
        <v>154.61599999999999</v>
      </c>
      <c r="BY948" t="s">
        <v>0</v>
      </c>
    </row>
    <row r="949" spans="72:77" x14ac:dyDescent="0.25">
      <c r="BT949">
        <v>948</v>
      </c>
      <c r="BU949">
        <v>16.059999999999999</v>
      </c>
      <c r="BV949">
        <f t="shared" si="119"/>
        <v>0</v>
      </c>
      <c r="BW949">
        <v>-20.079999999999998</v>
      </c>
      <c r="BX949">
        <f t="shared" si="120"/>
        <v>152.148</v>
      </c>
      <c r="BY949" t="s">
        <v>0</v>
      </c>
    </row>
    <row r="950" spans="72:77" x14ac:dyDescent="0.25">
      <c r="BT950">
        <v>949</v>
      </c>
      <c r="BU950">
        <v>15.68</v>
      </c>
      <c r="BV950">
        <f t="shared" si="119"/>
        <v>0</v>
      </c>
      <c r="BW950">
        <v>-15.45</v>
      </c>
      <c r="BX950">
        <f t="shared" si="120"/>
        <v>155.852</v>
      </c>
      <c r="BY950" t="s">
        <v>0</v>
      </c>
    </row>
    <row r="951" spans="72:77" x14ac:dyDescent="0.25">
      <c r="BT951">
        <v>950</v>
      </c>
      <c r="BU951">
        <v>15.29</v>
      </c>
      <c r="BV951">
        <f t="shared" si="119"/>
        <v>0</v>
      </c>
      <c r="BW951">
        <v>-15.45</v>
      </c>
      <c r="BX951">
        <f t="shared" si="120"/>
        <v>154</v>
      </c>
      <c r="BY951" t="s">
        <v>0</v>
      </c>
    </row>
    <row r="952" spans="72:77" x14ac:dyDescent="0.25">
      <c r="BT952">
        <v>951</v>
      </c>
      <c r="BU952">
        <v>14.94</v>
      </c>
      <c r="BV952">
        <f t="shared" si="119"/>
        <v>0</v>
      </c>
      <c r="BW952">
        <v>-13.9</v>
      </c>
      <c r="BX952">
        <f t="shared" si="120"/>
        <v>154.62</v>
      </c>
      <c r="BY952" t="s">
        <v>0</v>
      </c>
    </row>
    <row r="953" spans="72:77" x14ac:dyDescent="0.25">
      <c r="BT953">
        <v>952</v>
      </c>
      <c r="BU953">
        <v>14.56</v>
      </c>
      <c r="BV953">
        <f t="shared" si="119"/>
        <v>0</v>
      </c>
      <c r="BW953">
        <v>-15.45</v>
      </c>
      <c r="BX953">
        <f t="shared" si="120"/>
        <v>153.38</v>
      </c>
      <c r="BY953" t="s">
        <v>0</v>
      </c>
    </row>
    <row r="954" spans="72:77" x14ac:dyDescent="0.25">
      <c r="BT954">
        <v>953</v>
      </c>
      <c r="BU954">
        <v>14.33</v>
      </c>
      <c r="BV954">
        <f t="shared" si="119"/>
        <v>0</v>
      </c>
      <c r="BW954">
        <v>-9.27</v>
      </c>
      <c r="BX954">
        <f t="shared" si="120"/>
        <v>156.47200000000001</v>
      </c>
      <c r="BY954" t="s">
        <v>0</v>
      </c>
    </row>
    <row r="955" spans="72:77" x14ac:dyDescent="0.25">
      <c r="BT955">
        <v>954</v>
      </c>
      <c r="BU955">
        <v>14.1</v>
      </c>
      <c r="BV955">
        <f t="shared" si="119"/>
        <v>0</v>
      </c>
      <c r="BW955">
        <v>-9.27</v>
      </c>
      <c r="BX955">
        <f t="shared" si="120"/>
        <v>154</v>
      </c>
      <c r="BY955" t="s">
        <v>0</v>
      </c>
    </row>
    <row r="956" spans="72:77" x14ac:dyDescent="0.25">
      <c r="BT956">
        <v>955</v>
      </c>
      <c r="BU956">
        <v>13.86</v>
      </c>
      <c r="BV956">
        <f t="shared" si="119"/>
        <v>0</v>
      </c>
      <c r="BW956">
        <v>-9.27</v>
      </c>
      <c r="BX956">
        <f t="shared" si="120"/>
        <v>154</v>
      </c>
      <c r="BY956" t="s">
        <v>0</v>
      </c>
    </row>
    <row r="957" spans="72:77" x14ac:dyDescent="0.25">
      <c r="BT957">
        <v>956</v>
      </c>
      <c r="BU957">
        <v>13.59</v>
      </c>
      <c r="BV957">
        <f t="shared" si="119"/>
        <v>0</v>
      </c>
      <c r="BW957">
        <v>-10.81</v>
      </c>
      <c r="BX957">
        <f t="shared" si="120"/>
        <v>153.38399999999999</v>
      </c>
      <c r="BY957" t="s">
        <v>0</v>
      </c>
    </row>
    <row r="958" spans="72:77" x14ac:dyDescent="0.25">
      <c r="BT958">
        <v>957</v>
      </c>
      <c r="BU958">
        <v>13.28</v>
      </c>
      <c r="BV958">
        <f t="shared" si="119"/>
        <v>0</v>
      </c>
      <c r="BW958">
        <v>-12.36</v>
      </c>
      <c r="BX958">
        <f t="shared" si="120"/>
        <v>153.38</v>
      </c>
      <c r="BY958" t="s">
        <v>0</v>
      </c>
    </row>
    <row r="959" spans="72:77" x14ac:dyDescent="0.25">
      <c r="BT959">
        <v>958</v>
      </c>
      <c r="BU959">
        <v>12.94</v>
      </c>
      <c r="BV959">
        <f t="shared" si="119"/>
        <v>0</v>
      </c>
      <c r="BW959">
        <v>-13.9</v>
      </c>
      <c r="BX959">
        <f t="shared" si="120"/>
        <v>153.38399999999999</v>
      </c>
      <c r="BY959" t="s">
        <v>0</v>
      </c>
    </row>
    <row r="960" spans="72:77" x14ac:dyDescent="0.25">
      <c r="BT960">
        <v>959</v>
      </c>
      <c r="BU960">
        <v>12.63</v>
      </c>
      <c r="BV960">
        <f t="shared" si="119"/>
        <v>0</v>
      </c>
      <c r="BW960">
        <v>-12.36</v>
      </c>
      <c r="BX960">
        <f t="shared" si="120"/>
        <v>154.61600000000001</v>
      </c>
      <c r="BY960" t="s">
        <v>0</v>
      </c>
    </row>
    <row r="961" spans="72:77" x14ac:dyDescent="0.25">
      <c r="BT961">
        <v>960</v>
      </c>
      <c r="BU961">
        <v>12.36</v>
      </c>
      <c r="BV961">
        <f t="shared" si="119"/>
        <v>0</v>
      </c>
      <c r="BW961">
        <v>-10.81</v>
      </c>
      <c r="BX961">
        <f t="shared" si="120"/>
        <v>154.62</v>
      </c>
      <c r="BY961" t="s">
        <v>0</v>
      </c>
    </row>
    <row r="962" spans="72:77" x14ac:dyDescent="0.25">
      <c r="BT962">
        <v>961</v>
      </c>
      <c r="BU962">
        <v>12.09</v>
      </c>
      <c r="BV962">
        <f t="shared" si="119"/>
        <v>0</v>
      </c>
      <c r="BW962">
        <v>-10.81</v>
      </c>
      <c r="BX962">
        <f t="shared" si="120"/>
        <v>154</v>
      </c>
      <c r="BY962" t="s">
        <v>0</v>
      </c>
    </row>
    <row r="963" spans="72:77" x14ac:dyDescent="0.25">
      <c r="BT963">
        <v>962</v>
      </c>
      <c r="BU963">
        <v>11.78</v>
      </c>
      <c r="BV963">
        <f t="shared" ref="BV963:BV997" si="121">IF(BW963&gt;0,BW963+BV$1,0)</f>
        <v>0</v>
      </c>
      <c r="BW963">
        <v>-12.36</v>
      </c>
      <c r="BX963">
        <f t="shared" si="120"/>
        <v>153.38</v>
      </c>
      <c r="BY963" t="s">
        <v>0</v>
      </c>
    </row>
    <row r="964" spans="72:77" x14ac:dyDescent="0.25">
      <c r="BT964">
        <v>963</v>
      </c>
      <c r="BU964">
        <v>11.59</v>
      </c>
      <c r="BV964">
        <f t="shared" si="121"/>
        <v>0</v>
      </c>
      <c r="BW964">
        <v>-7.72</v>
      </c>
      <c r="BX964">
        <f t="shared" ref="BX964:BX997" si="122">BV$1+(BW964-BW963)/2.5</f>
        <v>155.85599999999999</v>
      </c>
      <c r="BY964" t="s">
        <v>0</v>
      </c>
    </row>
    <row r="965" spans="72:77" x14ac:dyDescent="0.25">
      <c r="BT965">
        <v>964</v>
      </c>
      <c r="BU965">
        <v>11.35</v>
      </c>
      <c r="BV965">
        <f t="shared" si="121"/>
        <v>0</v>
      </c>
      <c r="BW965">
        <v>-9.27</v>
      </c>
      <c r="BX965">
        <f t="shared" si="122"/>
        <v>153.38</v>
      </c>
      <c r="BY965" t="s">
        <v>0</v>
      </c>
    </row>
    <row r="966" spans="72:77" x14ac:dyDescent="0.25">
      <c r="BT966">
        <v>965</v>
      </c>
      <c r="BU966">
        <v>11.12</v>
      </c>
      <c r="BV966">
        <f t="shared" si="121"/>
        <v>0</v>
      </c>
      <c r="BW966">
        <v>-9.27</v>
      </c>
      <c r="BX966">
        <f t="shared" si="122"/>
        <v>154</v>
      </c>
      <c r="BY966" t="s">
        <v>0</v>
      </c>
    </row>
    <row r="967" spans="72:77" x14ac:dyDescent="0.25">
      <c r="BT967">
        <v>966</v>
      </c>
      <c r="BU967">
        <v>10.89</v>
      </c>
      <c r="BV967">
        <f t="shared" si="121"/>
        <v>0</v>
      </c>
      <c r="BW967">
        <v>-9.27</v>
      </c>
      <c r="BX967">
        <f t="shared" si="122"/>
        <v>154</v>
      </c>
      <c r="BY967" t="s">
        <v>0</v>
      </c>
    </row>
    <row r="968" spans="72:77" x14ac:dyDescent="0.25">
      <c r="BT968">
        <v>967</v>
      </c>
      <c r="BU968">
        <v>10.62</v>
      </c>
      <c r="BV968">
        <f t="shared" si="121"/>
        <v>0</v>
      </c>
      <c r="BW968">
        <v>-10.81</v>
      </c>
      <c r="BX968">
        <f t="shared" si="122"/>
        <v>153.38399999999999</v>
      </c>
      <c r="BY968" t="s">
        <v>0</v>
      </c>
    </row>
    <row r="969" spans="72:77" x14ac:dyDescent="0.25">
      <c r="BT969">
        <v>968</v>
      </c>
      <c r="BU969">
        <v>10.43</v>
      </c>
      <c r="BV969">
        <f t="shared" si="121"/>
        <v>0</v>
      </c>
      <c r="BW969">
        <v>-7.72</v>
      </c>
      <c r="BX969">
        <f t="shared" si="122"/>
        <v>155.23599999999999</v>
      </c>
      <c r="BY969" t="s">
        <v>0</v>
      </c>
    </row>
    <row r="970" spans="72:77" x14ac:dyDescent="0.25">
      <c r="BT970">
        <v>969</v>
      </c>
      <c r="BU970">
        <v>10.23</v>
      </c>
      <c r="BV970">
        <f t="shared" si="121"/>
        <v>0</v>
      </c>
      <c r="BW970">
        <v>-7.72</v>
      </c>
      <c r="BX970">
        <f t="shared" si="122"/>
        <v>154</v>
      </c>
      <c r="BY970" t="s">
        <v>0</v>
      </c>
    </row>
    <row r="971" spans="72:77" x14ac:dyDescent="0.25">
      <c r="BT971">
        <v>970</v>
      </c>
      <c r="BU971">
        <v>10.039999999999999</v>
      </c>
      <c r="BV971">
        <f t="shared" si="121"/>
        <v>0</v>
      </c>
      <c r="BW971">
        <v>-7.72</v>
      </c>
      <c r="BX971">
        <f t="shared" si="122"/>
        <v>154</v>
      </c>
      <c r="BY971" t="s">
        <v>0</v>
      </c>
    </row>
    <row r="972" spans="72:77" x14ac:dyDescent="0.25">
      <c r="BT972">
        <v>971</v>
      </c>
      <c r="BU972">
        <v>9.81</v>
      </c>
      <c r="BV972">
        <f t="shared" si="121"/>
        <v>0</v>
      </c>
      <c r="BW972">
        <v>-9.27</v>
      </c>
      <c r="BX972">
        <f t="shared" si="122"/>
        <v>153.38</v>
      </c>
      <c r="BY972" t="s">
        <v>0</v>
      </c>
    </row>
    <row r="973" spans="72:77" x14ac:dyDescent="0.25">
      <c r="BT973">
        <v>972</v>
      </c>
      <c r="BU973">
        <v>9.6199999999999992</v>
      </c>
      <c r="BV973">
        <f t="shared" si="121"/>
        <v>0</v>
      </c>
      <c r="BW973">
        <v>-7.72</v>
      </c>
      <c r="BX973">
        <f t="shared" si="122"/>
        <v>154.62</v>
      </c>
      <c r="BY973" t="s">
        <v>0</v>
      </c>
    </row>
    <row r="974" spans="72:77" x14ac:dyDescent="0.25">
      <c r="BT974">
        <v>973</v>
      </c>
      <c r="BU974">
        <v>9.6199999999999992</v>
      </c>
      <c r="BV974">
        <f t="shared" si="121"/>
        <v>0</v>
      </c>
      <c r="BW974">
        <v>0</v>
      </c>
      <c r="BX974">
        <f t="shared" si="122"/>
        <v>157.08799999999999</v>
      </c>
      <c r="BY974" t="s">
        <v>0</v>
      </c>
    </row>
    <row r="975" spans="72:77" x14ac:dyDescent="0.25">
      <c r="BT975">
        <v>974</v>
      </c>
      <c r="BU975">
        <v>9.5</v>
      </c>
      <c r="BV975">
        <f t="shared" si="121"/>
        <v>0</v>
      </c>
      <c r="BW975">
        <v>-4.63</v>
      </c>
      <c r="BX975">
        <f t="shared" si="122"/>
        <v>152.148</v>
      </c>
      <c r="BY975" t="s">
        <v>0</v>
      </c>
    </row>
    <row r="976" spans="72:77" x14ac:dyDescent="0.25">
      <c r="BT976">
        <v>975</v>
      </c>
      <c r="BU976">
        <v>9.35</v>
      </c>
      <c r="BV976">
        <f t="shared" si="121"/>
        <v>0</v>
      </c>
      <c r="BW976">
        <v>-6.18</v>
      </c>
      <c r="BX976">
        <f t="shared" si="122"/>
        <v>153.38</v>
      </c>
      <c r="BY976" t="s">
        <v>0</v>
      </c>
    </row>
    <row r="977" spans="72:77" x14ac:dyDescent="0.25">
      <c r="BT977">
        <v>976</v>
      </c>
      <c r="BU977">
        <v>9.23</v>
      </c>
      <c r="BV977">
        <f t="shared" si="121"/>
        <v>0</v>
      </c>
      <c r="BW977">
        <v>-4.63</v>
      </c>
      <c r="BX977">
        <f t="shared" si="122"/>
        <v>154.62</v>
      </c>
      <c r="BY977" t="s">
        <v>0</v>
      </c>
    </row>
    <row r="978" spans="72:77" x14ac:dyDescent="0.25">
      <c r="BT978">
        <v>977</v>
      </c>
      <c r="BU978">
        <v>9</v>
      </c>
      <c r="BV978">
        <f t="shared" si="121"/>
        <v>0</v>
      </c>
      <c r="BW978">
        <v>-9.27</v>
      </c>
      <c r="BX978">
        <f t="shared" si="122"/>
        <v>152.14400000000001</v>
      </c>
      <c r="BY978" t="s">
        <v>0</v>
      </c>
    </row>
    <row r="979" spans="72:77" x14ac:dyDescent="0.25">
      <c r="BT979">
        <v>978</v>
      </c>
      <c r="BU979">
        <v>8.84</v>
      </c>
      <c r="BV979">
        <f t="shared" si="121"/>
        <v>0</v>
      </c>
      <c r="BW979">
        <v>-6.18</v>
      </c>
      <c r="BX979">
        <f t="shared" si="122"/>
        <v>155.23599999999999</v>
      </c>
      <c r="BY979" t="s">
        <v>0</v>
      </c>
    </row>
    <row r="980" spans="72:77" x14ac:dyDescent="0.25">
      <c r="BT980">
        <v>979</v>
      </c>
      <c r="BU980">
        <v>8.69</v>
      </c>
      <c r="BV980">
        <f t="shared" si="121"/>
        <v>0</v>
      </c>
      <c r="BW980">
        <v>-6.18</v>
      </c>
      <c r="BX980">
        <f t="shared" si="122"/>
        <v>154</v>
      </c>
      <c r="BY980" t="s">
        <v>0</v>
      </c>
    </row>
    <row r="981" spans="72:77" x14ac:dyDescent="0.25">
      <c r="BT981">
        <v>980</v>
      </c>
      <c r="BU981">
        <v>8.5</v>
      </c>
      <c r="BV981">
        <f t="shared" si="121"/>
        <v>0</v>
      </c>
      <c r="BW981">
        <v>-7.72</v>
      </c>
      <c r="BX981">
        <f t="shared" si="122"/>
        <v>153.38399999999999</v>
      </c>
      <c r="BY981" t="s">
        <v>0</v>
      </c>
    </row>
    <row r="982" spans="72:77" x14ac:dyDescent="0.25">
      <c r="BT982">
        <v>981</v>
      </c>
      <c r="BU982">
        <v>8.3800000000000008</v>
      </c>
      <c r="BV982">
        <f t="shared" si="121"/>
        <v>0</v>
      </c>
      <c r="BW982">
        <v>-4.63</v>
      </c>
      <c r="BX982">
        <f t="shared" si="122"/>
        <v>155.23599999999999</v>
      </c>
      <c r="BY982" t="s">
        <v>0</v>
      </c>
    </row>
    <row r="983" spans="72:77" x14ac:dyDescent="0.25">
      <c r="BT983">
        <v>982</v>
      </c>
      <c r="BU983">
        <v>8.3000000000000007</v>
      </c>
      <c r="BV983">
        <f t="shared" si="121"/>
        <v>0</v>
      </c>
      <c r="BW983">
        <v>-3.09</v>
      </c>
      <c r="BX983">
        <f t="shared" si="122"/>
        <v>154.61600000000001</v>
      </c>
      <c r="BY983" t="s">
        <v>0</v>
      </c>
    </row>
    <row r="984" spans="72:77" x14ac:dyDescent="0.25">
      <c r="BT984">
        <v>983</v>
      </c>
      <c r="BU984">
        <v>8.15</v>
      </c>
      <c r="BV984">
        <f t="shared" si="121"/>
        <v>0</v>
      </c>
      <c r="BW984">
        <v>-6.18</v>
      </c>
      <c r="BX984">
        <f t="shared" si="122"/>
        <v>152.76400000000001</v>
      </c>
      <c r="BY984" t="s">
        <v>0</v>
      </c>
    </row>
    <row r="985" spans="72:77" x14ac:dyDescent="0.25">
      <c r="BT985">
        <v>984</v>
      </c>
      <c r="BU985">
        <v>8.0299999999999994</v>
      </c>
      <c r="BV985">
        <f t="shared" si="121"/>
        <v>0</v>
      </c>
      <c r="BW985">
        <v>-4.63</v>
      </c>
      <c r="BX985">
        <f t="shared" si="122"/>
        <v>154.62</v>
      </c>
      <c r="BY985" t="s">
        <v>0</v>
      </c>
    </row>
    <row r="986" spans="72:77" x14ac:dyDescent="0.25">
      <c r="BT986">
        <v>985</v>
      </c>
      <c r="BU986">
        <v>7.84</v>
      </c>
      <c r="BV986">
        <f t="shared" si="121"/>
        <v>0</v>
      </c>
      <c r="BW986">
        <v>-7.72</v>
      </c>
      <c r="BX986">
        <f t="shared" si="122"/>
        <v>152.76400000000001</v>
      </c>
      <c r="BY986" t="s">
        <v>0</v>
      </c>
    </row>
    <row r="987" spans="72:77" x14ac:dyDescent="0.25">
      <c r="BT987">
        <v>986</v>
      </c>
      <c r="BU987">
        <v>7.76</v>
      </c>
      <c r="BV987">
        <f t="shared" si="121"/>
        <v>0</v>
      </c>
      <c r="BW987">
        <v>-3.09</v>
      </c>
      <c r="BX987">
        <f t="shared" si="122"/>
        <v>155.852</v>
      </c>
      <c r="BY987" t="s">
        <v>0</v>
      </c>
    </row>
    <row r="988" spans="72:77" x14ac:dyDescent="0.25">
      <c r="BT988">
        <v>987</v>
      </c>
      <c r="BU988">
        <v>7.61</v>
      </c>
      <c r="BV988">
        <f t="shared" si="121"/>
        <v>0</v>
      </c>
      <c r="BW988">
        <v>-6.18</v>
      </c>
      <c r="BX988">
        <f t="shared" si="122"/>
        <v>152.76400000000001</v>
      </c>
      <c r="BY988" t="s">
        <v>0</v>
      </c>
    </row>
    <row r="989" spans="72:77" x14ac:dyDescent="0.25">
      <c r="BT989">
        <v>988</v>
      </c>
      <c r="BU989">
        <v>7.41</v>
      </c>
      <c r="BV989">
        <f t="shared" si="121"/>
        <v>0</v>
      </c>
      <c r="BW989">
        <v>-7.72</v>
      </c>
      <c r="BX989">
        <f t="shared" si="122"/>
        <v>153.38399999999999</v>
      </c>
      <c r="BY989" t="s">
        <v>0</v>
      </c>
    </row>
    <row r="990" spans="72:77" x14ac:dyDescent="0.25">
      <c r="BT990">
        <v>989</v>
      </c>
      <c r="BU990">
        <v>7.3</v>
      </c>
      <c r="BV990">
        <f t="shared" si="121"/>
        <v>0</v>
      </c>
      <c r="BW990">
        <v>-4.63</v>
      </c>
      <c r="BX990">
        <f t="shared" si="122"/>
        <v>155.23599999999999</v>
      </c>
      <c r="BY990" t="s">
        <v>0</v>
      </c>
    </row>
    <row r="991" spans="72:77" x14ac:dyDescent="0.25">
      <c r="BT991">
        <v>990</v>
      </c>
      <c r="BU991">
        <v>7.18</v>
      </c>
      <c r="BV991">
        <f t="shared" si="121"/>
        <v>0</v>
      </c>
      <c r="BW991">
        <v>-4.63</v>
      </c>
      <c r="BX991">
        <f t="shared" si="122"/>
        <v>154</v>
      </c>
      <c r="BY991" t="s">
        <v>0</v>
      </c>
    </row>
    <row r="992" spans="72:77" x14ac:dyDescent="0.25">
      <c r="BT992">
        <v>991</v>
      </c>
      <c r="BU992">
        <v>7.07</v>
      </c>
      <c r="BV992">
        <f t="shared" si="121"/>
        <v>0</v>
      </c>
      <c r="BW992">
        <v>-4.63</v>
      </c>
      <c r="BX992">
        <f t="shared" si="122"/>
        <v>154</v>
      </c>
      <c r="BY992" t="s">
        <v>0</v>
      </c>
    </row>
    <row r="993" spans="72:77" x14ac:dyDescent="0.25">
      <c r="BT993">
        <v>992</v>
      </c>
      <c r="BU993">
        <v>6.91</v>
      </c>
      <c r="BV993">
        <f t="shared" si="121"/>
        <v>0</v>
      </c>
      <c r="BW993">
        <v>-6.18</v>
      </c>
      <c r="BX993">
        <f t="shared" si="122"/>
        <v>153.38</v>
      </c>
      <c r="BY993" t="s">
        <v>0</v>
      </c>
    </row>
    <row r="994" spans="72:77" x14ac:dyDescent="0.25">
      <c r="BT994">
        <v>993</v>
      </c>
      <c r="BU994">
        <v>6.91</v>
      </c>
      <c r="BV994">
        <f t="shared" si="121"/>
        <v>0</v>
      </c>
      <c r="BW994">
        <v>0</v>
      </c>
      <c r="BX994">
        <f t="shared" si="122"/>
        <v>156.47200000000001</v>
      </c>
      <c r="BY994" t="s">
        <v>0</v>
      </c>
    </row>
    <row r="995" spans="72:77" x14ac:dyDescent="0.25">
      <c r="BT995">
        <v>994</v>
      </c>
      <c r="BU995">
        <v>6.84</v>
      </c>
      <c r="BV995">
        <f t="shared" si="121"/>
        <v>0</v>
      </c>
      <c r="BW995">
        <v>-3.09</v>
      </c>
      <c r="BX995">
        <f t="shared" si="122"/>
        <v>152.76400000000001</v>
      </c>
      <c r="BY995" t="s">
        <v>0</v>
      </c>
    </row>
    <row r="996" spans="72:77" x14ac:dyDescent="0.25">
      <c r="BT996">
        <v>995</v>
      </c>
      <c r="BU996">
        <v>6.72</v>
      </c>
      <c r="BV996">
        <f t="shared" si="121"/>
        <v>0</v>
      </c>
      <c r="BW996">
        <v>-4.63</v>
      </c>
      <c r="BX996">
        <f t="shared" si="122"/>
        <v>153.38399999999999</v>
      </c>
      <c r="BY996" t="s">
        <v>0</v>
      </c>
    </row>
    <row r="997" spans="72:77" x14ac:dyDescent="0.25">
      <c r="BT997">
        <v>996</v>
      </c>
      <c r="BU997">
        <v>6.6</v>
      </c>
      <c r="BV997">
        <f t="shared" si="121"/>
        <v>0</v>
      </c>
      <c r="BW997">
        <v>-4.63</v>
      </c>
      <c r="BX997">
        <f t="shared" si="122"/>
        <v>154</v>
      </c>
      <c r="BY997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27"/>
  <sheetViews>
    <sheetView tabSelected="1" topLeftCell="AW1" workbookViewId="0">
      <selection activeCell="BA3" sqref="BA3"/>
    </sheetView>
  </sheetViews>
  <sheetFormatPr baseColWidth="10" defaultRowHeight="15" x14ac:dyDescent="0.25"/>
  <cols>
    <col min="2" max="2" width="9.85546875" customWidth="1"/>
    <col min="3" max="3" width="8" customWidth="1"/>
    <col min="7" max="7" width="37.42578125" customWidth="1"/>
    <col min="8" max="8" width="6.140625" customWidth="1"/>
    <col min="9" max="9" width="8" customWidth="1"/>
    <col min="10" max="10" width="7.42578125" customWidth="1"/>
    <col min="18" max="18" width="7.7109375" customWidth="1"/>
    <col min="19" max="19" width="7.85546875" customWidth="1"/>
    <col min="20" max="20" width="7.7109375" customWidth="1"/>
    <col min="30" max="30" width="8.28515625" customWidth="1"/>
    <col min="31" max="31" width="7.140625" customWidth="1"/>
    <col min="40" max="40" width="7.7109375" customWidth="1"/>
    <col min="41" max="41" width="9.7109375" customWidth="1"/>
    <col min="51" max="51" width="6.85546875" customWidth="1"/>
  </cols>
  <sheetData>
    <row r="1" spans="1:53" x14ac:dyDescent="0.25">
      <c r="A1">
        <v>1</v>
      </c>
      <c r="B1">
        <v>150.26</v>
      </c>
      <c r="H1">
        <v>1</v>
      </c>
      <c r="I1" s="4">
        <v>121.37</v>
      </c>
    </row>
    <row r="2" spans="1:53" x14ac:dyDescent="0.25">
      <c r="A2">
        <v>2</v>
      </c>
      <c r="B2">
        <v>151.34</v>
      </c>
      <c r="C2">
        <f>(B2-B1)/0.05</f>
        <v>21.60000000000025</v>
      </c>
      <c r="H2">
        <v>2</v>
      </c>
      <c r="I2" s="4">
        <v>122.22</v>
      </c>
      <c r="J2">
        <f>(I2-I1)/0.05</f>
        <v>16.999999999999886</v>
      </c>
      <c r="R2">
        <v>1</v>
      </c>
      <c r="S2" s="4">
        <v>150.61000000000001</v>
      </c>
      <c r="AC2">
        <v>1</v>
      </c>
      <c r="AD2">
        <v>150.94999999999999</v>
      </c>
      <c r="AN2">
        <v>1</v>
      </c>
      <c r="AO2">
        <v>160.65</v>
      </c>
      <c r="AY2">
        <v>1</v>
      </c>
      <c r="AZ2">
        <v>205.56</v>
      </c>
    </row>
    <row r="3" spans="1:53" x14ac:dyDescent="0.25">
      <c r="A3">
        <v>3</v>
      </c>
      <c r="B3">
        <v>152.27000000000001</v>
      </c>
      <c r="C3">
        <f t="shared" ref="C3:C66" si="0">(B3-B2)/0.05</f>
        <v>18.600000000000136</v>
      </c>
      <c r="H3">
        <v>3</v>
      </c>
      <c r="I3" s="4">
        <v>123.27</v>
      </c>
      <c r="J3">
        <f t="shared" ref="J3:J66" si="1">(I3-I2)/0.05</f>
        <v>20.999999999999943</v>
      </c>
      <c r="R3">
        <v>2</v>
      </c>
      <c r="S3" s="4">
        <v>151.61000000000001</v>
      </c>
      <c r="T3">
        <f>(S3-S2)/0.05</f>
        <v>20</v>
      </c>
      <c r="AC3">
        <v>2</v>
      </c>
      <c r="AD3">
        <v>151.80000000000001</v>
      </c>
      <c r="AE3">
        <f>(AD3-AD2)/0.05</f>
        <v>17.000000000000455</v>
      </c>
      <c r="AN3">
        <v>2</v>
      </c>
      <c r="AO3">
        <v>161.30000000000001</v>
      </c>
      <c r="AP3">
        <f>(AO3-AO2)/0.05</f>
        <v>13.000000000000114</v>
      </c>
      <c r="AY3">
        <v>2</v>
      </c>
      <c r="AZ3">
        <v>205.25</v>
      </c>
      <c r="BA3">
        <f>(AZ3-AZ2)/0.05</f>
        <v>-6.2000000000000455</v>
      </c>
    </row>
    <row r="4" spans="1:53" x14ac:dyDescent="0.25">
      <c r="A4">
        <v>4</v>
      </c>
      <c r="B4">
        <v>153.5</v>
      </c>
      <c r="C4">
        <f t="shared" si="0"/>
        <v>24.599999999999795</v>
      </c>
      <c r="H4">
        <v>4</v>
      </c>
      <c r="I4" s="4">
        <v>124.42</v>
      </c>
      <c r="J4">
        <f t="shared" si="1"/>
        <v>23.000000000000114</v>
      </c>
      <c r="R4">
        <v>3</v>
      </c>
      <c r="S4" s="4">
        <v>152.41999999999999</v>
      </c>
      <c r="T4">
        <f t="shared" ref="T4:T67" si="2">(S4-S3)/0.05</f>
        <v>16.199999999999477</v>
      </c>
      <c r="AC4">
        <v>3</v>
      </c>
      <c r="AD4">
        <v>152.72999999999999</v>
      </c>
      <c r="AE4">
        <f t="shared" ref="AE4:AE67" si="3">(AD4-AD3)/0.05</f>
        <v>18.599999999999568</v>
      </c>
      <c r="AN4">
        <v>3</v>
      </c>
      <c r="AO4">
        <v>161.72999999999999</v>
      </c>
      <c r="AP4">
        <f t="shared" ref="AP4:AP67" si="4">(AO4-AO3)/0.05</f>
        <v>8.599999999999568</v>
      </c>
      <c r="AY4">
        <v>3</v>
      </c>
      <c r="AZ4">
        <v>205.06</v>
      </c>
      <c r="BA4">
        <f t="shared" ref="BA4:BA67" si="5">(AZ4-AZ3)/0.05</f>
        <v>-3.7999999999999545</v>
      </c>
    </row>
    <row r="5" spans="1:53" x14ac:dyDescent="0.25">
      <c r="A5">
        <v>5</v>
      </c>
      <c r="B5">
        <v>154.47</v>
      </c>
      <c r="C5">
        <f t="shared" si="0"/>
        <v>19.399999999999977</v>
      </c>
      <c r="H5">
        <v>5</v>
      </c>
      <c r="I5" s="4">
        <v>125.58</v>
      </c>
      <c r="J5">
        <f t="shared" si="1"/>
        <v>23.199999999999932</v>
      </c>
      <c r="R5">
        <v>4</v>
      </c>
      <c r="S5" s="4">
        <v>153.31</v>
      </c>
      <c r="T5">
        <f t="shared" si="2"/>
        <v>17.800000000000296</v>
      </c>
      <c r="AC5">
        <v>4</v>
      </c>
      <c r="AD5">
        <v>153.81</v>
      </c>
      <c r="AE5">
        <f t="shared" si="3"/>
        <v>21.60000000000025</v>
      </c>
      <c r="AN5">
        <v>4</v>
      </c>
      <c r="AO5">
        <v>162.27000000000001</v>
      </c>
      <c r="AP5">
        <f t="shared" si="4"/>
        <v>10.800000000000409</v>
      </c>
      <c r="AY5">
        <v>4</v>
      </c>
      <c r="AZ5">
        <v>204.79</v>
      </c>
      <c r="BA5">
        <f t="shared" si="5"/>
        <v>-5.4000000000002046</v>
      </c>
    </row>
    <row r="6" spans="1:53" x14ac:dyDescent="0.25">
      <c r="A6">
        <v>6</v>
      </c>
      <c r="B6">
        <v>155.59</v>
      </c>
      <c r="C6">
        <f t="shared" si="0"/>
        <v>22.400000000000091</v>
      </c>
      <c r="H6">
        <v>6</v>
      </c>
      <c r="I6" s="4">
        <v>126.39</v>
      </c>
      <c r="J6">
        <f t="shared" si="1"/>
        <v>16.200000000000045</v>
      </c>
      <c r="R6">
        <v>5</v>
      </c>
      <c r="S6" s="4">
        <v>154.69999999999999</v>
      </c>
      <c r="T6">
        <f t="shared" si="2"/>
        <v>27.799999999999727</v>
      </c>
      <c r="AC6">
        <v>5</v>
      </c>
      <c r="AD6">
        <v>155.05000000000001</v>
      </c>
      <c r="AE6">
        <f t="shared" si="3"/>
        <v>24.800000000000182</v>
      </c>
      <c r="AN6">
        <v>5</v>
      </c>
      <c r="AO6">
        <v>163.22999999999999</v>
      </c>
      <c r="AP6">
        <f t="shared" si="4"/>
        <v>19.199999999999591</v>
      </c>
      <c r="AY6">
        <v>5</v>
      </c>
      <c r="AZ6">
        <v>204.52</v>
      </c>
      <c r="BA6">
        <f t="shared" si="5"/>
        <v>-5.3999999999996362</v>
      </c>
    </row>
    <row r="7" spans="1:53" x14ac:dyDescent="0.25">
      <c r="A7">
        <v>7</v>
      </c>
      <c r="B7">
        <v>156.78</v>
      </c>
      <c r="C7">
        <f t="shared" si="0"/>
        <v>23.799999999999955</v>
      </c>
      <c r="H7">
        <v>7</v>
      </c>
      <c r="I7" s="4">
        <v>127.24</v>
      </c>
      <c r="J7">
        <f t="shared" si="1"/>
        <v>16.999999999999886</v>
      </c>
      <c r="R7">
        <v>6</v>
      </c>
      <c r="S7" s="4">
        <v>155.9</v>
      </c>
      <c r="T7">
        <f t="shared" si="2"/>
        <v>24.000000000000341</v>
      </c>
      <c r="AC7">
        <v>6</v>
      </c>
      <c r="AD7">
        <v>156.09</v>
      </c>
      <c r="AE7">
        <f t="shared" si="3"/>
        <v>20.799999999999841</v>
      </c>
      <c r="AN7">
        <v>6</v>
      </c>
      <c r="AO7">
        <v>163.69999999999999</v>
      </c>
      <c r="AP7">
        <f t="shared" si="4"/>
        <v>9.3999999999999773</v>
      </c>
      <c r="AY7">
        <v>6</v>
      </c>
      <c r="AZ7">
        <v>204.28</v>
      </c>
      <c r="BA7">
        <f t="shared" si="5"/>
        <v>-4.8000000000001819</v>
      </c>
    </row>
    <row r="8" spans="1:53" x14ac:dyDescent="0.25">
      <c r="A8">
        <v>8</v>
      </c>
      <c r="B8">
        <v>157.47999999999999</v>
      </c>
      <c r="C8">
        <f t="shared" si="0"/>
        <v>13.999999999999773</v>
      </c>
      <c r="H8">
        <v>8</v>
      </c>
      <c r="I8" s="4">
        <v>128.13</v>
      </c>
      <c r="J8">
        <f t="shared" si="1"/>
        <v>17.800000000000011</v>
      </c>
      <c r="R8">
        <v>7</v>
      </c>
      <c r="S8" s="4">
        <v>156.63</v>
      </c>
      <c r="T8">
        <f t="shared" si="2"/>
        <v>14.599999999999795</v>
      </c>
      <c r="AC8">
        <v>7</v>
      </c>
      <c r="AD8">
        <v>157.05000000000001</v>
      </c>
      <c r="AE8">
        <f t="shared" si="3"/>
        <v>19.200000000000159</v>
      </c>
      <c r="AN8">
        <v>7</v>
      </c>
      <c r="AO8">
        <v>164.35</v>
      </c>
      <c r="AP8">
        <f t="shared" si="4"/>
        <v>13.000000000000114</v>
      </c>
      <c r="AY8">
        <v>7</v>
      </c>
      <c r="AZ8">
        <v>204.01</v>
      </c>
      <c r="BA8">
        <f t="shared" si="5"/>
        <v>-5.4000000000002046</v>
      </c>
    </row>
    <row r="9" spans="1:53" x14ac:dyDescent="0.25">
      <c r="A9">
        <v>9</v>
      </c>
      <c r="B9">
        <v>158.6</v>
      </c>
      <c r="C9">
        <f t="shared" si="0"/>
        <v>22.400000000000091</v>
      </c>
      <c r="H9">
        <v>9</v>
      </c>
      <c r="I9" s="4">
        <v>129.13</v>
      </c>
      <c r="J9">
        <f t="shared" si="1"/>
        <v>20</v>
      </c>
      <c r="R9">
        <v>8</v>
      </c>
      <c r="S9" s="4">
        <v>157.21</v>
      </c>
      <c r="T9">
        <f t="shared" si="2"/>
        <v>11.60000000000025</v>
      </c>
      <c r="AC9">
        <v>8</v>
      </c>
      <c r="AD9">
        <v>158.1</v>
      </c>
      <c r="AE9">
        <f t="shared" si="3"/>
        <v>20.999999999999659</v>
      </c>
      <c r="AN9">
        <v>8</v>
      </c>
      <c r="AO9">
        <v>165.32</v>
      </c>
      <c r="AP9">
        <f t="shared" si="4"/>
        <v>19.399999999999977</v>
      </c>
      <c r="AY9">
        <v>8</v>
      </c>
      <c r="AZ9">
        <v>203.74</v>
      </c>
      <c r="BA9">
        <f t="shared" si="5"/>
        <v>-5.3999999999996362</v>
      </c>
    </row>
    <row r="10" spans="1:53" x14ac:dyDescent="0.25">
      <c r="A10">
        <v>10</v>
      </c>
      <c r="B10">
        <v>159.53</v>
      </c>
      <c r="C10">
        <f t="shared" si="0"/>
        <v>18.600000000000136</v>
      </c>
      <c r="H10">
        <v>10</v>
      </c>
      <c r="I10" s="4">
        <v>130.06</v>
      </c>
      <c r="J10">
        <f t="shared" si="1"/>
        <v>18.600000000000136</v>
      </c>
      <c r="R10">
        <v>9</v>
      </c>
      <c r="S10" s="4">
        <v>157.9</v>
      </c>
      <c r="T10">
        <f t="shared" si="2"/>
        <v>13.799999999999955</v>
      </c>
      <c r="AC10">
        <v>9</v>
      </c>
      <c r="AD10">
        <v>159.13999999999999</v>
      </c>
      <c r="AE10">
        <f t="shared" si="3"/>
        <v>20.799999999999841</v>
      </c>
      <c r="AN10">
        <v>9</v>
      </c>
      <c r="AO10">
        <v>165.74</v>
      </c>
      <c r="AP10">
        <f t="shared" si="4"/>
        <v>8.4000000000003183</v>
      </c>
      <c r="AY10">
        <v>9</v>
      </c>
      <c r="AZ10">
        <v>203.59</v>
      </c>
      <c r="BA10">
        <f t="shared" si="5"/>
        <v>-3.0000000000001137</v>
      </c>
    </row>
    <row r="11" spans="1:53" x14ac:dyDescent="0.25">
      <c r="A11">
        <v>11</v>
      </c>
      <c r="B11">
        <v>160.49</v>
      </c>
      <c r="C11">
        <f t="shared" si="0"/>
        <v>19.200000000000159</v>
      </c>
      <c r="H11">
        <v>11</v>
      </c>
      <c r="I11" s="4">
        <v>131.07</v>
      </c>
      <c r="J11">
        <f t="shared" si="1"/>
        <v>20.199999999999818</v>
      </c>
      <c r="R11">
        <v>10</v>
      </c>
      <c r="S11" s="4">
        <v>158.79</v>
      </c>
      <c r="T11">
        <f t="shared" si="2"/>
        <v>17.799999999999727</v>
      </c>
      <c r="AC11">
        <v>10</v>
      </c>
      <c r="AD11">
        <v>159.87</v>
      </c>
      <c r="AE11">
        <f t="shared" si="3"/>
        <v>14.600000000000364</v>
      </c>
      <c r="AN11">
        <v>10</v>
      </c>
      <c r="AO11">
        <v>166.52</v>
      </c>
      <c r="AP11">
        <f t="shared" si="4"/>
        <v>15.600000000000023</v>
      </c>
      <c r="AY11">
        <v>10</v>
      </c>
      <c r="AZ11">
        <v>203.32</v>
      </c>
      <c r="BA11">
        <f t="shared" si="5"/>
        <v>-5.4000000000002046</v>
      </c>
    </row>
    <row r="12" spans="1:53" x14ac:dyDescent="0.25">
      <c r="A12">
        <v>12</v>
      </c>
      <c r="B12">
        <v>161.5</v>
      </c>
      <c r="C12">
        <f t="shared" si="0"/>
        <v>20.199999999999818</v>
      </c>
      <c r="H12">
        <v>12</v>
      </c>
      <c r="I12" s="4">
        <v>132.07</v>
      </c>
      <c r="J12">
        <f t="shared" si="1"/>
        <v>20</v>
      </c>
      <c r="R12">
        <v>11</v>
      </c>
      <c r="S12" s="4">
        <v>159.53</v>
      </c>
      <c r="T12">
        <f t="shared" si="2"/>
        <v>14.800000000000182</v>
      </c>
      <c r="AC12">
        <v>11</v>
      </c>
      <c r="AD12">
        <v>160.80000000000001</v>
      </c>
      <c r="AE12">
        <f t="shared" si="3"/>
        <v>18.600000000000136</v>
      </c>
      <c r="AN12">
        <v>11</v>
      </c>
      <c r="AO12">
        <v>167.33</v>
      </c>
      <c r="AP12">
        <f t="shared" si="4"/>
        <v>16.200000000000045</v>
      </c>
      <c r="AY12">
        <v>11</v>
      </c>
      <c r="AZ12">
        <v>203.09</v>
      </c>
      <c r="BA12">
        <f t="shared" si="5"/>
        <v>-4.5999999999997954</v>
      </c>
    </row>
    <row r="13" spans="1:53" x14ac:dyDescent="0.25">
      <c r="A13">
        <v>13</v>
      </c>
      <c r="B13">
        <v>162.31</v>
      </c>
      <c r="C13">
        <f t="shared" si="0"/>
        <v>16.200000000000045</v>
      </c>
      <c r="H13">
        <v>13</v>
      </c>
      <c r="I13" s="4">
        <v>133.07</v>
      </c>
      <c r="J13">
        <f t="shared" si="1"/>
        <v>20</v>
      </c>
      <c r="R13">
        <v>12</v>
      </c>
      <c r="S13" s="4">
        <v>160.38</v>
      </c>
      <c r="T13">
        <f t="shared" si="2"/>
        <v>16.999999999999886</v>
      </c>
      <c r="AC13">
        <v>12</v>
      </c>
      <c r="AD13">
        <v>161.80000000000001</v>
      </c>
      <c r="AE13">
        <f t="shared" si="3"/>
        <v>20</v>
      </c>
      <c r="AN13">
        <v>12</v>
      </c>
      <c r="AO13">
        <v>167.71</v>
      </c>
      <c r="AP13">
        <f t="shared" si="4"/>
        <v>7.5999999999999091</v>
      </c>
      <c r="AY13">
        <v>12</v>
      </c>
      <c r="AZ13">
        <v>202.93</v>
      </c>
      <c r="BA13">
        <f t="shared" si="5"/>
        <v>-3.1999999999999318</v>
      </c>
    </row>
    <row r="14" spans="1:53" x14ac:dyDescent="0.25">
      <c r="A14">
        <v>14</v>
      </c>
      <c r="B14">
        <v>163</v>
      </c>
      <c r="C14">
        <f t="shared" si="0"/>
        <v>13.799999999999955</v>
      </c>
      <c r="H14">
        <v>14</v>
      </c>
      <c r="I14" s="4">
        <v>134.16</v>
      </c>
      <c r="J14">
        <f t="shared" si="1"/>
        <v>21.800000000000068</v>
      </c>
      <c r="R14">
        <v>13</v>
      </c>
      <c r="S14" s="4">
        <v>161.30000000000001</v>
      </c>
      <c r="T14">
        <f t="shared" si="2"/>
        <v>18.400000000000318</v>
      </c>
      <c r="AC14">
        <v>13</v>
      </c>
      <c r="AD14">
        <v>162.77000000000001</v>
      </c>
      <c r="AE14">
        <f t="shared" si="3"/>
        <v>19.399999999999977</v>
      </c>
      <c r="AN14">
        <v>13</v>
      </c>
      <c r="AO14">
        <v>168.64</v>
      </c>
      <c r="AP14">
        <f t="shared" si="4"/>
        <v>18.599999999999568</v>
      </c>
      <c r="AY14">
        <v>13</v>
      </c>
      <c r="AZ14">
        <v>202.82</v>
      </c>
      <c r="BA14">
        <f t="shared" si="5"/>
        <v>-2.2000000000002728</v>
      </c>
    </row>
    <row r="15" spans="1:53" x14ac:dyDescent="0.25">
      <c r="A15">
        <v>15</v>
      </c>
      <c r="B15">
        <v>162.77000000000001</v>
      </c>
      <c r="C15">
        <f t="shared" si="0"/>
        <v>-4.5999999999997954</v>
      </c>
      <c r="H15">
        <v>15</v>
      </c>
      <c r="I15" s="4">
        <v>135</v>
      </c>
      <c r="J15">
        <f t="shared" si="1"/>
        <v>16.800000000000068</v>
      </c>
      <c r="R15">
        <v>14</v>
      </c>
      <c r="S15" s="4">
        <v>161.80000000000001</v>
      </c>
      <c r="T15">
        <f t="shared" si="2"/>
        <v>10</v>
      </c>
      <c r="AC15">
        <v>14</v>
      </c>
      <c r="AD15">
        <v>162.85</v>
      </c>
      <c r="AE15">
        <f t="shared" si="3"/>
        <v>1.5999999999996817</v>
      </c>
      <c r="AN15">
        <v>14</v>
      </c>
      <c r="AO15">
        <v>168.72</v>
      </c>
      <c r="AP15">
        <f t="shared" si="4"/>
        <v>1.6000000000002501</v>
      </c>
      <c r="AY15">
        <v>14</v>
      </c>
      <c r="AZ15">
        <v>203.12</v>
      </c>
      <c r="BA15">
        <f t="shared" si="5"/>
        <v>6.0000000000002274</v>
      </c>
    </row>
    <row r="16" spans="1:53" x14ac:dyDescent="0.25">
      <c r="A16">
        <v>16</v>
      </c>
      <c r="B16">
        <v>161.57</v>
      </c>
      <c r="C16">
        <f t="shared" si="0"/>
        <v>-24.000000000000341</v>
      </c>
      <c r="H16">
        <v>16</v>
      </c>
      <c r="I16" s="4">
        <v>135.85</v>
      </c>
      <c r="J16">
        <f t="shared" si="1"/>
        <v>16.999999999999886</v>
      </c>
      <c r="R16">
        <v>15</v>
      </c>
      <c r="S16" s="4">
        <v>162.41999999999999</v>
      </c>
      <c r="T16">
        <f t="shared" si="2"/>
        <v>12.399999999999523</v>
      </c>
      <c r="AC16">
        <v>15</v>
      </c>
      <c r="AD16">
        <v>162.11000000000001</v>
      </c>
      <c r="AE16">
        <f t="shared" si="3"/>
        <v>-14.799999999999613</v>
      </c>
      <c r="AN16">
        <v>15</v>
      </c>
      <c r="AO16">
        <v>168.02</v>
      </c>
      <c r="AP16">
        <f t="shared" si="4"/>
        <v>-13.999999999999773</v>
      </c>
      <c r="AY16">
        <v>15</v>
      </c>
      <c r="AZ16">
        <v>203.09</v>
      </c>
      <c r="BA16">
        <f t="shared" si="5"/>
        <v>-0.60000000000002274</v>
      </c>
    </row>
    <row r="17" spans="1:53" x14ac:dyDescent="0.25">
      <c r="A17">
        <v>17</v>
      </c>
      <c r="B17">
        <v>160.61000000000001</v>
      </c>
      <c r="C17">
        <f t="shared" si="0"/>
        <v>-19.199999999999591</v>
      </c>
      <c r="H17">
        <v>17</v>
      </c>
      <c r="I17" s="4">
        <v>137.01</v>
      </c>
      <c r="J17">
        <f t="shared" si="1"/>
        <v>23.199999999999932</v>
      </c>
      <c r="R17">
        <v>16</v>
      </c>
      <c r="S17" s="4">
        <v>163.08000000000001</v>
      </c>
      <c r="T17">
        <f t="shared" si="2"/>
        <v>13.2000000000005</v>
      </c>
      <c r="AC17">
        <v>16</v>
      </c>
      <c r="AD17">
        <v>161.19</v>
      </c>
      <c r="AE17">
        <f t="shared" si="3"/>
        <v>-18.400000000000318</v>
      </c>
      <c r="AN17">
        <v>16</v>
      </c>
      <c r="AO17">
        <v>167.21</v>
      </c>
      <c r="AP17">
        <f t="shared" si="4"/>
        <v>-16.200000000000045</v>
      </c>
      <c r="AY17">
        <v>16</v>
      </c>
      <c r="AZ17">
        <v>202.7</v>
      </c>
      <c r="BA17">
        <f t="shared" si="5"/>
        <v>-7.8000000000002956</v>
      </c>
    </row>
    <row r="18" spans="1:53" x14ac:dyDescent="0.25">
      <c r="A18">
        <v>18</v>
      </c>
      <c r="B18">
        <v>159.63999999999999</v>
      </c>
      <c r="C18">
        <f t="shared" si="0"/>
        <v>-19.400000000000546</v>
      </c>
      <c r="H18">
        <v>18</v>
      </c>
      <c r="I18" s="4">
        <v>137.9</v>
      </c>
      <c r="J18">
        <f t="shared" si="1"/>
        <v>17.800000000000296</v>
      </c>
      <c r="R18">
        <v>17</v>
      </c>
      <c r="S18" s="4">
        <v>163.89</v>
      </c>
      <c r="T18">
        <f t="shared" si="2"/>
        <v>16.199999999999477</v>
      </c>
      <c r="AC18">
        <v>17</v>
      </c>
      <c r="AD18">
        <v>160.34</v>
      </c>
      <c r="AE18">
        <f t="shared" si="3"/>
        <v>-16.999999999999886</v>
      </c>
      <c r="AN18">
        <v>17</v>
      </c>
      <c r="AO18">
        <v>166.25</v>
      </c>
      <c r="AP18">
        <f t="shared" si="4"/>
        <v>-19.200000000000159</v>
      </c>
      <c r="AY18">
        <v>17</v>
      </c>
      <c r="AZ18">
        <v>202.35</v>
      </c>
      <c r="BA18">
        <f t="shared" si="5"/>
        <v>-6.9999999999998863</v>
      </c>
    </row>
    <row r="19" spans="1:53" x14ac:dyDescent="0.25">
      <c r="A19">
        <v>19</v>
      </c>
      <c r="B19">
        <v>158.83000000000001</v>
      </c>
      <c r="C19">
        <f t="shared" si="0"/>
        <v>-16.199999999999477</v>
      </c>
      <c r="H19">
        <v>19</v>
      </c>
      <c r="I19" s="4">
        <v>138.87</v>
      </c>
      <c r="J19">
        <f t="shared" si="1"/>
        <v>19.399999999999977</v>
      </c>
      <c r="R19">
        <v>18</v>
      </c>
      <c r="S19" s="4">
        <v>164.86</v>
      </c>
      <c r="T19">
        <f t="shared" si="2"/>
        <v>19.400000000000546</v>
      </c>
      <c r="AC19">
        <v>18</v>
      </c>
      <c r="AD19">
        <v>159.49</v>
      </c>
      <c r="AE19">
        <f t="shared" si="3"/>
        <v>-16.999999999999886</v>
      </c>
      <c r="AN19">
        <v>18</v>
      </c>
      <c r="AO19">
        <v>165.67</v>
      </c>
      <c r="AP19">
        <f t="shared" si="4"/>
        <v>-11.60000000000025</v>
      </c>
      <c r="AY19">
        <v>18</v>
      </c>
      <c r="AZ19">
        <v>201.97</v>
      </c>
      <c r="BA19">
        <f t="shared" si="5"/>
        <v>-7.5999999999999091</v>
      </c>
    </row>
    <row r="20" spans="1:53" x14ac:dyDescent="0.25">
      <c r="A20">
        <v>20</v>
      </c>
      <c r="B20">
        <v>158.02000000000001</v>
      </c>
      <c r="C20">
        <f t="shared" si="0"/>
        <v>-16.200000000000045</v>
      </c>
      <c r="H20">
        <v>20</v>
      </c>
      <c r="I20" s="4">
        <v>139.72</v>
      </c>
      <c r="J20">
        <f t="shared" si="1"/>
        <v>16.999999999999886</v>
      </c>
      <c r="R20">
        <v>19</v>
      </c>
      <c r="S20" s="4">
        <v>165.51</v>
      </c>
      <c r="T20">
        <f t="shared" si="2"/>
        <v>12.999999999999545</v>
      </c>
      <c r="AC20">
        <v>19</v>
      </c>
      <c r="AD20">
        <v>158.68</v>
      </c>
      <c r="AE20">
        <f t="shared" si="3"/>
        <v>-16.200000000000045</v>
      </c>
      <c r="AN20">
        <v>19</v>
      </c>
      <c r="AO20">
        <v>164.93</v>
      </c>
      <c r="AP20">
        <f t="shared" si="4"/>
        <v>-14.799999999999613</v>
      </c>
      <c r="AY20">
        <v>19</v>
      </c>
      <c r="AZ20">
        <v>201.73</v>
      </c>
      <c r="BA20">
        <f t="shared" si="5"/>
        <v>-4.8000000000001819</v>
      </c>
    </row>
    <row r="21" spans="1:53" x14ac:dyDescent="0.25">
      <c r="A21">
        <v>21</v>
      </c>
      <c r="B21">
        <v>157.16999999999999</v>
      </c>
      <c r="C21">
        <f t="shared" si="0"/>
        <v>-17.000000000000455</v>
      </c>
      <c r="H21">
        <v>21</v>
      </c>
      <c r="I21" s="4">
        <v>140.68</v>
      </c>
      <c r="J21">
        <f t="shared" si="1"/>
        <v>19.200000000000159</v>
      </c>
      <c r="R21">
        <v>20</v>
      </c>
      <c r="S21" s="4">
        <v>166.71</v>
      </c>
      <c r="T21">
        <f t="shared" si="2"/>
        <v>24.000000000000341</v>
      </c>
      <c r="AC21">
        <v>20</v>
      </c>
      <c r="AD21">
        <v>157.94</v>
      </c>
      <c r="AE21">
        <f t="shared" si="3"/>
        <v>-14.800000000000182</v>
      </c>
      <c r="AN21">
        <v>20</v>
      </c>
      <c r="AO21">
        <v>164.28</v>
      </c>
      <c r="AP21">
        <f t="shared" si="4"/>
        <v>-13.000000000000114</v>
      </c>
      <c r="AY21">
        <v>20</v>
      </c>
      <c r="AZ21">
        <v>201.27</v>
      </c>
      <c r="BA21">
        <f t="shared" si="5"/>
        <v>-9.1999999999995907</v>
      </c>
    </row>
    <row r="22" spans="1:53" x14ac:dyDescent="0.25">
      <c r="A22">
        <v>22</v>
      </c>
      <c r="B22">
        <v>156.44</v>
      </c>
      <c r="C22">
        <f t="shared" si="0"/>
        <v>-14.599999999999795</v>
      </c>
      <c r="H22">
        <v>22</v>
      </c>
      <c r="I22" s="4">
        <v>141.65</v>
      </c>
      <c r="J22">
        <f t="shared" si="1"/>
        <v>19.399999999999977</v>
      </c>
      <c r="R22">
        <v>21</v>
      </c>
      <c r="S22" s="4">
        <v>167.6</v>
      </c>
      <c r="T22">
        <f t="shared" si="2"/>
        <v>17.799999999999727</v>
      </c>
      <c r="AC22">
        <v>21</v>
      </c>
      <c r="AD22">
        <v>157.16999999999999</v>
      </c>
      <c r="AE22">
        <f t="shared" si="3"/>
        <v>-15.400000000000205</v>
      </c>
      <c r="AN22">
        <v>21</v>
      </c>
      <c r="AO22">
        <v>163.66</v>
      </c>
      <c r="AP22">
        <f t="shared" si="4"/>
        <v>-12.400000000000091</v>
      </c>
      <c r="AY22">
        <v>21</v>
      </c>
      <c r="AZ22">
        <v>201.12</v>
      </c>
      <c r="BA22">
        <f t="shared" si="5"/>
        <v>-3.0000000000001137</v>
      </c>
    </row>
    <row r="23" spans="1:53" x14ac:dyDescent="0.25">
      <c r="A23">
        <v>23</v>
      </c>
      <c r="B23">
        <v>155.69999999999999</v>
      </c>
      <c r="C23">
        <f t="shared" si="0"/>
        <v>-14.800000000000182</v>
      </c>
      <c r="H23">
        <v>23</v>
      </c>
      <c r="I23" s="4">
        <v>142.41999999999999</v>
      </c>
      <c r="J23">
        <f t="shared" si="1"/>
        <v>15.399999999999636</v>
      </c>
      <c r="R23">
        <v>22</v>
      </c>
      <c r="S23" s="4">
        <v>168.02</v>
      </c>
      <c r="T23">
        <f t="shared" si="2"/>
        <v>8.4000000000003183</v>
      </c>
      <c r="AC23">
        <v>22</v>
      </c>
      <c r="AD23">
        <v>156.51</v>
      </c>
      <c r="AE23">
        <f t="shared" si="3"/>
        <v>-13.199999999999932</v>
      </c>
      <c r="AN23">
        <v>22</v>
      </c>
      <c r="AO23">
        <v>163.08000000000001</v>
      </c>
      <c r="AP23">
        <f t="shared" si="4"/>
        <v>-11.599999999999682</v>
      </c>
      <c r="AY23">
        <v>22</v>
      </c>
      <c r="AZ23">
        <v>200.92</v>
      </c>
      <c r="BA23">
        <f t="shared" si="5"/>
        <v>-4.0000000000003411</v>
      </c>
    </row>
    <row r="24" spans="1:53" x14ac:dyDescent="0.25">
      <c r="A24">
        <v>24</v>
      </c>
      <c r="B24">
        <v>154.97</v>
      </c>
      <c r="C24">
        <f t="shared" si="0"/>
        <v>-14.599999999999795</v>
      </c>
      <c r="H24">
        <v>24</v>
      </c>
      <c r="I24" s="4">
        <v>143.54</v>
      </c>
      <c r="J24">
        <f t="shared" si="1"/>
        <v>22.400000000000091</v>
      </c>
      <c r="R24">
        <v>23</v>
      </c>
      <c r="S24" s="4">
        <v>168.91</v>
      </c>
      <c r="T24">
        <f t="shared" si="2"/>
        <v>17.799999999999727</v>
      </c>
      <c r="AC24">
        <v>23</v>
      </c>
      <c r="AD24">
        <v>155.78</v>
      </c>
      <c r="AE24">
        <f t="shared" si="3"/>
        <v>-14.599999999999795</v>
      </c>
      <c r="AN24">
        <v>23</v>
      </c>
      <c r="AO24">
        <v>162.46</v>
      </c>
      <c r="AP24">
        <f t="shared" si="4"/>
        <v>-12.400000000000091</v>
      </c>
      <c r="AY24">
        <v>23</v>
      </c>
      <c r="AZ24">
        <v>200.69</v>
      </c>
      <c r="BA24">
        <f t="shared" si="5"/>
        <v>-4.5999999999997954</v>
      </c>
    </row>
    <row r="25" spans="1:53" x14ac:dyDescent="0.25">
      <c r="A25">
        <v>25</v>
      </c>
      <c r="B25">
        <v>154.27000000000001</v>
      </c>
      <c r="C25">
        <f t="shared" si="0"/>
        <v>-13.999999999999773</v>
      </c>
      <c r="H25">
        <v>25</v>
      </c>
      <c r="I25" s="4">
        <v>144.31</v>
      </c>
      <c r="J25">
        <f t="shared" si="1"/>
        <v>15.400000000000205</v>
      </c>
      <c r="R25">
        <v>24</v>
      </c>
      <c r="S25" s="4">
        <v>169.34</v>
      </c>
      <c r="T25">
        <f t="shared" si="2"/>
        <v>8.6000000000001364</v>
      </c>
      <c r="AC25">
        <v>24</v>
      </c>
      <c r="AD25">
        <v>155.05000000000001</v>
      </c>
      <c r="AE25">
        <f t="shared" si="3"/>
        <v>-14.599999999999795</v>
      </c>
      <c r="AN25">
        <v>24</v>
      </c>
      <c r="AO25">
        <v>161.91999999999999</v>
      </c>
      <c r="AP25">
        <f t="shared" si="4"/>
        <v>-10.800000000000409</v>
      </c>
      <c r="AY25">
        <v>24</v>
      </c>
      <c r="AZ25">
        <v>200.46</v>
      </c>
      <c r="BA25">
        <f t="shared" si="5"/>
        <v>-4.5999999999997954</v>
      </c>
    </row>
    <row r="26" spans="1:53" x14ac:dyDescent="0.25">
      <c r="A26">
        <v>26</v>
      </c>
      <c r="B26">
        <v>153.69999999999999</v>
      </c>
      <c r="C26">
        <f t="shared" si="0"/>
        <v>-11.400000000000432</v>
      </c>
      <c r="H26">
        <v>26</v>
      </c>
      <c r="I26" s="4">
        <v>145.32</v>
      </c>
      <c r="J26">
        <f t="shared" si="1"/>
        <v>20.199999999999818</v>
      </c>
      <c r="R26">
        <v>25</v>
      </c>
      <c r="S26" s="4">
        <v>170.22</v>
      </c>
      <c r="T26">
        <f t="shared" si="2"/>
        <v>17.599999999999909</v>
      </c>
      <c r="AC26">
        <v>25</v>
      </c>
      <c r="AD26">
        <v>154.43</v>
      </c>
      <c r="AE26">
        <f t="shared" si="3"/>
        <v>-12.400000000000091</v>
      </c>
      <c r="AN26">
        <v>25</v>
      </c>
      <c r="AO26">
        <v>161.34</v>
      </c>
      <c r="AP26">
        <f t="shared" si="4"/>
        <v>-11.599999999999682</v>
      </c>
      <c r="AY26">
        <v>25</v>
      </c>
      <c r="AZ26">
        <v>200.19</v>
      </c>
      <c r="BA26">
        <f t="shared" si="5"/>
        <v>-5.4000000000002046</v>
      </c>
    </row>
    <row r="27" spans="1:53" x14ac:dyDescent="0.25">
      <c r="A27">
        <v>27</v>
      </c>
      <c r="B27">
        <v>153.22999999999999</v>
      </c>
      <c r="C27">
        <f t="shared" si="0"/>
        <v>-9.3999999999999773</v>
      </c>
      <c r="H27">
        <v>27</v>
      </c>
      <c r="I27" s="4">
        <v>145.12</v>
      </c>
      <c r="J27">
        <f t="shared" si="1"/>
        <v>-3.9999999999997726</v>
      </c>
      <c r="R27">
        <v>26</v>
      </c>
      <c r="S27" s="4">
        <v>171.15</v>
      </c>
      <c r="T27">
        <f t="shared" si="2"/>
        <v>18.600000000000136</v>
      </c>
      <c r="AC27">
        <v>26</v>
      </c>
      <c r="AD27">
        <v>153.72999999999999</v>
      </c>
      <c r="AE27">
        <f t="shared" si="3"/>
        <v>-14.000000000000341</v>
      </c>
      <c r="AN27">
        <v>26</v>
      </c>
      <c r="AO27">
        <v>161.26</v>
      </c>
      <c r="AP27">
        <f t="shared" si="4"/>
        <v>-1.6000000000002501</v>
      </c>
      <c r="AY27">
        <v>26</v>
      </c>
      <c r="AZ27">
        <v>199.84</v>
      </c>
      <c r="BA27">
        <f t="shared" si="5"/>
        <v>-6.9999999999998863</v>
      </c>
    </row>
    <row r="28" spans="1:53" x14ac:dyDescent="0.25">
      <c r="A28">
        <v>28</v>
      </c>
      <c r="B28">
        <v>152.41999999999999</v>
      </c>
      <c r="C28">
        <f t="shared" si="0"/>
        <v>-16.200000000000045</v>
      </c>
      <c r="H28">
        <v>28</v>
      </c>
      <c r="I28" s="4">
        <v>144.43</v>
      </c>
      <c r="J28">
        <f t="shared" si="1"/>
        <v>-13.799999999999955</v>
      </c>
      <c r="R28">
        <v>27</v>
      </c>
      <c r="S28" s="4">
        <v>171.5</v>
      </c>
      <c r="T28">
        <f t="shared" si="2"/>
        <v>6.9999999999998863</v>
      </c>
      <c r="AC28">
        <v>27</v>
      </c>
      <c r="AD28">
        <v>153.08000000000001</v>
      </c>
      <c r="AE28">
        <f t="shared" si="3"/>
        <v>-12.999999999999545</v>
      </c>
      <c r="AN28">
        <v>27</v>
      </c>
      <c r="AO28">
        <v>160.88</v>
      </c>
      <c r="AP28">
        <f t="shared" si="4"/>
        <v>-7.5999999999999091</v>
      </c>
      <c r="AY28">
        <v>27</v>
      </c>
      <c r="AZ28">
        <v>199.69</v>
      </c>
      <c r="BA28">
        <f t="shared" si="5"/>
        <v>-3.0000000000001137</v>
      </c>
    </row>
    <row r="29" spans="1:53" x14ac:dyDescent="0.25">
      <c r="A29">
        <v>29</v>
      </c>
      <c r="B29">
        <v>151.72999999999999</v>
      </c>
      <c r="C29">
        <f t="shared" si="0"/>
        <v>-13.799999999999955</v>
      </c>
      <c r="H29">
        <v>29</v>
      </c>
      <c r="I29" s="4">
        <v>143.5</v>
      </c>
      <c r="J29">
        <f t="shared" si="1"/>
        <v>-18.600000000000136</v>
      </c>
      <c r="R29">
        <v>28</v>
      </c>
      <c r="S29" s="4">
        <v>170.92</v>
      </c>
      <c r="T29">
        <f t="shared" si="2"/>
        <v>-11.60000000000025</v>
      </c>
      <c r="AC29">
        <v>28</v>
      </c>
      <c r="AD29">
        <v>152.5</v>
      </c>
      <c r="AE29">
        <f t="shared" si="3"/>
        <v>-11.60000000000025</v>
      </c>
      <c r="AN29">
        <v>28</v>
      </c>
      <c r="AO29">
        <v>160.26</v>
      </c>
      <c r="AP29">
        <f t="shared" si="4"/>
        <v>-12.400000000000091</v>
      </c>
      <c r="AY29">
        <v>28</v>
      </c>
      <c r="AZ29">
        <v>199.42</v>
      </c>
      <c r="BA29">
        <f t="shared" si="5"/>
        <v>-5.4000000000002046</v>
      </c>
    </row>
    <row r="30" spans="1:53" x14ac:dyDescent="0.25">
      <c r="A30">
        <v>30</v>
      </c>
      <c r="B30">
        <v>150.99</v>
      </c>
      <c r="C30">
        <f t="shared" si="0"/>
        <v>-14.799999999999613</v>
      </c>
      <c r="H30">
        <v>30</v>
      </c>
      <c r="I30" s="4">
        <v>142.61000000000001</v>
      </c>
      <c r="J30">
        <f t="shared" si="1"/>
        <v>-17.799999999999727</v>
      </c>
      <c r="R30">
        <v>29</v>
      </c>
      <c r="S30" s="4">
        <v>170.07</v>
      </c>
      <c r="T30">
        <f t="shared" si="2"/>
        <v>-16.999999999999886</v>
      </c>
      <c r="AC30">
        <v>29</v>
      </c>
      <c r="AD30">
        <v>152.15</v>
      </c>
      <c r="AE30">
        <f t="shared" si="3"/>
        <v>-6.9999999999998863</v>
      </c>
      <c r="AN30">
        <v>29</v>
      </c>
      <c r="AO30">
        <v>159.76</v>
      </c>
      <c r="AP30">
        <f t="shared" si="4"/>
        <v>-10</v>
      </c>
      <c r="AY30">
        <v>29</v>
      </c>
      <c r="AZ30">
        <v>199.22</v>
      </c>
      <c r="BA30">
        <f t="shared" si="5"/>
        <v>-3.9999999999997726</v>
      </c>
    </row>
    <row r="31" spans="1:53" x14ac:dyDescent="0.25">
      <c r="A31">
        <v>31</v>
      </c>
      <c r="B31">
        <v>150.37</v>
      </c>
      <c r="C31">
        <f t="shared" si="0"/>
        <v>-12.400000000000091</v>
      </c>
      <c r="H31">
        <v>31</v>
      </c>
      <c r="I31" s="4">
        <v>142.07</v>
      </c>
      <c r="J31">
        <f t="shared" si="1"/>
        <v>-10.800000000000409</v>
      </c>
      <c r="R31">
        <v>30</v>
      </c>
      <c r="S31" s="4">
        <v>169.18</v>
      </c>
      <c r="T31">
        <f t="shared" si="2"/>
        <v>-17.799999999999727</v>
      </c>
      <c r="AC31">
        <v>30</v>
      </c>
      <c r="AD31">
        <v>151.49</v>
      </c>
      <c r="AE31">
        <f t="shared" si="3"/>
        <v>-13.199999999999932</v>
      </c>
      <c r="AN31">
        <v>30</v>
      </c>
      <c r="AO31">
        <v>159.13999999999999</v>
      </c>
      <c r="AP31">
        <f t="shared" si="4"/>
        <v>-12.400000000000091</v>
      </c>
      <c r="AY31">
        <v>30</v>
      </c>
      <c r="AZ31">
        <v>198.99</v>
      </c>
      <c r="BA31">
        <f t="shared" si="5"/>
        <v>-4.5999999999997954</v>
      </c>
    </row>
    <row r="32" spans="1:53" x14ac:dyDescent="0.25">
      <c r="A32">
        <v>32</v>
      </c>
      <c r="B32">
        <v>149.72</v>
      </c>
      <c r="C32">
        <f t="shared" si="0"/>
        <v>-13.000000000000114</v>
      </c>
      <c r="H32">
        <v>32</v>
      </c>
      <c r="I32" s="4">
        <v>141.30000000000001</v>
      </c>
      <c r="J32">
        <f t="shared" si="1"/>
        <v>-15.399999999999636</v>
      </c>
      <c r="R32">
        <v>31</v>
      </c>
      <c r="S32" s="4">
        <v>168.52</v>
      </c>
      <c r="T32">
        <f t="shared" si="2"/>
        <v>-13.199999999999932</v>
      </c>
      <c r="AC32">
        <v>31</v>
      </c>
      <c r="AD32">
        <v>150.80000000000001</v>
      </c>
      <c r="AE32">
        <f t="shared" si="3"/>
        <v>-13.799999999999955</v>
      </c>
      <c r="AN32">
        <v>31</v>
      </c>
      <c r="AO32">
        <v>158.72</v>
      </c>
      <c r="AP32">
        <f t="shared" si="4"/>
        <v>-8.3999999999997499</v>
      </c>
      <c r="AY32">
        <v>31</v>
      </c>
      <c r="AZ32">
        <v>198.76</v>
      </c>
      <c r="BA32">
        <f t="shared" si="5"/>
        <v>-4.6000000000003638</v>
      </c>
    </row>
    <row r="33" spans="1:53" x14ac:dyDescent="0.25">
      <c r="A33">
        <v>33</v>
      </c>
      <c r="B33">
        <v>149.1</v>
      </c>
      <c r="C33">
        <f t="shared" si="0"/>
        <v>-12.400000000000091</v>
      </c>
      <c r="H33">
        <v>33</v>
      </c>
      <c r="I33" s="4">
        <v>140.57</v>
      </c>
      <c r="J33">
        <f t="shared" si="1"/>
        <v>-14.600000000000364</v>
      </c>
      <c r="R33">
        <v>32</v>
      </c>
      <c r="S33" s="4">
        <v>167.71</v>
      </c>
      <c r="T33">
        <f t="shared" si="2"/>
        <v>-16.200000000000045</v>
      </c>
      <c r="AC33">
        <v>32</v>
      </c>
      <c r="AD33">
        <v>150.18</v>
      </c>
      <c r="AE33">
        <f t="shared" si="3"/>
        <v>-12.400000000000091</v>
      </c>
      <c r="AN33">
        <v>32</v>
      </c>
      <c r="AO33">
        <v>158.16999999999999</v>
      </c>
      <c r="AP33">
        <f t="shared" si="4"/>
        <v>-11.000000000000227</v>
      </c>
      <c r="AY33">
        <v>32</v>
      </c>
      <c r="AZ33">
        <v>198.53</v>
      </c>
      <c r="BA33">
        <f t="shared" si="5"/>
        <v>-4.5999999999997954</v>
      </c>
    </row>
    <row r="34" spans="1:53" x14ac:dyDescent="0.25">
      <c r="A34">
        <v>34</v>
      </c>
      <c r="B34">
        <v>148.44</v>
      </c>
      <c r="C34">
        <f t="shared" si="0"/>
        <v>-13.199999999999932</v>
      </c>
      <c r="H34">
        <v>34</v>
      </c>
      <c r="I34" s="4">
        <v>139.87</v>
      </c>
      <c r="J34">
        <f t="shared" si="1"/>
        <v>-13.999999999999773</v>
      </c>
      <c r="R34">
        <v>33</v>
      </c>
      <c r="S34" s="4">
        <v>167.13</v>
      </c>
      <c r="T34">
        <f t="shared" si="2"/>
        <v>-11.60000000000025</v>
      </c>
      <c r="AC34">
        <v>33</v>
      </c>
      <c r="AD34">
        <v>149.56</v>
      </c>
      <c r="AE34">
        <f t="shared" si="3"/>
        <v>-12.400000000000091</v>
      </c>
      <c r="AN34">
        <v>33</v>
      </c>
      <c r="AO34">
        <v>157.63</v>
      </c>
      <c r="AP34">
        <f t="shared" si="4"/>
        <v>-10.799999999999841</v>
      </c>
      <c r="AY34">
        <v>33</v>
      </c>
      <c r="AZ34">
        <v>198.34</v>
      </c>
      <c r="BA34">
        <f t="shared" si="5"/>
        <v>-3.7999999999999545</v>
      </c>
    </row>
    <row r="35" spans="1:53" x14ac:dyDescent="0.25">
      <c r="A35">
        <v>35</v>
      </c>
      <c r="B35">
        <v>147.83000000000001</v>
      </c>
      <c r="C35">
        <f t="shared" si="0"/>
        <v>-12.199999999999704</v>
      </c>
      <c r="H35">
        <v>35</v>
      </c>
      <c r="I35" s="4">
        <v>139.1</v>
      </c>
      <c r="J35">
        <f t="shared" si="1"/>
        <v>-15.400000000000205</v>
      </c>
      <c r="R35">
        <v>34</v>
      </c>
      <c r="S35" s="4">
        <v>166.75</v>
      </c>
      <c r="T35">
        <f t="shared" si="2"/>
        <v>-7.5999999999999091</v>
      </c>
      <c r="AC35">
        <v>34</v>
      </c>
      <c r="AD35">
        <v>148.94999999999999</v>
      </c>
      <c r="AE35">
        <f t="shared" si="3"/>
        <v>-12.200000000000273</v>
      </c>
      <c r="AN35">
        <v>34</v>
      </c>
      <c r="AO35">
        <v>157.25</v>
      </c>
      <c r="AP35">
        <f t="shared" si="4"/>
        <v>-7.5999999999999091</v>
      </c>
      <c r="AY35">
        <v>34</v>
      </c>
      <c r="AZ35">
        <v>198.49</v>
      </c>
      <c r="BA35">
        <f t="shared" si="5"/>
        <v>3.0000000000001137</v>
      </c>
    </row>
    <row r="36" spans="1:53" x14ac:dyDescent="0.25">
      <c r="A36">
        <v>36</v>
      </c>
      <c r="B36">
        <v>147.16999999999999</v>
      </c>
      <c r="C36">
        <f t="shared" si="0"/>
        <v>-13.2000000000005</v>
      </c>
      <c r="H36">
        <v>36</v>
      </c>
      <c r="I36" s="4">
        <v>138.4</v>
      </c>
      <c r="J36">
        <f t="shared" si="1"/>
        <v>-13.999999999999773</v>
      </c>
      <c r="R36">
        <v>35</v>
      </c>
      <c r="S36" s="4">
        <v>166.44</v>
      </c>
      <c r="T36">
        <f t="shared" si="2"/>
        <v>-6.2000000000000455</v>
      </c>
      <c r="AC36">
        <v>35</v>
      </c>
      <c r="AD36">
        <v>148.33000000000001</v>
      </c>
      <c r="AE36">
        <f t="shared" si="3"/>
        <v>-12.399999999999523</v>
      </c>
      <c r="AN36">
        <v>35</v>
      </c>
      <c r="AO36">
        <v>156.66999999999999</v>
      </c>
      <c r="AP36">
        <f t="shared" si="4"/>
        <v>-11.60000000000025</v>
      </c>
      <c r="AY36">
        <v>35</v>
      </c>
      <c r="AZ36">
        <v>198.57</v>
      </c>
      <c r="BA36">
        <f t="shared" si="5"/>
        <v>1.5999999999996817</v>
      </c>
    </row>
    <row r="37" spans="1:53" x14ac:dyDescent="0.25">
      <c r="A37">
        <v>37</v>
      </c>
      <c r="B37">
        <v>146.55000000000001</v>
      </c>
      <c r="C37">
        <f t="shared" si="0"/>
        <v>-12.399999999999523</v>
      </c>
      <c r="H37">
        <v>37</v>
      </c>
      <c r="I37" s="4">
        <v>137.86000000000001</v>
      </c>
      <c r="J37">
        <f t="shared" si="1"/>
        <v>-10.799999999999841</v>
      </c>
      <c r="R37">
        <v>36</v>
      </c>
      <c r="S37" s="4">
        <v>165.55</v>
      </c>
      <c r="T37">
        <f t="shared" si="2"/>
        <v>-17.799999999999727</v>
      </c>
      <c r="AC37">
        <v>36</v>
      </c>
      <c r="AD37">
        <v>147.75</v>
      </c>
      <c r="AE37">
        <f t="shared" si="3"/>
        <v>-11.60000000000025</v>
      </c>
      <c r="AN37">
        <v>36</v>
      </c>
      <c r="AO37">
        <v>156.21</v>
      </c>
      <c r="AP37">
        <f t="shared" si="4"/>
        <v>-9.1999999999995907</v>
      </c>
      <c r="AY37">
        <v>36</v>
      </c>
      <c r="AZ37">
        <v>198.53</v>
      </c>
      <c r="BA37">
        <f t="shared" si="5"/>
        <v>-0.79999999999984084</v>
      </c>
    </row>
    <row r="38" spans="1:53" x14ac:dyDescent="0.25">
      <c r="A38">
        <v>38</v>
      </c>
      <c r="B38">
        <v>145.93</v>
      </c>
      <c r="C38">
        <f t="shared" si="0"/>
        <v>-12.400000000000091</v>
      </c>
      <c r="H38">
        <v>38</v>
      </c>
      <c r="I38" s="4">
        <v>137.21</v>
      </c>
      <c r="J38">
        <f t="shared" si="1"/>
        <v>-13.000000000000114</v>
      </c>
      <c r="R38">
        <v>37</v>
      </c>
      <c r="S38" s="4">
        <v>164.93</v>
      </c>
      <c r="T38">
        <f t="shared" si="2"/>
        <v>-12.400000000000091</v>
      </c>
      <c r="AC38">
        <v>37</v>
      </c>
      <c r="AD38">
        <v>147.13</v>
      </c>
      <c r="AE38">
        <f t="shared" si="3"/>
        <v>-12.400000000000091</v>
      </c>
      <c r="AN38">
        <v>37</v>
      </c>
      <c r="AO38">
        <v>155.82</v>
      </c>
      <c r="AP38">
        <f t="shared" si="4"/>
        <v>-7.8000000000002956</v>
      </c>
      <c r="AY38">
        <v>37</v>
      </c>
      <c r="AZ38">
        <v>198.07</v>
      </c>
      <c r="BA38">
        <f t="shared" si="5"/>
        <v>-9.2000000000001592</v>
      </c>
    </row>
    <row r="39" spans="1:53" x14ac:dyDescent="0.25">
      <c r="A39">
        <v>39</v>
      </c>
      <c r="B39">
        <v>145.35</v>
      </c>
      <c r="C39">
        <f t="shared" si="0"/>
        <v>-11.60000000000025</v>
      </c>
      <c r="H39">
        <v>39</v>
      </c>
      <c r="I39" s="4">
        <v>136.59</v>
      </c>
      <c r="J39">
        <f t="shared" si="1"/>
        <v>-12.400000000000091</v>
      </c>
      <c r="R39">
        <v>38</v>
      </c>
      <c r="S39" s="4">
        <v>164.16</v>
      </c>
      <c r="T39">
        <f t="shared" si="2"/>
        <v>-15.400000000000205</v>
      </c>
      <c r="AC39">
        <v>38</v>
      </c>
      <c r="AD39">
        <v>146.51</v>
      </c>
      <c r="AE39">
        <f t="shared" si="3"/>
        <v>-12.400000000000091</v>
      </c>
      <c r="AN39">
        <v>38</v>
      </c>
      <c r="AO39">
        <v>155.43</v>
      </c>
      <c r="AP39">
        <f t="shared" si="4"/>
        <v>-7.7999999999997272</v>
      </c>
      <c r="AY39">
        <v>38</v>
      </c>
      <c r="AZ39">
        <v>197.68</v>
      </c>
      <c r="BA39">
        <f t="shared" si="5"/>
        <v>-7.7999999999997272</v>
      </c>
    </row>
    <row r="40" spans="1:53" x14ac:dyDescent="0.25">
      <c r="A40">
        <v>40</v>
      </c>
      <c r="B40">
        <v>144.77000000000001</v>
      </c>
      <c r="C40">
        <f t="shared" si="0"/>
        <v>-11.599999999999682</v>
      </c>
      <c r="H40">
        <v>40</v>
      </c>
      <c r="I40" s="4">
        <v>135.97</v>
      </c>
      <c r="J40">
        <f t="shared" si="1"/>
        <v>-12.400000000000091</v>
      </c>
      <c r="R40">
        <v>39</v>
      </c>
      <c r="S40" s="4">
        <v>163.47</v>
      </c>
      <c r="T40">
        <f t="shared" si="2"/>
        <v>-13.799999999999955</v>
      </c>
      <c r="AC40">
        <v>39</v>
      </c>
      <c r="AD40">
        <v>145.93</v>
      </c>
      <c r="AE40">
        <f t="shared" si="3"/>
        <v>-11.599999999999682</v>
      </c>
      <c r="AN40">
        <v>39</v>
      </c>
      <c r="AO40">
        <v>155.47</v>
      </c>
      <c r="AP40">
        <f t="shared" si="4"/>
        <v>0.79999999999984084</v>
      </c>
      <c r="AY40">
        <v>39</v>
      </c>
      <c r="AZ40">
        <v>197.37</v>
      </c>
      <c r="BA40">
        <f t="shared" si="5"/>
        <v>-6.2000000000000455</v>
      </c>
    </row>
    <row r="41" spans="1:53" x14ac:dyDescent="0.25">
      <c r="A41">
        <v>41</v>
      </c>
      <c r="B41">
        <v>144.16</v>
      </c>
      <c r="C41">
        <f t="shared" si="0"/>
        <v>-12.200000000000273</v>
      </c>
      <c r="H41">
        <v>41</v>
      </c>
      <c r="I41" s="4">
        <v>135.35</v>
      </c>
      <c r="J41">
        <f t="shared" si="1"/>
        <v>-12.400000000000091</v>
      </c>
      <c r="R41">
        <v>40</v>
      </c>
      <c r="S41" s="4">
        <v>162.81</v>
      </c>
      <c r="T41">
        <f t="shared" si="2"/>
        <v>-13.199999999999932</v>
      </c>
      <c r="AC41">
        <v>40</v>
      </c>
      <c r="AD41">
        <v>145.32</v>
      </c>
      <c r="AE41">
        <f t="shared" si="3"/>
        <v>-12.200000000000273</v>
      </c>
      <c r="AN41">
        <v>40</v>
      </c>
      <c r="AO41">
        <v>155.19999999999999</v>
      </c>
      <c r="AP41">
        <f t="shared" si="4"/>
        <v>-5.4000000000002046</v>
      </c>
      <c r="AY41">
        <v>40</v>
      </c>
      <c r="AZ41">
        <v>197.06</v>
      </c>
      <c r="BA41">
        <f t="shared" si="5"/>
        <v>-6.2000000000000455</v>
      </c>
    </row>
    <row r="42" spans="1:53" x14ac:dyDescent="0.25">
      <c r="A42">
        <v>42</v>
      </c>
      <c r="B42">
        <v>143.54</v>
      </c>
      <c r="C42">
        <f t="shared" si="0"/>
        <v>-12.400000000000091</v>
      </c>
      <c r="H42">
        <v>42</v>
      </c>
      <c r="I42" s="4">
        <v>134.77000000000001</v>
      </c>
      <c r="J42">
        <f t="shared" si="1"/>
        <v>-11.599999999999682</v>
      </c>
      <c r="R42">
        <v>41</v>
      </c>
      <c r="S42" s="4">
        <v>162.11000000000001</v>
      </c>
      <c r="T42">
        <f t="shared" si="2"/>
        <v>-13.999999999999773</v>
      </c>
      <c r="AC42">
        <v>41</v>
      </c>
      <c r="AD42">
        <v>144.81</v>
      </c>
      <c r="AE42">
        <f t="shared" si="3"/>
        <v>-10.199999999999818</v>
      </c>
      <c r="AN42">
        <v>41</v>
      </c>
      <c r="AO42">
        <v>154.69999999999999</v>
      </c>
      <c r="AP42">
        <f t="shared" si="4"/>
        <v>-10</v>
      </c>
      <c r="AY42">
        <v>41</v>
      </c>
      <c r="AZ42">
        <v>196.83</v>
      </c>
      <c r="BA42">
        <f t="shared" si="5"/>
        <v>-4.5999999999997954</v>
      </c>
    </row>
    <row r="43" spans="1:53" x14ac:dyDescent="0.25">
      <c r="A43">
        <v>43</v>
      </c>
      <c r="B43">
        <v>143</v>
      </c>
      <c r="C43">
        <f t="shared" si="0"/>
        <v>-10.799999999999841</v>
      </c>
      <c r="H43">
        <v>43</v>
      </c>
      <c r="I43" s="4">
        <v>134.27000000000001</v>
      </c>
      <c r="J43">
        <f t="shared" si="1"/>
        <v>-10</v>
      </c>
      <c r="R43">
        <v>42</v>
      </c>
      <c r="S43" s="4">
        <v>161.46</v>
      </c>
      <c r="T43">
        <f t="shared" si="2"/>
        <v>-13.000000000000114</v>
      </c>
      <c r="AC43">
        <v>42</v>
      </c>
      <c r="AD43">
        <v>144.19999999999999</v>
      </c>
      <c r="AE43">
        <f t="shared" si="3"/>
        <v>-12.200000000000273</v>
      </c>
      <c r="AN43">
        <v>42</v>
      </c>
      <c r="AO43">
        <v>154.19999999999999</v>
      </c>
      <c r="AP43">
        <f t="shared" si="4"/>
        <v>-10</v>
      </c>
      <c r="AY43">
        <v>42</v>
      </c>
      <c r="AZ43">
        <v>196.71</v>
      </c>
      <c r="BA43">
        <f t="shared" si="5"/>
        <v>-2.4000000000000909</v>
      </c>
    </row>
    <row r="44" spans="1:53" x14ac:dyDescent="0.25">
      <c r="A44">
        <v>44</v>
      </c>
      <c r="B44">
        <v>142.41999999999999</v>
      </c>
      <c r="C44">
        <f t="shared" si="0"/>
        <v>-11.60000000000025</v>
      </c>
      <c r="H44">
        <v>44</v>
      </c>
      <c r="I44" s="4">
        <v>133.72999999999999</v>
      </c>
      <c r="J44">
        <f t="shared" si="1"/>
        <v>-10.800000000000409</v>
      </c>
      <c r="R44">
        <v>43</v>
      </c>
      <c r="S44" s="4">
        <v>160.84</v>
      </c>
      <c r="T44">
        <f t="shared" si="2"/>
        <v>-12.400000000000091</v>
      </c>
      <c r="AC44">
        <v>43</v>
      </c>
      <c r="AD44">
        <v>143.69</v>
      </c>
      <c r="AE44">
        <f t="shared" si="3"/>
        <v>-10.199999999999818</v>
      </c>
      <c r="AN44">
        <v>43</v>
      </c>
      <c r="AO44">
        <v>153.54</v>
      </c>
      <c r="AP44">
        <f t="shared" si="4"/>
        <v>-13.199999999999932</v>
      </c>
      <c r="AY44">
        <v>43</v>
      </c>
      <c r="AZ44">
        <v>196.56</v>
      </c>
      <c r="BA44">
        <f t="shared" si="5"/>
        <v>-3.0000000000001137</v>
      </c>
    </row>
    <row r="45" spans="1:53" x14ac:dyDescent="0.25">
      <c r="A45">
        <v>45</v>
      </c>
      <c r="B45">
        <v>141.72</v>
      </c>
      <c r="C45">
        <f t="shared" si="0"/>
        <v>-13.999999999999773</v>
      </c>
      <c r="H45">
        <v>45</v>
      </c>
      <c r="I45" s="4">
        <v>133.58000000000001</v>
      </c>
      <c r="J45">
        <f t="shared" si="1"/>
        <v>-2.9999999999995453</v>
      </c>
      <c r="R45">
        <v>44</v>
      </c>
      <c r="S45" s="4">
        <v>160.22</v>
      </c>
      <c r="T45">
        <f t="shared" si="2"/>
        <v>-12.400000000000091</v>
      </c>
      <c r="AC45">
        <v>44</v>
      </c>
      <c r="AD45">
        <v>143.08000000000001</v>
      </c>
      <c r="AE45">
        <f t="shared" si="3"/>
        <v>-12.199999999999704</v>
      </c>
      <c r="AN45">
        <v>44</v>
      </c>
      <c r="AO45">
        <v>153.12</v>
      </c>
      <c r="AP45">
        <f t="shared" si="4"/>
        <v>-8.3999999999997499</v>
      </c>
      <c r="AY45">
        <v>44</v>
      </c>
      <c r="AZ45">
        <v>196.29</v>
      </c>
      <c r="BA45">
        <f t="shared" si="5"/>
        <v>-5.4000000000002046</v>
      </c>
    </row>
    <row r="46" spans="1:53" x14ac:dyDescent="0.25">
      <c r="A46">
        <v>46</v>
      </c>
      <c r="B46">
        <v>141.22</v>
      </c>
      <c r="C46">
        <f t="shared" si="0"/>
        <v>-10</v>
      </c>
      <c r="H46">
        <v>46</v>
      </c>
      <c r="I46" s="4">
        <v>132.96</v>
      </c>
      <c r="J46">
        <f t="shared" si="1"/>
        <v>-12.400000000000091</v>
      </c>
      <c r="R46">
        <v>45</v>
      </c>
      <c r="S46" s="4">
        <v>159.68</v>
      </c>
      <c r="T46">
        <f t="shared" si="2"/>
        <v>-10.799999999999841</v>
      </c>
      <c r="AC46">
        <v>45</v>
      </c>
      <c r="AD46">
        <v>142.5</v>
      </c>
      <c r="AE46">
        <f t="shared" si="3"/>
        <v>-11.60000000000025</v>
      </c>
      <c r="AN46">
        <v>45</v>
      </c>
      <c r="AO46">
        <v>152.69</v>
      </c>
      <c r="AP46">
        <f t="shared" si="4"/>
        <v>-8.6000000000001364</v>
      </c>
      <c r="AY46">
        <v>45</v>
      </c>
      <c r="AZ46">
        <v>196.1</v>
      </c>
      <c r="BA46">
        <f t="shared" si="5"/>
        <v>-3.7999999999999545</v>
      </c>
    </row>
    <row r="47" spans="1:53" x14ac:dyDescent="0.25">
      <c r="A47">
        <v>47</v>
      </c>
      <c r="B47">
        <v>140.91</v>
      </c>
      <c r="C47">
        <f t="shared" si="0"/>
        <v>-6.2000000000000455</v>
      </c>
      <c r="H47">
        <v>47</v>
      </c>
      <c r="I47" s="4">
        <v>132.38</v>
      </c>
      <c r="J47">
        <f t="shared" si="1"/>
        <v>-11.60000000000025</v>
      </c>
      <c r="R47">
        <v>46</v>
      </c>
      <c r="S47" s="4">
        <v>159.13999999999999</v>
      </c>
      <c r="T47">
        <f t="shared" si="2"/>
        <v>-10.800000000000409</v>
      </c>
      <c r="AC47">
        <v>46</v>
      </c>
      <c r="AD47">
        <v>141.99</v>
      </c>
      <c r="AE47">
        <f t="shared" si="3"/>
        <v>-10.199999999999818</v>
      </c>
      <c r="AN47">
        <v>46</v>
      </c>
      <c r="AO47">
        <v>152.27000000000001</v>
      </c>
      <c r="AP47">
        <f t="shared" si="4"/>
        <v>-8.3999999999997499</v>
      </c>
      <c r="AY47">
        <v>46</v>
      </c>
      <c r="AZ47">
        <v>195.86</v>
      </c>
      <c r="BA47">
        <f t="shared" si="5"/>
        <v>-4.7999999999996135</v>
      </c>
    </row>
    <row r="48" spans="1:53" x14ac:dyDescent="0.25">
      <c r="A48">
        <v>48</v>
      </c>
      <c r="B48">
        <v>140.49</v>
      </c>
      <c r="C48">
        <f t="shared" si="0"/>
        <v>-8.3999999999997499</v>
      </c>
      <c r="H48">
        <v>48</v>
      </c>
      <c r="I48" s="4">
        <v>131.84</v>
      </c>
      <c r="J48">
        <f t="shared" si="1"/>
        <v>-10.799999999999841</v>
      </c>
      <c r="R48">
        <v>47</v>
      </c>
      <c r="S48" s="4">
        <v>158.63999999999999</v>
      </c>
      <c r="T48">
        <f t="shared" si="2"/>
        <v>-10</v>
      </c>
      <c r="AC48">
        <v>47</v>
      </c>
      <c r="AD48">
        <v>141.44999999999999</v>
      </c>
      <c r="AE48">
        <f t="shared" si="3"/>
        <v>-10.800000000000409</v>
      </c>
      <c r="AN48">
        <v>47</v>
      </c>
      <c r="AO48">
        <v>151.72999999999999</v>
      </c>
      <c r="AP48">
        <f t="shared" si="4"/>
        <v>-10.800000000000409</v>
      </c>
      <c r="AY48">
        <v>47</v>
      </c>
      <c r="AZ48">
        <v>195.63</v>
      </c>
      <c r="BA48">
        <f t="shared" si="5"/>
        <v>-4.6000000000003638</v>
      </c>
    </row>
    <row r="49" spans="1:53" x14ac:dyDescent="0.25">
      <c r="A49">
        <v>49</v>
      </c>
      <c r="B49">
        <v>139.75</v>
      </c>
      <c r="C49">
        <f t="shared" si="0"/>
        <v>-14.800000000000182</v>
      </c>
      <c r="H49">
        <v>49</v>
      </c>
      <c r="I49" s="4">
        <v>131.22</v>
      </c>
      <c r="J49">
        <f t="shared" si="1"/>
        <v>-12.400000000000091</v>
      </c>
      <c r="R49">
        <v>48</v>
      </c>
      <c r="S49" s="4">
        <v>158.1</v>
      </c>
      <c r="T49">
        <f t="shared" si="2"/>
        <v>-10.799999999999841</v>
      </c>
      <c r="AC49">
        <v>48</v>
      </c>
      <c r="AD49">
        <v>140.94999999999999</v>
      </c>
      <c r="AE49">
        <f t="shared" si="3"/>
        <v>-10</v>
      </c>
      <c r="AN49">
        <v>48</v>
      </c>
      <c r="AO49">
        <v>151.34</v>
      </c>
      <c r="AP49">
        <f t="shared" si="4"/>
        <v>-7.7999999999997272</v>
      </c>
      <c r="AY49">
        <v>48</v>
      </c>
      <c r="AZ49">
        <v>195.32</v>
      </c>
      <c r="BA49">
        <f t="shared" si="5"/>
        <v>-6.2000000000000455</v>
      </c>
    </row>
    <row r="50" spans="1:53" x14ac:dyDescent="0.25">
      <c r="A50">
        <v>50</v>
      </c>
      <c r="B50">
        <v>139.1</v>
      </c>
      <c r="C50">
        <f t="shared" si="0"/>
        <v>-13.000000000000114</v>
      </c>
      <c r="H50">
        <v>50</v>
      </c>
      <c r="I50" s="4">
        <v>130.72</v>
      </c>
      <c r="J50">
        <f t="shared" si="1"/>
        <v>-10</v>
      </c>
      <c r="R50">
        <v>49</v>
      </c>
      <c r="S50" s="4">
        <v>158.06</v>
      </c>
      <c r="T50">
        <f t="shared" si="2"/>
        <v>-0.79999999999984084</v>
      </c>
      <c r="AC50">
        <v>49</v>
      </c>
      <c r="AD50">
        <v>140.37</v>
      </c>
      <c r="AE50">
        <f t="shared" si="3"/>
        <v>-11.599999999999682</v>
      </c>
      <c r="AN50">
        <v>49</v>
      </c>
      <c r="AO50">
        <v>150.91</v>
      </c>
      <c r="AP50">
        <f t="shared" si="4"/>
        <v>-8.6000000000001364</v>
      </c>
      <c r="AY50">
        <v>49</v>
      </c>
      <c r="AZ50">
        <v>195.13</v>
      </c>
      <c r="BA50">
        <f t="shared" si="5"/>
        <v>-3.7999999999999545</v>
      </c>
    </row>
    <row r="51" spans="1:53" x14ac:dyDescent="0.25">
      <c r="A51">
        <v>51</v>
      </c>
      <c r="B51">
        <v>138.6</v>
      </c>
      <c r="C51">
        <f t="shared" si="0"/>
        <v>-10</v>
      </c>
      <c r="H51">
        <v>51</v>
      </c>
      <c r="I51" s="4">
        <v>130.29</v>
      </c>
      <c r="J51">
        <f t="shared" si="1"/>
        <v>-8.6000000000001364</v>
      </c>
      <c r="R51">
        <v>50</v>
      </c>
      <c r="S51" s="4">
        <v>157.9</v>
      </c>
      <c r="T51">
        <f t="shared" si="2"/>
        <v>-3.1999999999999318</v>
      </c>
      <c r="AC51">
        <v>50</v>
      </c>
      <c r="AD51">
        <v>139.83000000000001</v>
      </c>
      <c r="AE51">
        <f t="shared" si="3"/>
        <v>-10.799999999999841</v>
      </c>
      <c r="AN51">
        <v>50</v>
      </c>
      <c r="AO51">
        <v>150.49</v>
      </c>
      <c r="AP51">
        <f t="shared" si="4"/>
        <v>-8.3999999999997499</v>
      </c>
      <c r="AY51">
        <v>50</v>
      </c>
      <c r="AZ51">
        <v>194.86</v>
      </c>
      <c r="BA51">
        <f t="shared" si="5"/>
        <v>-5.3999999999996362</v>
      </c>
    </row>
    <row r="52" spans="1:53" x14ac:dyDescent="0.25">
      <c r="A52">
        <v>52</v>
      </c>
      <c r="B52">
        <v>138.02000000000001</v>
      </c>
      <c r="C52">
        <f t="shared" si="0"/>
        <v>-11.599999999999682</v>
      </c>
      <c r="H52">
        <v>52</v>
      </c>
      <c r="I52" s="4">
        <v>129.75</v>
      </c>
      <c r="J52">
        <f t="shared" si="1"/>
        <v>-10.799999999999841</v>
      </c>
      <c r="R52">
        <v>51</v>
      </c>
      <c r="S52" s="4">
        <v>157.13</v>
      </c>
      <c r="T52">
        <f t="shared" si="2"/>
        <v>-15.400000000000205</v>
      </c>
      <c r="AC52">
        <v>51</v>
      </c>
      <c r="AD52">
        <v>139.21</v>
      </c>
      <c r="AE52">
        <f t="shared" si="3"/>
        <v>-12.400000000000091</v>
      </c>
      <c r="AN52">
        <v>51</v>
      </c>
      <c r="AO52">
        <v>150.13999999999999</v>
      </c>
      <c r="AP52">
        <f t="shared" si="4"/>
        <v>-7.0000000000004547</v>
      </c>
      <c r="AY52">
        <v>51</v>
      </c>
      <c r="AZ52">
        <v>194.71</v>
      </c>
      <c r="BA52">
        <f t="shared" si="5"/>
        <v>-3.0000000000001137</v>
      </c>
    </row>
    <row r="53" spans="1:53" x14ac:dyDescent="0.25">
      <c r="A53">
        <v>53</v>
      </c>
      <c r="B53">
        <v>137.44</v>
      </c>
      <c r="C53">
        <f t="shared" si="0"/>
        <v>-11.60000000000025</v>
      </c>
      <c r="H53">
        <v>53</v>
      </c>
      <c r="I53" s="4">
        <v>129.25</v>
      </c>
      <c r="J53">
        <f t="shared" si="1"/>
        <v>-10</v>
      </c>
      <c r="R53">
        <v>52</v>
      </c>
      <c r="S53" s="4">
        <v>156.55000000000001</v>
      </c>
      <c r="T53">
        <f t="shared" si="2"/>
        <v>-11.599999999999682</v>
      </c>
      <c r="AC53">
        <v>52</v>
      </c>
      <c r="AD53">
        <v>138.79</v>
      </c>
      <c r="AE53">
        <f t="shared" si="3"/>
        <v>-8.4000000000003183</v>
      </c>
      <c r="AN53">
        <v>52</v>
      </c>
      <c r="AO53">
        <v>150.30000000000001</v>
      </c>
      <c r="AP53">
        <f t="shared" si="4"/>
        <v>3.2000000000005002</v>
      </c>
      <c r="AY53">
        <v>52</v>
      </c>
      <c r="AZ53">
        <v>194.51</v>
      </c>
      <c r="BA53">
        <f t="shared" si="5"/>
        <v>-4.0000000000003411</v>
      </c>
    </row>
    <row r="54" spans="1:53" x14ac:dyDescent="0.25">
      <c r="A54">
        <v>54</v>
      </c>
      <c r="B54">
        <v>136.86000000000001</v>
      </c>
      <c r="C54">
        <f t="shared" si="0"/>
        <v>-11.599999999999682</v>
      </c>
      <c r="H54">
        <v>54</v>
      </c>
      <c r="I54" s="4">
        <v>128.75</v>
      </c>
      <c r="J54">
        <f t="shared" si="1"/>
        <v>-10</v>
      </c>
      <c r="R54">
        <v>53</v>
      </c>
      <c r="S54" s="4">
        <v>155.69999999999999</v>
      </c>
      <c r="T54">
        <f t="shared" si="2"/>
        <v>-17.000000000000455</v>
      </c>
      <c r="AC54">
        <v>53</v>
      </c>
      <c r="AD54">
        <v>138.47999999999999</v>
      </c>
      <c r="AE54">
        <f t="shared" si="3"/>
        <v>-6.2000000000000455</v>
      </c>
      <c r="AN54">
        <v>53</v>
      </c>
      <c r="AO54">
        <v>150.1</v>
      </c>
      <c r="AP54">
        <f t="shared" si="4"/>
        <v>-4.0000000000003411</v>
      </c>
      <c r="AY54">
        <v>53</v>
      </c>
      <c r="AZ54">
        <v>194.32</v>
      </c>
      <c r="BA54">
        <f t="shared" si="5"/>
        <v>-3.7999999999999545</v>
      </c>
    </row>
    <row r="55" spans="1:53" x14ac:dyDescent="0.25">
      <c r="A55">
        <v>55</v>
      </c>
      <c r="B55">
        <v>136.36000000000001</v>
      </c>
      <c r="C55">
        <f t="shared" si="0"/>
        <v>-10</v>
      </c>
      <c r="H55">
        <v>55</v>
      </c>
      <c r="I55" s="4">
        <v>128.25</v>
      </c>
      <c r="J55">
        <f t="shared" si="1"/>
        <v>-10</v>
      </c>
      <c r="R55">
        <v>54</v>
      </c>
      <c r="S55" s="4">
        <v>155.09</v>
      </c>
      <c r="T55">
        <f t="shared" si="2"/>
        <v>-12.199999999999704</v>
      </c>
      <c r="AC55">
        <v>54</v>
      </c>
      <c r="AD55">
        <v>138.06</v>
      </c>
      <c r="AE55">
        <f t="shared" si="3"/>
        <v>-8.3999999999997499</v>
      </c>
      <c r="AN55">
        <v>54</v>
      </c>
      <c r="AO55">
        <v>149.6</v>
      </c>
      <c r="AP55">
        <f t="shared" si="4"/>
        <v>-10</v>
      </c>
      <c r="AY55">
        <v>54</v>
      </c>
      <c r="AZ55">
        <v>194.4</v>
      </c>
      <c r="BA55">
        <f t="shared" si="5"/>
        <v>1.6000000000002501</v>
      </c>
    </row>
    <row r="56" spans="1:53" x14ac:dyDescent="0.25">
      <c r="A56">
        <v>56</v>
      </c>
      <c r="B56">
        <v>135.74</v>
      </c>
      <c r="C56">
        <f t="shared" si="0"/>
        <v>-12.400000000000091</v>
      </c>
      <c r="H56">
        <v>56</v>
      </c>
      <c r="I56" s="4">
        <v>127.74</v>
      </c>
      <c r="J56">
        <f t="shared" si="1"/>
        <v>-10.200000000000102</v>
      </c>
      <c r="R56">
        <v>55</v>
      </c>
      <c r="S56" s="4">
        <v>154.51</v>
      </c>
      <c r="T56">
        <f t="shared" si="2"/>
        <v>-11.60000000000025</v>
      </c>
      <c r="AC56">
        <v>55</v>
      </c>
      <c r="AD56">
        <v>137.44</v>
      </c>
      <c r="AE56">
        <f t="shared" si="3"/>
        <v>-12.400000000000091</v>
      </c>
      <c r="AN56">
        <v>55</v>
      </c>
      <c r="AO56">
        <v>148.94999999999999</v>
      </c>
      <c r="AP56">
        <f t="shared" si="4"/>
        <v>-13.000000000000114</v>
      </c>
      <c r="AY56">
        <v>55</v>
      </c>
      <c r="AZ56">
        <v>194.59</v>
      </c>
      <c r="BA56">
        <f t="shared" si="5"/>
        <v>3.7999999999999545</v>
      </c>
    </row>
    <row r="57" spans="1:53" x14ac:dyDescent="0.25">
      <c r="A57">
        <v>57</v>
      </c>
      <c r="B57">
        <v>135.24</v>
      </c>
      <c r="C57">
        <f t="shared" si="0"/>
        <v>-10</v>
      </c>
      <c r="H57">
        <v>57</v>
      </c>
      <c r="I57" s="4">
        <v>127.24</v>
      </c>
      <c r="J57">
        <f t="shared" si="1"/>
        <v>-10</v>
      </c>
      <c r="R57">
        <v>56</v>
      </c>
      <c r="S57" s="4">
        <v>154</v>
      </c>
      <c r="T57">
        <f t="shared" si="2"/>
        <v>-10.199999999999818</v>
      </c>
      <c r="AC57">
        <v>56</v>
      </c>
      <c r="AD57">
        <v>136.97</v>
      </c>
      <c r="AE57">
        <f t="shared" si="3"/>
        <v>-9.3999999999999773</v>
      </c>
      <c r="AN57">
        <v>56</v>
      </c>
      <c r="AO57">
        <v>148.29</v>
      </c>
      <c r="AP57">
        <f t="shared" si="4"/>
        <v>-13.199999999999932</v>
      </c>
      <c r="AY57">
        <v>56</v>
      </c>
      <c r="AZ57">
        <v>194.51</v>
      </c>
      <c r="BA57">
        <f t="shared" si="5"/>
        <v>-1.6000000000002501</v>
      </c>
    </row>
    <row r="58" spans="1:53" x14ac:dyDescent="0.25">
      <c r="A58">
        <v>58</v>
      </c>
      <c r="B58">
        <v>134.72999999999999</v>
      </c>
      <c r="C58">
        <f t="shared" si="0"/>
        <v>-10.200000000000387</v>
      </c>
      <c r="H58">
        <v>58</v>
      </c>
      <c r="I58" s="4">
        <v>126.97</v>
      </c>
      <c r="J58">
        <f t="shared" si="1"/>
        <v>-5.3999999999999204</v>
      </c>
      <c r="R58">
        <v>57</v>
      </c>
      <c r="S58" s="4">
        <v>153.38999999999999</v>
      </c>
      <c r="T58">
        <f t="shared" si="2"/>
        <v>-12.200000000000273</v>
      </c>
      <c r="AC58">
        <v>57</v>
      </c>
      <c r="AD58">
        <v>136.36000000000001</v>
      </c>
      <c r="AE58">
        <f t="shared" si="3"/>
        <v>-12.199999999999704</v>
      </c>
      <c r="AN58">
        <v>57</v>
      </c>
      <c r="AO58">
        <v>148.1</v>
      </c>
      <c r="AP58">
        <f t="shared" si="4"/>
        <v>-3.7999999999999545</v>
      </c>
      <c r="AY58">
        <v>57</v>
      </c>
      <c r="AZ58">
        <v>194.17</v>
      </c>
      <c r="BA58">
        <f t="shared" si="5"/>
        <v>-6.8000000000000682</v>
      </c>
    </row>
    <row r="59" spans="1:53" x14ac:dyDescent="0.25">
      <c r="A59">
        <v>59</v>
      </c>
      <c r="B59">
        <v>134.12</v>
      </c>
      <c r="C59">
        <f t="shared" si="0"/>
        <v>-12.199999999999704</v>
      </c>
      <c r="H59">
        <v>59</v>
      </c>
      <c r="I59" s="4">
        <v>126.78</v>
      </c>
      <c r="J59">
        <f t="shared" si="1"/>
        <v>-3.7999999999999545</v>
      </c>
      <c r="R59">
        <v>58</v>
      </c>
      <c r="S59" s="4">
        <v>152.91999999999999</v>
      </c>
      <c r="T59">
        <f t="shared" si="2"/>
        <v>-9.3999999999999773</v>
      </c>
      <c r="AC59">
        <v>58</v>
      </c>
      <c r="AD59">
        <v>135.85</v>
      </c>
      <c r="AE59">
        <f t="shared" si="3"/>
        <v>-10.200000000000387</v>
      </c>
      <c r="AN59">
        <v>58</v>
      </c>
      <c r="AO59">
        <v>147.63</v>
      </c>
      <c r="AP59">
        <f t="shared" si="4"/>
        <v>-9.3999999999999773</v>
      </c>
      <c r="AY59">
        <v>58</v>
      </c>
      <c r="AZ59">
        <v>193.78</v>
      </c>
      <c r="BA59">
        <f t="shared" si="5"/>
        <v>-7.7999999999997272</v>
      </c>
    </row>
    <row r="60" spans="1:53" x14ac:dyDescent="0.25">
      <c r="A60">
        <v>60</v>
      </c>
      <c r="B60">
        <v>133.65</v>
      </c>
      <c r="C60">
        <f t="shared" si="0"/>
        <v>-9.3999999999999773</v>
      </c>
      <c r="H60">
        <v>60</v>
      </c>
      <c r="I60" s="4">
        <v>126.28</v>
      </c>
      <c r="J60">
        <f t="shared" si="1"/>
        <v>-10</v>
      </c>
      <c r="R60">
        <v>59</v>
      </c>
      <c r="S60" s="4">
        <v>152.31</v>
      </c>
      <c r="T60">
        <f t="shared" si="2"/>
        <v>-12.199999999999704</v>
      </c>
      <c r="AC60">
        <v>59</v>
      </c>
      <c r="AD60">
        <v>135.35</v>
      </c>
      <c r="AE60">
        <f t="shared" si="3"/>
        <v>-10</v>
      </c>
      <c r="AN60">
        <v>59</v>
      </c>
      <c r="AO60">
        <v>147.13</v>
      </c>
      <c r="AP60">
        <f t="shared" si="4"/>
        <v>-10</v>
      </c>
      <c r="AY60">
        <v>59</v>
      </c>
      <c r="AZ60">
        <v>193.43</v>
      </c>
      <c r="BA60">
        <f t="shared" si="5"/>
        <v>-6.9999999999998863</v>
      </c>
    </row>
    <row r="61" spans="1:53" x14ac:dyDescent="0.25">
      <c r="A61">
        <v>61</v>
      </c>
      <c r="B61">
        <v>133.07</v>
      </c>
      <c r="C61">
        <f t="shared" si="0"/>
        <v>-11.60000000000025</v>
      </c>
      <c r="H61">
        <v>61</v>
      </c>
      <c r="I61" s="4">
        <v>125.74</v>
      </c>
      <c r="J61">
        <f t="shared" si="1"/>
        <v>-10.800000000000125</v>
      </c>
      <c r="R61">
        <v>60</v>
      </c>
      <c r="S61" s="4">
        <v>151.84</v>
      </c>
      <c r="T61">
        <f t="shared" si="2"/>
        <v>-9.3999999999999773</v>
      </c>
      <c r="AC61">
        <v>60</v>
      </c>
      <c r="AD61">
        <v>134.97</v>
      </c>
      <c r="AE61">
        <f t="shared" si="3"/>
        <v>-7.5999999999999091</v>
      </c>
      <c r="AN61">
        <v>60</v>
      </c>
      <c r="AO61">
        <v>146.78</v>
      </c>
      <c r="AP61">
        <f t="shared" si="4"/>
        <v>-6.9999999999998863</v>
      </c>
      <c r="AY61">
        <v>60</v>
      </c>
      <c r="AZ61">
        <v>193.16</v>
      </c>
      <c r="BA61">
        <f t="shared" si="5"/>
        <v>-5.4000000000002046</v>
      </c>
    </row>
    <row r="62" spans="1:53" x14ac:dyDescent="0.25">
      <c r="A62">
        <v>62</v>
      </c>
      <c r="B62">
        <v>132.53</v>
      </c>
      <c r="C62">
        <f t="shared" si="0"/>
        <v>-10.799999999999841</v>
      </c>
      <c r="H62">
        <v>62</v>
      </c>
      <c r="I62" s="4">
        <v>125.16</v>
      </c>
      <c r="J62">
        <f t="shared" si="1"/>
        <v>-11.599999999999966</v>
      </c>
      <c r="R62">
        <v>61</v>
      </c>
      <c r="S62" s="4">
        <v>151.41999999999999</v>
      </c>
      <c r="T62">
        <f t="shared" si="2"/>
        <v>-8.4000000000003183</v>
      </c>
      <c r="AC62">
        <v>61</v>
      </c>
      <c r="AD62">
        <v>134.35</v>
      </c>
      <c r="AE62">
        <f t="shared" si="3"/>
        <v>-12.400000000000091</v>
      </c>
      <c r="AN62">
        <v>61</v>
      </c>
      <c r="AO62">
        <v>146.44</v>
      </c>
      <c r="AP62">
        <f t="shared" si="4"/>
        <v>-6.8000000000000682</v>
      </c>
      <c r="AY62">
        <v>61</v>
      </c>
      <c r="AZ62">
        <v>192.81</v>
      </c>
      <c r="BA62">
        <f t="shared" si="5"/>
        <v>-6.9999999999998863</v>
      </c>
    </row>
    <row r="63" spans="1:53" x14ac:dyDescent="0.25">
      <c r="A63">
        <v>63</v>
      </c>
      <c r="B63">
        <v>132.03</v>
      </c>
      <c r="C63">
        <f t="shared" si="0"/>
        <v>-10</v>
      </c>
      <c r="H63">
        <v>63</v>
      </c>
      <c r="I63" s="4">
        <v>124.66</v>
      </c>
      <c r="J63">
        <f t="shared" si="1"/>
        <v>-10</v>
      </c>
      <c r="R63">
        <v>62</v>
      </c>
      <c r="S63" s="5">
        <v>150.91</v>
      </c>
      <c r="T63">
        <f t="shared" si="2"/>
        <v>-10.199999999999818</v>
      </c>
      <c r="AC63">
        <v>62</v>
      </c>
      <c r="AD63">
        <v>133.81</v>
      </c>
      <c r="AE63">
        <f t="shared" si="3"/>
        <v>-10.799999999999841</v>
      </c>
      <c r="AN63">
        <v>62</v>
      </c>
      <c r="AO63">
        <v>146.16</v>
      </c>
      <c r="AP63">
        <f t="shared" si="4"/>
        <v>-5.6000000000000227</v>
      </c>
      <c r="AY63">
        <v>62</v>
      </c>
      <c r="AZ63">
        <v>192.74</v>
      </c>
      <c r="BA63">
        <f t="shared" si="5"/>
        <v>-1.3999999999998636</v>
      </c>
    </row>
    <row r="64" spans="1:53" x14ac:dyDescent="0.25">
      <c r="A64">
        <v>64</v>
      </c>
      <c r="B64">
        <v>131.49</v>
      </c>
      <c r="C64">
        <f t="shared" si="0"/>
        <v>-10.799999999999841</v>
      </c>
      <c r="H64">
        <v>64</v>
      </c>
      <c r="I64" s="4">
        <v>124.27</v>
      </c>
      <c r="J64">
        <f t="shared" si="1"/>
        <v>-7.8000000000000114</v>
      </c>
      <c r="R64">
        <v>63</v>
      </c>
      <c r="S64" s="5">
        <v>150.94999999999999</v>
      </c>
      <c r="T64">
        <f t="shared" si="2"/>
        <v>0.79999999999984084</v>
      </c>
      <c r="AC64">
        <v>63</v>
      </c>
      <c r="AD64">
        <v>133.34</v>
      </c>
      <c r="AE64">
        <f t="shared" si="3"/>
        <v>-9.3999999999999773</v>
      </c>
      <c r="AN64">
        <v>63</v>
      </c>
      <c r="AO64">
        <v>145.69999999999999</v>
      </c>
      <c r="AP64">
        <f t="shared" si="4"/>
        <v>-9.2000000000001592</v>
      </c>
      <c r="AY64">
        <v>63</v>
      </c>
      <c r="AZ64">
        <v>192.47</v>
      </c>
      <c r="BA64">
        <f t="shared" si="5"/>
        <v>-5.4000000000002046</v>
      </c>
    </row>
    <row r="65" spans="1:53" x14ac:dyDescent="0.25">
      <c r="A65">
        <v>65</v>
      </c>
      <c r="B65">
        <v>131.03</v>
      </c>
      <c r="C65">
        <f t="shared" si="0"/>
        <v>-9.2000000000001592</v>
      </c>
      <c r="H65">
        <v>65</v>
      </c>
      <c r="I65" s="4">
        <v>123.77</v>
      </c>
      <c r="J65">
        <f t="shared" si="1"/>
        <v>-10</v>
      </c>
      <c r="R65">
        <v>64</v>
      </c>
      <c r="S65" s="5">
        <v>150.99</v>
      </c>
      <c r="T65">
        <f t="shared" si="2"/>
        <v>0.80000000000040927</v>
      </c>
      <c r="AC65">
        <v>64</v>
      </c>
      <c r="AD65">
        <v>132.76</v>
      </c>
      <c r="AE65">
        <f t="shared" si="3"/>
        <v>-11.60000000000025</v>
      </c>
      <c r="AN65">
        <v>64</v>
      </c>
      <c r="AO65">
        <v>145.55000000000001</v>
      </c>
      <c r="AP65">
        <f t="shared" si="4"/>
        <v>-2.9999999999995453</v>
      </c>
      <c r="AY65">
        <v>64</v>
      </c>
      <c r="AZ65">
        <v>192.23</v>
      </c>
      <c r="BA65">
        <f t="shared" si="5"/>
        <v>-4.8000000000001819</v>
      </c>
    </row>
    <row r="66" spans="1:53" x14ac:dyDescent="0.25">
      <c r="A66">
        <v>66</v>
      </c>
      <c r="B66">
        <v>130.41</v>
      </c>
      <c r="C66">
        <f t="shared" si="0"/>
        <v>-12.400000000000091</v>
      </c>
      <c r="H66">
        <v>66</v>
      </c>
      <c r="I66" s="4">
        <v>123.3</v>
      </c>
      <c r="J66">
        <f t="shared" si="1"/>
        <v>-9.3999999999999773</v>
      </c>
      <c r="R66">
        <v>65</v>
      </c>
      <c r="S66" s="4">
        <v>150.34</v>
      </c>
      <c r="T66">
        <f t="shared" si="2"/>
        <v>-13.000000000000114</v>
      </c>
      <c r="AC66">
        <v>65</v>
      </c>
      <c r="AD66">
        <v>132.38</v>
      </c>
      <c r="AE66">
        <f t="shared" si="3"/>
        <v>-7.5999999999999091</v>
      </c>
      <c r="AN66">
        <v>65</v>
      </c>
      <c r="AO66">
        <v>145.78</v>
      </c>
      <c r="AP66">
        <f t="shared" si="4"/>
        <v>4.5999999999997954</v>
      </c>
      <c r="AY66">
        <v>65</v>
      </c>
      <c r="AZ66">
        <v>192.08</v>
      </c>
      <c r="BA66">
        <f t="shared" si="5"/>
        <v>-2.9999999999995453</v>
      </c>
    </row>
    <row r="67" spans="1:53" x14ac:dyDescent="0.25">
      <c r="A67">
        <v>67</v>
      </c>
      <c r="B67">
        <v>130.02000000000001</v>
      </c>
      <c r="C67">
        <f t="shared" ref="C67:C130" si="6">(B67-B66)/0.05</f>
        <v>-7.7999999999997272</v>
      </c>
      <c r="H67">
        <v>67</v>
      </c>
      <c r="I67" s="4">
        <v>122.88</v>
      </c>
      <c r="J67">
        <f t="shared" ref="J67:J130" si="7">(I67-I66)/0.05</f>
        <v>-8.4000000000000341</v>
      </c>
      <c r="R67">
        <v>66</v>
      </c>
      <c r="S67" s="4">
        <v>149.63999999999999</v>
      </c>
      <c r="T67">
        <f t="shared" si="2"/>
        <v>-14.000000000000341</v>
      </c>
      <c r="AC67">
        <v>66</v>
      </c>
      <c r="AD67">
        <v>131.80000000000001</v>
      </c>
      <c r="AE67">
        <f t="shared" si="3"/>
        <v>-11.599999999999682</v>
      </c>
      <c r="AN67">
        <v>66</v>
      </c>
      <c r="AO67">
        <v>145.66</v>
      </c>
      <c r="AP67">
        <f t="shared" si="4"/>
        <v>-2.4000000000000909</v>
      </c>
      <c r="AY67">
        <v>66</v>
      </c>
      <c r="AZ67">
        <v>191.85</v>
      </c>
      <c r="BA67">
        <f t="shared" si="5"/>
        <v>-4.6000000000003638</v>
      </c>
    </row>
    <row r="68" spans="1:53" x14ac:dyDescent="0.25">
      <c r="A68">
        <v>68</v>
      </c>
      <c r="B68">
        <v>129.91</v>
      </c>
      <c r="C68">
        <f t="shared" si="6"/>
        <v>-2.2000000000002728</v>
      </c>
      <c r="H68">
        <v>68</v>
      </c>
      <c r="I68" s="4">
        <v>122.42</v>
      </c>
      <c r="J68">
        <f t="shared" si="7"/>
        <v>-9.1999999999998749</v>
      </c>
      <c r="R68">
        <v>67</v>
      </c>
      <c r="S68" s="4">
        <v>148.94999999999999</v>
      </c>
      <c r="T68">
        <f t="shared" ref="T68:T131" si="8">(S68-S67)/0.05</f>
        <v>-13.799999999999955</v>
      </c>
      <c r="AC68">
        <v>67</v>
      </c>
      <c r="AD68">
        <v>131.30000000000001</v>
      </c>
      <c r="AE68">
        <f t="shared" ref="AE68:AE131" si="9">(AD68-AD67)/0.05</f>
        <v>-10</v>
      </c>
      <c r="AN68">
        <v>67</v>
      </c>
      <c r="AO68">
        <v>145.16</v>
      </c>
      <c r="AP68">
        <f t="shared" ref="AP68:AP131" si="10">(AO68-AO67)/0.05</f>
        <v>-10</v>
      </c>
      <c r="AY68">
        <v>67</v>
      </c>
      <c r="AZ68">
        <v>191.58</v>
      </c>
      <c r="BA68">
        <f t="shared" ref="BA68:BA131" si="11">(AZ68-AZ67)/0.05</f>
        <v>-5.3999999999996362</v>
      </c>
    </row>
    <row r="69" spans="1:53" x14ac:dyDescent="0.25">
      <c r="A69">
        <v>69</v>
      </c>
      <c r="B69">
        <v>129.44</v>
      </c>
      <c r="C69">
        <f t="shared" si="6"/>
        <v>-9.3999999999999773</v>
      </c>
      <c r="H69">
        <v>69</v>
      </c>
      <c r="I69" s="4">
        <v>122.03</v>
      </c>
      <c r="J69">
        <f t="shared" si="7"/>
        <v>-7.8000000000000114</v>
      </c>
      <c r="R69">
        <v>68</v>
      </c>
      <c r="S69" s="4">
        <v>148.29</v>
      </c>
      <c r="T69">
        <f t="shared" si="8"/>
        <v>-13.199999999999932</v>
      </c>
      <c r="AC69">
        <v>68</v>
      </c>
      <c r="AD69">
        <v>130.87</v>
      </c>
      <c r="AE69">
        <f t="shared" si="9"/>
        <v>-8.6000000000001364</v>
      </c>
      <c r="AN69">
        <v>68</v>
      </c>
      <c r="AO69">
        <v>144.35</v>
      </c>
      <c r="AP69">
        <f t="shared" si="10"/>
        <v>-16.200000000000045</v>
      </c>
      <c r="AY69">
        <v>68</v>
      </c>
      <c r="AZ69">
        <v>191.39</v>
      </c>
      <c r="BA69">
        <f t="shared" si="11"/>
        <v>-3.800000000000523</v>
      </c>
    </row>
    <row r="70" spans="1:53" x14ac:dyDescent="0.25">
      <c r="A70">
        <v>70</v>
      </c>
      <c r="B70">
        <v>128.75</v>
      </c>
      <c r="C70">
        <f t="shared" si="6"/>
        <v>-13.799999999999955</v>
      </c>
      <c r="H70">
        <v>70</v>
      </c>
      <c r="I70" s="4">
        <v>121.53</v>
      </c>
      <c r="J70">
        <f t="shared" si="7"/>
        <v>-10</v>
      </c>
      <c r="R70">
        <v>69</v>
      </c>
      <c r="S70" s="4">
        <v>147.9</v>
      </c>
      <c r="T70">
        <f t="shared" si="8"/>
        <v>-7.7999999999997272</v>
      </c>
      <c r="AC70">
        <v>69</v>
      </c>
      <c r="AD70">
        <v>130.41</v>
      </c>
      <c r="AE70">
        <f t="shared" si="9"/>
        <v>-9.2000000000001592</v>
      </c>
      <c r="AN70">
        <v>69</v>
      </c>
      <c r="AO70">
        <v>144</v>
      </c>
      <c r="AP70">
        <f t="shared" si="10"/>
        <v>-6.9999999999998863</v>
      </c>
      <c r="AY70">
        <v>69</v>
      </c>
      <c r="AZ70">
        <v>191.19</v>
      </c>
      <c r="BA70">
        <f t="shared" si="11"/>
        <v>-3.9999999999997726</v>
      </c>
    </row>
    <row r="71" spans="1:53" x14ac:dyDescent="0.25">
      <c r="A71">
        <v>71</v>
      </c>
      <c r="B71">
        <v>128.21</v>
      </c>
      <c r="C71">
        <f t="shared" si="6"/>
        <v>-10.799999999999841</v>
      </c>
      <c r="H71">
        <v>71</v>
      </c>
      <c r="I71" s="4">
        <v>121.14</v>
      </c>
      <c r="J71">
        <f t="shared" si="7"/>
        <v>-7.8000000000000114</v>
      </c>
      <c r="R71">
        <v>70</v>
      </c>
      <c r="S71" s="4">
        <v>147.32</v>
      </c>
      <c r="T71">
        <f t="shared" si="8"/>
        <v>-11.60000000000025</v>
      </c>
      <c r="AC71">
        <v>70</v>
      </c>
      <c r="AD71">
        <v>129.87</v>
      </c>
      <c r="AE71">
        <f t="shared" si="9"/>
        <v>-10.799999999999841</v>
      </c>
      <c r="AN71">
        <v>70</v>
      </c>
      <c r="AO71">
        <v>143.69</v>
      </c>
      <c r="AP71">
        <f t="shared" si="10"/>
        <v>-6.2000000000000455</v>
      </c>
      <c r="AY71">
        <v>70</v>
      </c>
      <c r="AZ71">
        <v>191</v>
      </c>
      <c r="BA71">
        <f t="shared" si="11"/>
        <v>-3.7999999999999545</v>
      </c>
    </row>
    <row r="72" spans="1:53" x14ac:dyDescent="0.25">
      <c r="A72">
        <v>72</v>
      </c>
      <c r="B72">
        <v>127.71</v>
      </c>
      <c r="C72">
        <f t="shared" si="6"/>
        <v>-10.000000000000284</v>
      </c>
      <c r="H72">
        <v>72</v>
      </c>
      <c r="I72" s="4">
        <v>120.83</v>
      </c>
      <c r="J72">
        <f t="shared" si="7"/>
        <v>-6.2000000000000455</v>
      </c>
      <c r="R72">
        <v>71</v>
      </c>
      <c r="S72" s="4">
        <v>146.86000000000001</v>
      </c>
      <c r="T72">
        <f t="shared" si="8"/>
        <v>-9.1999999999995907</v>
      </c>
      <c r="AC72">
        <v>71</v>
      </c>
      <c r="AD72">
        <v>129.41</v>
      </c>
      <c r="AE72">
        <f t="shared" si="9"/>
        <v>-9.2000000000001592</v>
      </c>
      <c r="AN72">
        <v>71</v>
      </c>
      <c r="AO72">
        <v>143.31</v>
      </c>
      <c r="AP72">
        <f t="shared" si="10"/>
        <v>-7.5999999999999091</v>
      </c>
      <c r="AY72">
        <v>71</v>
      </c>
      <c r="AZ72">
        <v>190.73</v>
      </c>
      <c r="BA72">
        <f t="shared" si="11"/>
        <v>-5.4000000000002046</v>
      </c>
    </row>
    <row r="73" spans="1:53" x14ac:dyDescent="0.25">
      <c r="A73">
        <v>73</v>
      </c>
      <c r="B73">
        <v>127.17</v>
      </c>
      <c r="C73">
        <f t="shared" si="6"/>
        <v>-10.799999999999841</v>
      </c>
      <c r="H73">
        <v>73</v>
      </c>
      <c r="I73" s="4">
        <v>120.64</v>
      </c>
      <c r="J73">
        <f t="shared" si="7"/>
        <v>-3.7999999999999545</v>
      </c>
      <c r="R73">
        <v>72</v>
      </c>
      <c r="S73" s="4">
        <v>146.28</v>
      </c>
      <c r="T73">
        <f t="shared" si="8"/>
        <v>-11.60000000000025</v>
      </c>
      <c r="AC73">
        <v>72</v>
      </c>
      <c r="AD73">
        <v>128.97999999999999</v>
      </c>
      <c r="AE73">
        <f t="shared" si="9"/>
        <v>-8.6000000000001364</v>
      </c>
      <c r="AN73">
        <v>72</v>
      </c>
      <c r="AO73">
        <v>142.84</v>
      </c>
      <c r="AP73">
        <f t="shared" si="10"/>
        <v>-9.3999999999999773</v>
      </c>
      <c r="AY73">
        <v>72</v>
      </c>
      <c r="AZ73">
        <v>190.54</v>
      </c>
      <c r="BA73">
        <f t="shared" si="11"/>
        <v>-3.7999999999999545</v>
      </c>
    </row>
    <row r="74" spans="1:53" x14ac:dyDescent="0.25">
      <c r="A74">
        <v>74</v>
      </c>
      <c r="B74">
        <v>126.74</v>
      </c>
      <c r="C74">
        <f t="shared" si="6"/>
        <v>-8.6000000000001364</v>
      </c>
      <c r="H74">
        <v>74</v>
      </c>
      <c r="I74" s="4">
        <v>120.37</v>
      </c>
      <c r="J74">
        <f t="shared" si="7"/>
        <v>-5.3999999999999204</v>
      </c>
      <c r="R74">
        <v>73</v>
      </c>
      <c r="S74" s="4">
        <v>145.86000000000001</v>
      </c>
      <c r="T74">
        <f t="shared" si="8"/>
        <v>-8.3999999999997499</v>
      </c>
      <c r="AC74">
        <v>73</v>
      </c>
      <c r="AD74">
        <v>128.44</v>
      </c>
      <c r="AE74">
        <f t="shared" si="9"/>
        <v>-10.799999999999841</v>
      </c>
      <c r="AN74">
        <v>73</v>
      </c>
      <c r="AO74">
        <v>142.34</v>
      </c>
      <c r="AP74">
        <f t="shared" si="10"/>
        <v>-10</v>
      </c>
      <c r="AY74">
        <v>73</v>
      </c>
      <c r="AZ74">
        <v>190.3</v>
      </c>
      <c r="BA74">
        <f t="shared" si="11"/>
        <v>-4.7999999999996135</v>
      </c>
    </row>
    <row r="75" spans="1:53" x14ac:dyDescent="0.25">
      <c r="A75">
        <v>75</v>
      </c>
      <c r="B75">
        <v>126.2</v>
      </c>
      <c r="C75">
        <f t="shared" si="6"/>
        <v>-10.799999999999841</v>
      </c>
      <c r="H75">
        <v>75</v>
      </c>
      <c r="I75" s="4">
        <v>119.87</v>
      </c>
      <c r="J75">
        <f t="shared" si="7"/>
        <v>-10</v>
      </c>
      <c r="R75">
        <v>74</v>
      </c>
      <c r="S75" s="4">
        <v>145.43</v>
      </c>
      <c r="T75">
        <f t="shared" si="8"/>
        <v>-8.6000000000001364</v>
      </c>
      <c r="AC75">
        <v>74</v>
      </c>
      <c r="AD75">
        <v>128.02000000000001</v>
      </c>
      <c r="AE75">
        <f t="shared" si="9"/>
        <v>-8.3999999999997499</v>
      </c>
      <c r="AN75">
        <v>74</v>
      </c>
      <c r="AO75">
        <v>142.11000000000001</v>
      </c>
      <c r="AP75">
        <f t="shared" si="10"/>
        <v>-4.5999999999997954</v>
      </c>
      <c r="AY75">
        <v>74</v>
      </c>
      <c r="AZ75">
        <v>190.42</v>
      </c>
      <c r="BA75">
        <f t="shared" si="11"/>
        <v>2.3999999999995225</v>
      </c>
    </row>
    <row r="76" spans="1:53" x14ac:dyDescent="0.25">
      <c r="A76">
        <v>76</v>
      </c>
      <c r="B76">
        <v>125.74</v>
      </c>
      <c r="C76">
        <f t="shared" si="6"/>
        <v>-9.2000000000001592</v>
      </c>
      <c r="H76">
        <v>76</v>
      </c>
      <c r="I76" s="4">
        <v>119.29</v>
      </c>
      <c r="J76">
        <f t="shared" si="7"/>
        <v>-11.599999999999966</v>
      </c>
      <c r="R76">
        <v>75</v>
      </c>
      <c r="S76" s="4">
        <v>144.97</v>
      </c>
      <c r="T76">
        <f t="shared" si="8"/>
        <v>-9.2000000000001592</v>
      </c>
      <c r="AC76">
        <v>75</v>
      </c>
      <c r="AD76">
        <v>127.51</v>
      </c>
      <c r="AE76">
        <f t="shared" si="9"/>
        <v>-10.200000000000102</v>
      </c>
      <c r="AN76">
        <v>75</v>
      </c>
      <c r="AO76">
        <v>141.72</v>
      </c>
      <c r="AP76">
        <f t="shared" si="10"/>
        <v>-7.8000000000002956</v>
      </c>
      <c r="AY76">
        <v>75</v>
      </c>
      <c r="AZ76">
        <v>190.77</v>
      </c>
      <c r="BA76">
        <f t="shared" si="11"/>
        <v>7.0000000000004547</v>
      </c>
    </row>
    <row r="77" spans="1:53" x14ac:dyDescent="0.25">
      <c r="A77">
        <v>77</v>
      </c>
      <c r="B77">
        <v>125.12</v>
      </c>
      <c r="C77">
        <f t="shared" si="6"/>
        <v>-12.399999999999807</v>
      </c>
      <c r="H77">
        <v>77</v>
      </c>
      <c r="I77" s="4">
        <v>118.82</v>
      </c>
      <c r="J77">
        <f t="shared" si="7"/>
        <v>-9.4000000000002615</v>
      </c>
      <c r="R77">
        <v>76</v>
      </c>
      <c r="S77" s="4">
        <v>144.5</v>
      </c>
      <c r="T77">
        <f t="shared" si="8"/>
        <v>-9.3999999999999773</v>
      </c>
      <c r="AC77">
        <v>76</v>
      </c>
      <c r="AD77">
        <v>127.09</v>
      </c>
      <c r="AE77">
        <f t="shared" si="9"/>
        <v>-8.4000000000000341</v>
      </c>
      <c r="AN77">
        <v>76</v>
      </c>
      <c r="AO77">
        <v>141.44999999999999</v>
      </c>
      <c r="AP77">
        <f t="shared" si="10"/>
        <v>-5.4000000000002046</v>
      </c>
      <c r="AY77">
        <v>76</v>
      </c>
      <c r="AZ77">
        <v>190.73</v>
      </c>
      <c r="BA77">
        <f t="shared" si="11"/>
        <v>-0.80000000000040927</v>
      </c>
    </row>
    <row r="78" spans="1:53" x14ac:dyDescent="0.25">
      <c r="A78">
        <v>78</v>
      </c>
      <c r="B78">
        <v>124.66</v>
      </c>
      <c r="C78">
        <f t="shared" si="6"/>
        <v>-9.2000000000001592</v>
      </c>
      <c r="H78">
        <v>78</v>
      </c>
      <c r="I78" s="4">
        <v>118.4</v>
      </c>
      <c r="J78">
        <f t="shared" si="7"/>
        <v>-8.3999999999997499</v>
      </c>
      <c r="R78">
        <v>77</v>
      </c>
      <c r="S78" s="5">
        <v>144.19999999999999</v>
      </c>
      <c r="T78">
        <f t="shared" si="8"/>
        <v>-6.0000000000002274</v>
      </c>
      <c r="AC78">
        <v>77</v>
      </c>
      <c r="AD78">
        <v>126.97</v>
      </c>
      <c r="AE78">
        <f t="shared" si="9"/>
        <v>-2.4000000000000909</v>
      </c>
      <c r="AN78">
        <v>77</v>
      </c>
      <c r="AO78" s="2">
        <v>141.57</v>
      </c>
      <c r="AP78">
        <f t="shared" si="10"/>
        <v>2.4000000000000909</v>
      </c>
      <c r="AY78">
        <v>77</v>
      </c>
      <c r="AZ78">
        <v>190.38</v>
      </c>
      <c r="BA78">
        <f t="shared" si="11"/>
        <v>-6.9999999999998863</v>
      </c>
    </row>
    <row r="79" spans="1:53" x14ac:dyDescent="0.25">
      <c r="A79">
        <v>79</v>
      </c>
      <c r="B79">
        <v>124.19</v>
      </c>
      <c r="C79">
        <f t="shared" si="6"/>
        <v>-9.3999999999999773</v>
      </c>
      <c r="H79">
        <v>79</v>
      </c>
      <c r="I79" s="4">
        <v>118.01</v>
      </c>
      <c r="J79">
        <f t="shared" si="7"/>
        <v>-7.8000000000000114</v>
      </c>
      <c r="R79">
        <v>78</v>
      </c>
      <c r="S79" s="5">
        <v>144.54</v>
      </c>
      <c r="T79">
        <f t="shared" si="8"/>
        <v>6.8000000000000682</v>
      </c>
      <c r="AC79">
        <v>78</v>
      </c>
      <c r="AD79">
        <v>126.62</v>
      </c>
      <c r="AE79">
        <f t="shared" si="9"/>
        <v>-6.9999999999998863</v>
      </c>
      <c r="AN79">
        <v>78</v>
      </c>
      <c r="AO79" s="2">
        <v>141.84</v>
      </c>
      <c r="AP79">
        <f t="shared" si="10"/>
        <v>5.4000000000002046</v>
      </c>
      <c r="AY79">
        <v>78</v>
      </c>
      <c r="AZ79">
        <v>190</v>
      </c>
      <c r="BA79">
        <f t="shared" si="11"/>
        <v>-7.5999999999999091</v>
      </c>
    </row>
    <row r="80" spans="1:53" x14ac:dyDescent="0.25">
      <c r="A80">
        <v>80</v>
      </c>
      <c r="B80">
        <v>123.73</v>
      </c>
      <c r="C80">
        <f t="shared" si="6"/>
        <v>-9.1999999999998749</v>
      </c>
      <c r="H80">
        <v>80</v>
      </c>
      <c r="I80" s="4">
        <v>117.51</v>
      </c>
      <c r="J80">
        <f t="shared" si="7"/>
        <v>-10</v>
      </c>
      <c r="R80">
        <v>79</v>
      </c>
      <c r="S80" s="4">
        <v>144.5</v>
      </c>
      <c r="T80">
        <f t="shared" si="8"/>
        <v>-0.79999999999984084</v>
      </c>
      <c r="AC80">
        <v>79</v>
      </c>
      <c r="AD80">
        <v>126.05</v>
      </c>
      <c r="AE80">
        <f t="shared" si="9"/>
        <v>-11.400000000000148</v>
      </c>
      <c r="AN80">
        <v>79</v>
      </c>
      <c r="AO80">
        <v>141.69</v>
      </c>
      <c r="AP80">
        <f t="shared" si="10"/>
        <v>-3.0000000000001137</v>
      </c>
      <c r="AY80">
        <v>79</v>
      </c>
      <c r="AZ80">
        <v>189.69</v>
      </c>
      <c r="BA80">
        <f t="shared" si="11"/>
        <v>-6.2000000000000455</v>
      </c>
    </row>
    <row r="81" spans="1:53" x14ac:dyDescent="0.25">
      <c r="A81">
        <v>81</v>
      </c>
      <c r="B81">
        <v>123.19</v>
      </c>
      <c r="C81">
        <f t="shared" si="6"/>
        <v>-10.800000000000125</v>
      </c>
      <c r="H81">
        <v>81</v>
      </c>
      <c r="I81" s="4">
        <v>117.13</v>
      </c>
      <c r="J81">
        <f t="shared" si="7"/>
        <v>-7.6000000000001933</v>
      </c>
      <c r="R81">
        <v>80</v>
      </c>
      <c r="S81" s="4">
        <v>144</v>
      </c>
      <c r="T81">
        <f t="shared" si="8"/>
        <v>-10</v>
      </c>
      <c r="AC81">
        <v>80</v>
      </c>
      <c r="AD81">
        <v>125.5</v>
      </c>
      <c r="AE81">
        <f t="shared" si="9"/>
        <v>-10.999999999999943</v>
      </c>
      <c r="AN81">
        <v>80</v>
      </c>
      <c r="AO81">
        <v>141.11000000000001</v>
      </c>
      <c r="AP81">
        <f t="shared" si="10"/>
        <v>-11.599999999999682</v>
      </c>
      <c r="AY81">
        <v>80</v>
      </c>
      <c r="AZ81">
        <v>189.34</v>
      </c>
      <c r="BA81">
        <f t="shared" si="11"/>
        <v>-6.9999999999998863</v>
      </c>
    </row>
    <row r="82" spans="1:53" x14ac:dyDescent="0.25">
      <c r="A82">
        <v>82</v>
      </c>
      <c r="B82">
        <v>122.8</v>
      </c>
      <c r="C82">
        <f t="shared" si="6"/>
        <v>-7.8000000000000114</v>
      </c>
      <c r="H82">
        <v>82</v>
      </c>
      <c r="I82" s="4">
        <v>116.7</v>
      </c>
      <c r="J82">
        <f t="shared" si="7"/>
        <v>-8.5999999999998522</v>
      </c>
      <c r="R82">
        <v>81</v>
      </c>
      <c r="S82" s="4">
        <v>143.19</v>
      </c>
      <c r="T82">
        <f t="shared" si="8"/>
        <v>-16.200000000000045</v>
      </c>
      <c r="AC82">
        <v>81</v>
      </c>
      <c r="AD82">
        <v>125.04</v>
      </c>
      <c r="AE82">
        <f t="shared" si="9"/>
        <v>-9.1999999999998749</v>
      </c>
      <c r="AN82">
        <v>81</v>
      </c>
      <c r="AO82">
        <v>140.30000000000001</v>
      </c>
      <c r="AP82">
        <f t="shared" si="10"/>
        <v>-16.200000000000045</v>
      </c>
      <c r="AY82">
        <v>81</v>
      </c>
      <c r="AZ82">
        <v>188.95</v>
      </c>
      <c r="BA82">
        <f t="shared" si="11"/>
        <v>-7.8000000000002956</v>
      </c>
    </row>
    <row r="83" spans="1:53" x14ac:dyDescent="0.25">
      <c r="A83">
        <v>83</v>
      </c>
      <c r="B83">
        <v>122.34</v>
      </c>
      <c r="C83">
        <f t="shared" si="6"/>
        <v>-9.1999999999998749</v>
      </c>
      <c r="H83">
        <v>83</v>
      </c>
      <c r="I83" s="4">
        <v>116.28</v>
      </c>
      <c r="J83">
        <f t="shared" si="7"/>
        <v>-8.4000000000000341</v>
      </c>
      <c r="R83">
        <v>82</v>
      </c>
      <c r="S83" s="4">
        <v>141.99</v>
      </c>
      <c r="T83">
        <f t="shared" si="8"/>
        <v>-23.999999999999773</v>
      </c>
      <c r="AC83">
        <v>82</v>
      </c>
      <c r="AD83">
        <v>124.5</v>
      </c>
      <c r="AE83">
        <f t="shared" si="9"/>
        <v>-10.800000000000125</v>
      </c>
      <c r="AN83">
        <v>82</v>
      </c>
      <c r="AO83">
        <v>139.83000000000001</v>
      </c>
      <c r="AP83">
        <f t="shared" si="10"/>
        <v>-9.3999999999999773</v>
      </c>
      <c r="AY83">
        <v>82</v>
      </c>
      <c r="AZ83">
        <v>188.84</v>
      </c>
      <c r="BA83">
        <f t="shared" si="11"/>
        <v>-2.1999999999997044</v>
      </c>
    </row>
    <row r="84" spans="1:53" x14ac:dyDescent="0.25">
      <c r="A84">
        <v>84</v>
      </c>
      <c r="B84">
        <v>121.8</v>
      </c>
      <c r="C84">
        <f t="shared" si="6"/>
        <v>-10.800000000000125</v>
      </c>
      <c r="H84">
        <v>84</v>
      </c>
      <c r="I84" s="4">
        <v>115.89</v>
      </c>
      <c r="J84">
        <f t="shared" si="7"/>
        <v>-7.8000000000000114</v>
      </c>
      <c r="R84">
        <v>83</v>
      </c>
      <c r="S84" s="4">
        <v>141.53</v>
      </c>
      <c r="T84">
        <f t="shared" si="8"/>
        <v>-9.2000000000001592</v>
      </c>
      <c r="AC84">
        <v>83</v>
      </c>
      <c r="AD84">
        <v>124.11</v>
      </c>
      <c r="AE84">
        <f t="shared" si="9"/>
        <v>-7.8000000000000114</v>
      </c>
      <c r="AN84">
        <v>83</v>
      </c>
      <c r="AO84">
        <v>139.44999999999999</v>
      </c>
      <c r="AP84">
        <f t="shared" si="10"/>
        <v>-7.6000000000004775</v>
      </c>
      <c r="AY84">
        <v>83</v>
      </c>
      <c r="AZ84">
        <v>188.64</v>
      </c>
      <c r="BA84">
        <f t="shared" si="11"/>
        <v>-4.0000000000003411</v>
      </c>
    </row>
    <row r="85" spans="1:53" x14ac:dyDescent="0.25">
      <c r="A85">
        <v>85</v>
      </c>
      <c r="B85">
        <v>121.37</v>
      </c>
      <c r="C85">
        <f t="shared" si="6"/>
        <v>-8.5999999999998522</v>
      </c>
      <c r="H85">
        <v>85</v>
      </c>
      <c r="I85" s="4">
        <v>115.5</v>
      </c>
      <c r="J85">
        <f t="shared" si="7"/>
        <v>-7.8000000000000114</v>
      </c>
      <c r="R85">
        <v>84</v>
      </c>
      <c r="S85" s="4">
        <v>141.03</v>
      </c>
      <c r="T85">
        <f t="shared" si="8"/>
        <v>-10</v>
      </c>
      <c r="AC85">
        <v>84</v>
      </c>
      <c r="AD85">
        <v>123.73</v>
      </c>
      <c r="AE85">
        <f t="shared" si="9"/>
        <v>-7.5999999999999091</v>
      </c>
      <c r="AN85">
        <v>84</v>
      </c>
      <c r="AO85">
        <v>139.02000000000001</v>
      </c>
      <c r="AP85">
        <f t="shared" si="10"/>
        <v>-8.599999999999568</v>
      </c>
      <c r="AY85">
        <v>84</v>
      </c>
      <c r="AZ85">
        <v>188.49</v>
      </c>
      <c r="BA85">
        <f t="shared" si="11"/>
        <v>-2.9999999999995453</v>
      </c>
    </row>
    <row r="86" spans="1:53" x14ac:dyDescent="0.25">
      <c r="A86">
        <v>86</v>
      </c>
      <c r="B86">
        <v>120.83</v>
      </c>
      <c r="C86">
        <f t="shared" si="6"/>
        <v>-10.800000000000125</v>
      </c>
      <c r="H86">
        <v>86</v>
      </c>
      <c r="I86" s="4">
        <v>115.31</v>
      </c>
      <c r="J86">
        <f t="shared" si="7"/>
        <v>-3.7999999999999545</v>
      </c>
      <c r="R86">
        <v>85</v>
      </c>
      <c r="S86" s="4">
        <v>140.57</v>
      </c>
      <c r="T86">
        <f t="shared" si="8"/>
        <v>-9.2000000000001592</v>
      </c>
      <c r="AC86">
        <v>85</v>
      </c>
      <c r="AD86">
        <v>123.15</v>
      </c>
      <c r="AE86">
        <f t="shared" si="9"/>
        <v>-11.599999999999966</v>
      </c>
      <c r="AN86">
        <v>85</v>
      </c>
      <c r="AO86">
        <v>138.6</v>
      </c>
      <c r="AP86">
        <f t="shared" si="10"/>
        <v>-8.4000000000003183</v>
      </c>
      <c r="AY86">
        <v>85</v>
      </c>
      <c r="AZ86">
        <v>188.22</v>
      </c>
      <c r="BA86">
        <f t="shared" si="11"/>
        <v>-5.4000000000002046</v>
      </c>
    </row>
    <row r="87" spans="1:53" x14ac:dyDescent="0.25">
      <c r="A87">
        <v>87</v>
      </c>
      <c r="B87">
        <v>120.68</v>
      </c>
      <c r="C87">
        <f t="shared" si="6"/>
        <v>-2.9999999999998295</v>
      </c>
      <c r="H87">
        <v>87</v>
      </c>
      <c r="I87" s="4">
        <v>115.19</v>
      </c>
      <c r="J87">
        <f t="shared" si="7"/>
        <v>-2.4000000000000909</v>
      </c>
      <c r="R87">
        <v>86</v>
      </c>
      <c r="S87" s="4">
        <v>140.1</v>
      </c>
      <c r="T87">
        <f t="shared" si="8"/>
        <v>-9.3999999999999773</v>
      </c>
      <c r="AC87">
        <v>86</v>
      </c>
      <c r="AD87">
        <v>122.69</v>
      </c>
      <c r="AE87">
        <f t="shared" si="9"/>
        <v>-9.2000000000001592</v>
      </c>
      <c r="AN87">
        <v>86</v>
      </c>
      <c r="AO87">
        <v>138.29</v>
      </c>
      <c r="AP87">
        <f t="shared" si="10"/>
        <v>-6.2000000000000455</v>
      </c>
      <c r="AY87">
        <v>86</v>
      </c>
      <c r="AZ87">
        <v>187.99</v>
      </c>
      <c r="BA87">
        <f t="shared" si="11"/>
        <v>-4.5999999999997954</v>
      </c>
    </row>
    <row r="88" spans="1:53" x14ac:dyDescent="0.25">
      <c r="A88">
        <v>88</v>
      </c>
      <c r="B88">
        <v>120.56</v>
      </c>
      <c r="C88">
        <f t="shared" si="6"/>
        <v>-2.4000000000000909</v>
      </c>
      <c r="H88">
        <v>88</v>
      </c>
      <c r="I88" s="4">
        <v>114.85</v>
      </c>
      <c r="J88">
        <f t="shared" si="7"/>
        <v>-6.8000000000000682</v>
      </c>
      <c r="R88">
        <v>87</v>
      </c>
      <c r="S88" s="4">
        <v>139.68</v>
      </c>
      <c r="T88">
        <f t="shared" si="8"/>
        <v>-8.3999999999997499</v>
      </c>
      <c r="AC88">
        <v>87</v>
      </c>
      <c r="AD88">
        <v>122.22</v>
      </c>
      <c r="AE88">
        <f t="shared" si="9"/>
        <v>-9.3999999999999773</v>
      </c>
      <c r="AN88">
        <v>87</v>
      </c>
      <c r="AO88">
        <v>137.86000000000001</v>
      </c>
      <c r="AP88">
        <f t="shared" si="10"/>
        <v>-8.599999999999568</v>
      </c>
      <c r="AY88">
        <v>87</v>
      </c>
      <c r="AZ88">
        <v>187.72</v>
      </c>
      <c r="BA88">
        <f t="shared" si="11"/>
        <v>-5.4000000000002046</v>
      </c>
    </row>
    <row r="89" spans="1:53" x14ac:dyDescent="0.25">
      <c r="A89">
        <v>89</v>
      </c>
      <c r="B89">
        <v>119.79</v>
      </c>
      <c r="C89">
        <f t="shared" si="6"/>
        <v>-15.39999999999992</v>
      </c>
      <c r="H89">
        <v>89</v>
      </c>
      <c r="I89" s="4">
        <v>114.38</v>
      </c>
      <c r="J89">
        <f t="shared" si="7"/>
        <v>-9.3999999999999773</v>
      </c>
      <c r="R89">
        <v>88</v>
      </c>
      <c r="S89" s="4">
        <v>139.13999999999999</v>
      </c>
      <c r="T89">
        <f t="shared" si="8"/>
        <v>-10.800000000000409</v>
      </c>
      <c r="AC89">
        <v>88</v>
      </c>
      <c r="AD89">
        <v>121.76</v>
      </c>
      <c r="AE89">
        <f t="shared" si="9"/>
        <v>-9.1999999999998749</v>
      </c>
      <c r="AN89">
        <v>88</v>
      </c>
      <c r="AO89">
        <v>137.55000000000001</v>
      </c>
      <c r="AP89">
        <f t="shared" si="10"/>
        <v>-6.2000000000000455</v>
      </c>
      <c r="AY89">
        <v>88</v>
      </c>
      <c r="AZ89">
        <v>187.56</v>
      </c>
      <c r="BA89">
        <f t="shared" si="11"/>
        <v>-3.1999999999999318</v>
      </c>
    </row>
    <row r="90" spans="1:53" x14ac:dyDescent="0.25">
      <c r="A90">
        <v>90</v>
      </c>
      <c r="B90">
        <v>119.25</v>
      </c>
      <c r="C90">
        <f t="shared" si="6"/>
        <v>-10.800000000000125</v>
      </c>
      <c r="H90">
        <v>90</v>
      </c>
      <c r="I90" s="4">
        <v>113.73</v>
      </c>
      <c r="J90">
        <f t="shared" si="7"/>
        <v>-12.999999999999829</v>
      </c>
      <c r="R90">
        <v>89</v>
      </c>
      <c r="S90" s="4">
        <v>138.63</v>
      </c>
      <c r="T90">
        <f t="shared" si="8"/>
        <v>-10.199999999999818</v>
      </c>
      <c r="AC90">
        <v>89</v>
      </c>
      <c r="AD90">
        <v>121.37</v>
      </c>
      <c r="AE90">
        <f t="shared" si="9"/>
        <v>-7.8000000000000114</v>
      </c>
      <c r="AN90">
        <v>89</v>
      </c>
      <c r="AO90">
        <v>137.21</v>
      </c>
      <c r="AP90">
        <f t="shared" si="10"/>
        <v>-6.8000000000000682</v>
      </c>
      <c r="AY90">
        <v>89</v>
      </c>
      <c r="AZ90">
        <v>187.33</v>
      </c>
      <c r="BA90">
        <f t="shared" si="11"/>
        <v>-4.5999999999997954</v>
      </c>
    </row>
    <row r="91" spans="1:53" x14ac:dyDescent="0.25">
      <c r="A91">
        <v>91</v>
      </c>
      <c r="B91">
        <v>118.82</v>
      </c>
      <c r="C91">
        <f t="shared" si="6"/>
        <v>-8.6000000000001364</v>
      </c>
      <c r="H91">
        <v>91</v>
      </c>
      <c r="I91" s="4">
        <v>113.22</v>
      </c>
      <c r="J91">
        <f t="shared" si="7"/>
        <v>-10.200000000000102</v>
      </c>
      <c r="R91">
        <v>90</v>
      </c>
      <c r="S91" s="4">
        <v>138.21</v>
      </c>
      <c r="T91">
        <f t="shared" si="8"/>
        <v>-8.3999999999997499</v>
      </c>
      <c r="AC91">
        <v>90</v>
      </c>
      <c r="AD91">
        <v>120.87</v>
      </c>
      <c r="AE91">
        <f t="shared" si="9"/>
        <v>-10</v>
      </c>
      <c r="AN91">
        <v>90</v>
      </c>
      <c r="AO91">
        <v>137.55000000000001</v>
      </c>
      <c r="AP91">
        <f t="shared" si="10"/>
        <v>6.8000000000000682</v>
      </c>
      <c r="AY91">
        <v>90</v>
      </c>
      <c r="AZ91">
        <v>187.1</v>
      </c>
      <c r="BA91">
        <f t="shared" si="11"/>
        <v>-4.6000000000003638</v>
      </c>
    </row>
    <row r="92" spans="1:53" x14ac:dyDescent="0.25">
      <c r="A92">
        <v>92</v>
      </c>
      <c r="B92">
        <v>118.24</v>
      </c>
      <c r="C92">
        <f t="shared" si="6"/>
        <v>-11.599999999999966</v>
      </c>
      <c r="H92">
        <v>92</v>
      </c>
      <c r="I92" s="4">
        <v>112.92</v>
      </c>
      <c r="J92">
        <f t="shared" si="7"/>
        <v>-5.9999999999999432</v>
      </c>
      <c r="R92">
        <v>91</v>
      </c>
      <c r="S92" s="5">
        <v>137.97999999999999</v>
      </c>
      <c r="T92">
        <f t="shared" si="8"/>
        <v>-4.6000000000003638</v>
      </c>
      <c r="AC92">
        <v>91</v>
      </c>
      <c r="AD92">
        <v>120.41</v>
      </c>
      <c r="AE92">
        <f t="shared" si="9"/>
        <v>-9.2000000000001592</v>
      </c>
      <c r="AN92">
        <v>91</v>
      </c>
      <c r="AO92">
        <v>137.9</v>
      </c>
      <c r="AP92">
        <f t="shared" si="10"/>
        <v>6.9999999999998863</v>
      </c>
      <c r="AY92">
        <v>91</v>
      </c>
      <c r="AZ92">
        <v>186.87</v>
      </c>
      <c r="BA92">
        <f t="shared" si="11"/>
        <v>-4.5999999999997954</v>
      </c>
    </row>
    <row r="93" spans="1:53" x14ac:dyDescent="0.25">
      <c r="A93">
        <v>93</v>
      </c>
      <c r="B93">
        <v>117.9</v>
      </c>
      <c r="C93">
        <f t="shared" si="6"/>
        <v>-6.799999999999784</v>
      </c>
      <c r="H93">
        <v>93</v>
      </c>
      <c r="I93" s="4">
        <v>112.41</v>
      </c>
      <c r="J93">
        <f t="shared" si="7"/>
        <v>-10.200000000000102</v>
      </c>
      <c r="R93">
        <v>92</v>
      </c>
      <c r="S93" s="5">
        <v>138.52000000000001</v>
      </c>
      <c r="T93">
        <f t="shared" si="8"/>
        <v>10.800000000000409</v>
      </c>
      <c r="AC93">
        <v>92</v>
      </c>
      <c r="AD93">
        <v>119.91</v>
      </c>
      <c r="AE93">
        <f t="shared" si="9"/>
        <v>-10</v>
      </c>
      <c r="AN93">
        <v>92</v>
      </c>
      <c r="AO93">
        <v>137.71</v>
      </c>
      <c r="AP93">
        <f t="shared" si="10"/>
        <v>-3.7999999999999545</v>
      </c>
      <c r="AY93">
        <v>92</v>
      </c>
      <c r="AZ93">
        <v>186.71</v>
      </c>
      <c r="BA93">
        <f t="shared" si="11"/>
        <v>-3.1999999999999318</v>
      </c>
    </row>
    <row r="94" spans="1:53" x14ac:dyDescent="0.25">
      <c r="A94">
        <v>94</v>
      </c>
      <c r="B94">
        <v>117.43</v>
      </c>
      <c r="C94">
        <f t="shared" si="6"/>
        <v>-9.3999999999999773</v>
      </c>
      <c r="H94">
        <v>94</v>
      </c>
      <c r="I94" s="4">
        <v>112.03</v>
      </c>
      <c r="J94">
        <f t="shared" si="7"/>
        <v>-7.5999999999999091</v>
      </c>
      <c r="R94">
        <v>93</v>
      </c>
      <c r="S94" s="5">
        <v>138.66999999999999</v>
      </c>
      <c r="T94">
        <f t="shared" si="8"/>
        <v>2.9999999999995453</v>
      </c>
      <c r="AC94">
        <v>93</v>
      </c>
      <c r="AD94">
        <v>119.52</v>
      </c>
      <c r="AE94">
        <f t="shared" si="9"/>
        <v>-7.8000000000000114</v>
      </c>
      <c r="AN94">
        <v>93</v>
      </c>
      <c r="AO94">
        <v>137.09</v>
      </c>
      <c r="AP94">
        <f t="shared" si="10"/>
        <v>-12.400000000000091</v>
      </c>
      <c r="AY94">
        <v>93</v>
      </c>
      <c r="AZ94">
        <v>186.52</v>
      </c>
      <c r="BA94">
        <f t="shared" si="11"/>
        <v>-3.7999999999999545</v>
      </c>
    </row>
    <row r="95" spans="1:53" x14ac:dyDescent="0.25">
      <c r="A95">
        <v>95</v>
      </c>
      <c r="B95">
        <v>116.89</v>
      </c>
      <c r="C95">
        <f t="shared" si="6"/>
        <v>-10.800000000000125</v>
      </c>
      <c r="H95">
        <v>95</v>
      </c>
      <c r="I95" s="4">
        <v>111.6</v>
      </c>
      <c r="J95">
        <f t="shared" si="7"/>
        <v>-8.6000000000001364</v>
      </c>
      <c r="R95">
        <v>94</v>
      </c>
      <c r="S95" s="4">
        <v>138.29</v>
      </c>
      <c r="T95">
        <f t="shared" si="8"/>
        <v>-7.5999999999999091</v>
      </c>
      <c r="AC95">
        <v>94</v>
      </c>
      <c r="AD95">
        <v>119.06</v>
      </c>
      <c r="AE95">
        <f t="shared" si="9"/>
        <v>-9.1999999999998749</v>
      </c>
      <c r="AN95">
        <v>94</v>
      </c>
      <c r="AO95">
        <v>136.12</v>
      </c>
      <c r="AP95">
        <f t="shared" si="10"/>
        <v>-19.399999999999977</v>
      </c>
      <c r="AY95">
        <v>94</v>
      </c>
      <c r="AZ95">
        <v>186.6</v>
      </c>
      <c r="BA95">
        <f t="shared" si="11"/>
        <v>1.5999999999996817</v>
      </c>
    </row>
    <row r="96" spans="1:53" x14ac:dyDescent="0.25">
      <c r="A96">
        <v>96</v>
      </c>
      <c r="B96">
        <v>116.39</v>
      </c>
      <c r="C96">
        <f t="shared" si="6"/>
        <v>-10</v>
      </c>
      <c r="H96">
        <v>96</v>
      </c>
      <c r="I96" s="4">
        <v>111.22</v>
      </c>
      <c r="J96">
        <f t="shared" si="7"/>
        <v>-7.5999999999999091</v>
      </c>
      <c r="R96">
        <v>95</v>
      </c>
      <c r="S96" s="4">
        <v>137.47999999999999</v>
      </c>
      <c r="T96">
        <f t="shared" si="8"/>
        <v>-16.200000000000045</v>
      </c>
      <c r="AC96">
        <v>95</v>
      </c>
      <c r="AD96">
        <v>118.67</v>
      </c>
      <c r="AE96">
        <f t="shared" si="9"/>
        <v>-7.8000000000000114</v>
      </c>
      <c r="AN96">
        <v>95</v>
      </c>
      <c r="AO96">
        <v>135.66</v>
      </c>
      <c r="AP96">
        <f t="shared" si="10"/>
        <v>-9.2000000000001592</v>
      </c>
      <c r="AY96">
        <v>95</v>
      </c>
      <c r="AZ96">
        <v>186.91</v>
      </c>
      <c r="BA96">
        <f t="shared" si="11"/>
        <v>6.2000000000000455</v>
      </c>
    </row>
    <row r="97" spans="1:53" x14ac:dyDescent="0.25">
      <c r="A97">
        <v>97</v>
      </c>
      <c r="B97">
        <v>116.04</v>
      </c>
      <c r="C97">
        <f t="shared" si="6"/>
        <v>-6.9999999999998863</v>
      </c>
      <c r="H97">
        <v>97</v>
      </c>
      <c r="I97" s="4">
        <v>110.83</v>
      </c>
      <c r="J97">
        <f t="shared" si="7"/>
        <v>-7.8000000000000114</v>
      </c>
      <c r="R97">
        <v>96</v>
      </c>
      <c r="S97" s="4">
        <v>136.12</v>
      </c>
      <c r="T97">
        <f t="shared" si="8"/>
        <v>-27.199999999999704</v>
      </c>
      <c r="AC97">
        <v>96</v>
      </c>
      <c r="AD97">
        <v>118.21</v>
      </c>
      <c r="AE97">
        <f t="shared" si="9"/>
        <v>-9.2000000000001592</v>
      </c>
      <c r="AN97">
        <v>96</v>
      </c>
      <c r="AO97">
        <v>135.28</v>
      </c>
      <c r="AP97">
        <f t="shared" si="10"/>
        <v>-7.5999999999999091</v>
      </c>
      <c r="AY97">
        <v>96</v>
      </c>
      <c r="AZ97">
        <v>186.91</v>
      </c>
      <c r="BA97">
        <f t="shared" si="11"/>
        <v>0</v>
      </c>
    </row>
    <row r="98" spans="1:53" x14ac:dyDescent="0.25">
      <c r="A98">
        <v>98</v>
      </c>
      <c r="B98">
        <v>115.58</v>
      </c>
      <c r="C98">
        <f t="shared" si="6"/>
        <v>-9.2000000000001592</v>
      </c>
      <c r="H98">
        <v>98</v>
      </c>
      <c r="I98" s="4">
        <v>110.37</v>
      </c>
      <c r="J98">
        <f t="shared" si="7"/>
        <v>-9.1999999999998749</v>
      </c>
      <c r="R98">
        <v>97</v>
      </c>
      <c r="S98" s="4">
        <v>135.66</v>
      </c>
      <c r="T98">
        <f t="shared" si="8"/>
        <v>-9.2000000000001592</v>
      </c>
      <c r="AC98">
        <v>97</v>
      </c>
      <c r="AD98">
        <v>117.78</v>
      </c>
      <c r="AE98">
        <f t="shared" si="9"/>
        <v>-8.5999999999998522</v>
      </c>
      <c r="AN98">
        <v>97</v>
      </c>
      <c r="AO98">
        <v>134.85</v>
      </c>
      <c r="AP98">
        <f t="shared" si="10"/>
        <v>-8.6000000000001364</v>
      </c>
      <c r="AY98">
        <v>97</v>
      </c>
      <c r="AZ98">
        <v>186.64</v>
      </c>
      <c r="BA98">
        <f t="shared" si="11"/>
        <v>-5.4000000000002046</v>
      </c>
    </row>
    <row r="99" spans="1:53" x14ac:dyDescent="0.25">
      <c r="A99">
        <v>99</v>
      </c>
      <c r="B99">
        <v>115.04</v>
      </c>
      <c r="C99">
        <f t="shared" si="6"/>
        <v>-10.799999999999841</v>
      </c>
      <c r="H99">
        <v>99</v>
      </c>
      <c r="I99" s="4">
        <v>109.98</v>
      </c>
      <c r="J99">
        <f t="shared" si="7"/>
        <v>-7.8000000000000114</v>
      </c>
      <c r="R99">
        <v>98</v>
      </c>
      <c r="S99" s="4">
        <v>135.12</v>
      </c>
      <c r="T99">
        <f t="shared" si="8"/>
        <v>-10.799999999999841</v>
      </c>
      <c r="AC99">
        <v>98</v>
      </c>
      <c r="AD99">
        <v>117.43</v>
      </c>
      <c r="AE99">
        <f t="shared" si="9"/>
        <v>-6.9999999999998863</v>
      </c>
      <c r="AN99">
        <v>98</v>
      </c>
      <c r="AO99">
        <v>134.38999999999999</v>
      </c>
      <c r="AP99">
        <f t="shared" si="10"/>
        <v>-9.2000000000001592</v>
      </c>
      <c r="AY99">
        <v>98</v>
      </c>
      <c r="AZ99">
        <v>186.25</v>
      </c>
      <c r="BA99">
        <f t="shared" si="11"/>
        <v>-7.7999999999997272</v>
      </c>
    </row>
    <row r="100" spans="1:53" x14ac:dyDescent="0.25">
      <c r="A100">
        <v>100</v>
      </c>
      <c r="B100">
        <v>114.65</v>
      </c>
      <c r="C100">
        <f t="shared" si="6"/>
        <v>-7.8000000000000114</v>
      </c>
      <c r="H100">
        <v>100</v>
      </c>
      <c r="I100" s="4">
        <v>109.87</v>
      </c>
      <c r="J100">
        <f t="shared" si="7"/>
        <v>-2.1999999999999886</v>
      </c>
      <c r="R100">
        <v>99</v>
      </c>
      <c r="S100" s="4">
        <v>134.62</v>
      </c>
      <c r="T100">
        <f t="shared" si="8"/>
        <v>-10</v>
      </c>
      <c r="AC100">
        <v>99</v>
      </c>
      <c r="AD100">
        <v>116.97</v>
      </c>
      <c r="AE100">
        <f t="shared" si="9"/>
        <v>-9.2000000000001592</v>
      </c>
      <c r="AN100">
        <v>99</v>
      </c>
      <c r="AO100">
        <v>134.08000000000001</v>
      </c>
      <c r="AP100">
        <f t="shared" si="10"/>
        <v>-6.199999999999477</v>
      </c>
      <c r="AY100">
        <v>99</v>
      </c>
      <c r="AZ100">
        <v>185.82</v>
      </c>
      <c r="BA100">
        <f t="shared" si="11"/>
        <v>-8.6000000000001364</v>
      </c>
    </row>
    <row r="101" spans="1:53" x14ac:dyDescent="0.25">
      <c r="A101">
        <v>101</v>
      </c>
      <c r="B101">
        <v>114.23</v>
      </c>
      <c r="C101">
        <f t="shared" si="6"/>
        <v>-8.4000000000000341</v>
      </c>
      <c r="H101">
        <v>101</v>
      </c>
      <c r="I101" s="4">
        <v>109.75</v>
      </c>
      <c r="J101">
        <f t="shared" si="7"/>
        <v>-2.4000000000000909</v>
      </c>
      <c r="R101">
        <v>100</v>
      </c>
      <c r="S101" s="4">
        <v>134.22999999999999</v>
      </c>
      <c r="T101">
        <f t="shared" si="8"/>
        <v>-7.8000000000002956</v>
      </c>
      <c r="AC101">
        <v>100</v>
      </c>
      <c r="AD101">
        <v>116.66</v>
      </c>
      <c r="AE101">
        <f t="shared" si="9"/>
        <v>-6.2000000000000455</v>
      </c>
      <c r="AN101">
        <v>100</v>
      </c>
      <c r="AO101">
        <v>133.72999999999999</v>
      </c>
      <c r="AP101">
        <f t="shared" si="10"/>
        <v>-7.0000000000004547</v>
      </c>
      <c r="AY101">
        <v>100</v>
      </c>
      <c r="AZ101">
        <v>185.59</v>
      </c>
      <c r="BA101">
        <f t="shared" si="11"/>
        <v>-4.5999999999997954</v>
      </c>
    </row>
    <row r="102" spans="1:53" x14ac:dyDescent="0.25">
      <c r="A102">
        <v>102</v>
      </c>
      <c r="B102">
        <v>113.77</v>
      </c>
      <c r="C102">
        <f t="shared" si="6"/>
        <v>-9.2000000000001592</v>
      </c>
      <c r="H102">
        <v>102</v>
      </c>
      <c r="I102" s="4">
        <v>109.48</v>
      </c>
      <c r="J102">
        <f t="shared" si="7"/>
        <v>-5.3999999999999204</v>
      </c>
      <c r="R102">
        <v>101</v>
      </c>
      <c r="S102" s="4">
        <v>133.72999999999999</v>
      </c>
      <c r="T102">
        <f t="shared" si="8"/>
        <v>-10</v>
      </c>
      <c r="AC102">
        <v>101</v>
      </c>
      <c r="AD102">
        <v>116.7</v>
      </c>
      <c r="AE102">
        <f t="shared" si="9"/>
        <v>0.80000000000012506</v>
      </c>
      <c r="AN102">
        <v>101</v>
      </c>
      <c r="AO102">
        <v>133.38</v>
      </c>
      <c r="AP102">
        <f t="shared" si="10"/>
        <v>-6.9999999999998863</v>
      </c>
      <c r="AY102">
        <v>101</v>
      </c>
      <c r="AZ102">
        <v>185.17</v>
      </c>
      <c r="BA102">
        <f t="shared" si="11"/>
        <v>-8.4000000000003183</v>
      </c>
    </row>
    <row r="103" spans="1:53" x14ac:dyDescent="0.25">
      <c r="A103">
        <v>103</v>
      </c>
      <c r="B103">
        <v>113.26</v>
      </c>
      <c r="C103">
        <f t="shared" si="6"/>
        <v>-10.199999999999818</v>
      </c>
      <c r="H103">
        <v>103</v>
      </c>
      <c r="I103" s="4">
        <v>109.05</v>
      </c>
      <c r="J103">
        <f t="shared" si="7"/>
        <v>-8.6000000000001364</v>
      </c>
      <c r="R103">
        <v>102</v>
      </c>
      <c r="S103" s="4">
        <v>133.34</v>
      </c>
      <c r="T103">
        <f t="shared" si="8"/>
        <v>-7.7999999999997272</v>
      </c>
      <c r="AC103">
        <v>102</v>
      </c>
      <c r="AD103">
        <v>116.39</v>
      </c>
      <c r="AE103">
        <f t="shared" si="9"/>
        <v>-6.2000000000000455</v>
      </c>
      <c r="AN103">
        <v>102</v>
      </c>
      <c r="AO103">
        <v>133.27000000000001</v>
      </c>
      <c r="AP103">
        <f t="shared" si="10"/>
        <v>-2.1999999999997044</v>
      </c>
      <c r="AY103">
        <v>102</v>
      </c>
      <c r="AZ103">
        <v>184.97</v>
      </c>
      <c r="BA103">
        <f t="shared" si="11"/>
        <v>-3.9999999999997726</v>
      </c>
    </row>
    <row r="104" spans="1:53" x14ac:dyDescent="0.25">
      <c r="A104">
        <v>104</v>
      </c>
      <c r="B104">
        <v>112.95</v>
      </c>
      <c r="C104">
        <f t="shared" si="6"/>
        <v>-6.2000000000000455</v>
      </c>
      <c r="H104">
        <v>104</v>
      </c>
      <c r="I104" s="4">
        <v>108.4</v>
      </c>
      <c r="J104">
        <f t="shared" si="7"/>
        <v>-12.999999999999829</v>
      </c>
      <c r="R104">
        <v>103</v>
      </c>
      <c r="S104" s="4">
        <v>132.96</v>
      </c>
      <c r="T104">
        <f t="shared" si="8"/>
        <v>-7.5999999999999091</v>
      </c>
      <c r="AC104">
        <v>103</v>
      </c>
      <c r="AD104">
        <v>115.73</v>
      </c>
      <c r="AE104">
        <f t="shared" si="9"/>
        <v>-13.199999999999932</v>
      </c>
      <c r="AN104">
        <v>103</v>
      </c>
      <c r="AO104">
        <v>133.72999999999999</v>
      </c>
      <c r="AP104">
        <f t="shared" si="10"/>
        <v>9.1999999999995907</v>
      </c>
      <c r="AY104">
        <v>103</v>
      </c>
      <c r="AZ104">
        <v>184.9</v>
      </c>
      <c r="BA104">
        <f t="shared" si="11"/>
        <v>-1.3999999999998636</v>
      </c>
    </row>
    <row r="105" spans="1:53" x14ac:dyDescent="0.25">
      <c r="A105">
        <v>105</v>
      </c>
      <c r="B105">
        <v>112.53</v>
      </c>
      <c r="C105">
        <f t="shared" si="6"/>
        <v>-8.4000000000000341</v>
      </c>
      <c r="H105">
        <v>105</v>
      </c>
      <c r="I105" s="4">
        <v>107.97</v>
      </c>
      <c r="J105">
        <f t="shared" si="7"/>
        <v>-8.6000000000001364</v>
      </c>
      <c r="R105">
        <v>104</v>
      </c>
      <c r="S105" s="4">
        <v>132.41999999999999</v>
      </c>
      <c r="T105">
        <f t="shared" si="8"/>
        <v>-10.800000000000409</v>
      </c>
      <c r="AC105">
        <v>104</v>
      </c>
      <c r="AD105">
        <v>115.27</v>
      </c>
      <c r="AE105">
        <f t="shared" si="9"/>
        <v>-9.2000000000001592</v>
      </c>
      <c r="AN105">
        <v>104</v>
      </c>
      <c r="AO105">
        <v>134.12</v>
      </c>
      <c r="AP105">
        <f t="shared" si="10"/>
        <v>7.8000000000002956</v>
      </c>
      <c r="AY105">
        <v>104</v>
      </c>
      <c r="AZ105">
        <v>184.67</v>
      </c>
      <c r="BA105">
        <f t="shared" si="11"/>
        <v>-4.6000000000003638</v>
      </c>
    </row>
    <row r="106" spans="1:53" x14ac:dyDescent="0.25">
      <c r="A106">
        <v>106</v>
      </c>
      <c r="B106">
        <v>112.72</v>
      </c>
      <c r="C106">
        <f t="shared" si="6"/>
        <v>3.7999999999999545</v>
      </c>
      <c r="H106">
        <v>106</v>
      </c>
      <c r="I106" s="4">
        <v>107.66</v>
      </c>
      <c r="J106">
        <f t="shared" si="7"/>
        <v>-6.2000000000000455</v>
      </c>
      <c r="R106">
        <v>105</v>
      </c>
      <c r="S106" s="5">
        <v>132.11000000000001</v>
      </c>
      <c r="T106">
        <f t="shared" si="8"/>
        <v>-6.199999999999477</v>
      </c>
      <c r="AC106">
        <v>105</v>
      </c>
      <c r="AD106">
        <v>114.77</v>
      </c>
      <c r="AE106">
        <f t="shared" si="9"/>
        <v>-10</v>
      </c>
      <c r="AN106">
        <v>105</v>
      </c>
      <c r="AO106">
        <v>133.88</v>
      </c>
      <c r="AP106">
        <f t="shared" si="10"/>
        <v>-4.8000000000001819</v>
      </c>
      <c r="AY106">
        <v>105</v>
      </c>
      <c r="AZ106">
        <v>184.43</v>
      </c>
      <c r="BA106">
        <f t="shared" si="11"/>
        <v>-4.7999999999996135</v>
      </c>
    </row>
    <row r="107" spans="1:53" x14ac:dyDescent="0.25">
      <c r="A107">
        <v>107</v>
      </c>
      <c r="B107">
        <v>112.72</v>
      </c>
      <c r="C107">
        <f t="shared" si="6"/>
        <v>0</v>
      </c>
      <c r="H107">
        <v>107</v>
      </c>
      <c r="I107" s="4">
        <v>107.16</v>
      </c>
      <c r="J107">
        <f t="shared" si="7"/>
        <v>-10</v>
      </c>
      <c r="R107">
        <v>106</v>
      </c>
      <c r="S107" s="5">
        <v>132.22</v>
      </c>
      <c r="T107">
        <f t="shared" si="8"/>
        <v>2.1999999999997044</v>
      </c>
      <c r="AC107">
        <v>106</v>
      </c>
      <c r="AD107">
        <v>114.34</v>
      </c>
      <c r="AE107">
        <f t="shared" si="9"/>
        <v>-8.5999999999998522</v>
      </c>
      <c r="AN107">
        <v>106</v>
      </c>
      <c r="AO107">
        <v>133.27000000000001</v>
      </c>
      <c r="AP107">
        <f t="shared" si="10"/>
        <v>-12.199999999999704</v>
      </c>
      <c r="AY107">
        <v>106</v>
      </c>
      <c r="AZ107">
        <v>184.16</v>
      </c>
      <c r="BA107">
        <f t="shared" si="11"/>
        <v>-5.4000000000002046</v>
      </c>
    </row>
    <row r="108" spans="1:53" x14ac:dyDescent="0.25">
      <c r="A108">
        <v>108</v>
      </c>
      <c r="B108">
        <v>111.8</v>
      </c>
      <c r="C108">
        <f t="shared" si="6"/>
        <v>-18.400000000000034</v>
      </c>
      <c r="H108">
        <v>108</v>
      </c>
      <c r="I108" s="4">
        <v>106.81</v>
      </c>
      <c r="J108">
        <f t="shared" si="7"/>
        <v>-6.9999999999998863</v>
      </c>
      <c r="R108">
        <v>107</v>
      </c>
      <c r="S108" s="5">
        <v>133</v>
      </c>
      <c r="T108">
        <f t="shared" si="8"/>
        <v>15.600000000000023</v>
      </c>
      <c r="AC108">
        <v>107</v>
      </c>
      <c r="AD108">
        <v>113.92</v>
      </c>
      <c r="AE108">
        <f t="shared" si="9"/>
        <v>-8.4000000000000341</v>
      </c>
      <c r="AN108">
        <v>107</v>
      </c>
      <c r="AO108">
        <v>132.34</v>
      </c>
      <c r="AP108">
        <f t="shared" si="10"/>
        <v>-18.600000000000136</v>
      </c>
      <c r="AY108">
        <v>107</v>
      </c>
      <c r="AZ108">
        <v>183.93</v>
      </c>
      <c r="BA108">
        <f t="shared" si="11"/>
        <v>-4.5999999999997954</v>
      </c>
    </row>
    <row r="109" spans="1:53" x14ac:dyDescent="0.25">
      <c r="A109">
        <v>109</v>
      </c>
      <c r="B109">
        <v>111.1</v>
      </c>
      <c r="C109">
        <f t="shared" si="6"/>
        <v>-14.000000000000057</v>
      </c>
      <c r="H109">
        <v>109</v>
      </c>
      <c r="I109" s="4">
        <v>106.39</v>
      </c>
      <c r="J109">
        <f t="shared" si="7"/>
        <v>-8.4000000000000341</v>
      </c>
      <c r="R109">
        <v>108</v>
      </c>
      <c r="S109" s="4">
        <v>132.76</v>
      </c>
      <c r="T109">
        <f t="shared" si="8"/>
        <v>-4.8000000000001819</v>
      </c>
      <c r="AC109">
        <v>108</v>
      </c>
      <c r="AD109">
        <v>113.5</v>
      </c>
      <c r="AE109">
        <f t="shared" si="9"/>
        <v>-8.4000000000000341</v>
      </c>
      <c r="AN109">
        <v>108</v>
      </c>
      <c r="AO109">
        <v>131.88</v>
      </c>
      <c r="AP109">
        <f t="shared" si="10"/>
        <v>-9.2000000000001592</v>
      </c>
      <c r="AY109">
        <v>108</v>
      </c>
      <c r="AZ109">
        <v>183.7</v>
      </c>
      <c r="BA109">
        <f t="shared" si="11"/>
        <v>-4.6000000000003638</v>
      </c>
    </row>
    <row r="110" spans="1:53" x14ac:dyDescent="0.25">
      <c r="A110">
        <v>110</v>
      </c>
      <c r="B110">
        <v>110.64</v>
      </c>
      <c r="C110">
        <f t="shared" si="6"/>
        <v>-9.1999999999998749</v>
      </c>
      <c r="H110">
        <v>110</v>
      </c>
      <c r="I110" s="4">
        <v>105.93</v>
      </c>
      <c r="J110">
        <f t="shared" si="7"/>
        <v>-9.1999999999998749</v>
      </c>
      <c r="R110">
        <v>109</v>
      </c>
      <c r="S110" s="4">
        <v>132.34</v>
      </c>
      <c r="T110">
        <f t="shared" si="8"/>
        <v>-8.3999999999997499</v>
      </c>
      <c r="AC110">
        <v>109</v>
      </c>
      <c r="AD110">
        <v>113.03</v>
      </c>
      <c r="AE110">
        <f t="shared" si="9"/>
        <v>-9.3999999999999773</v>
      </c>
      <c r="AN110">
        <v>109</v>
      </c>
      <c r="AO110">
        <v>131.44999999999999</v>
      </c>
      <c r="AP110">
        <f t="shared" si="10"/>
        <v>-8.6000000000001364</v>
      </c>
      <c r="AY110">
        <v>109</v>
      </c>
      <c r="AZ110">
        <v>183.58</v>
      </c>
      <c r="BA110">
        <f t="shared" si="11"/>
        <v>-2.3999999999995225</v>
      </c>
    </row>
    <row r="111" spans="1:53" x14ac:dyDescent="0.25">
      <c r="A111">
        <v>111</v>
      </c>
      <c r="B111">
        <v>110.17</v>
      </c>
      <c r="C111">
        <f t="shared" si="6"/>
        <v>-9.3999999999999773</v>
      </c>
      <c r="H111">
        <v>111</v>
      </c>
      <c r="I111" s="4">
        <v>105.58</v>
      </c>
      <c r="J111">
        <f t="shared" si="7"/>
        <v>-7.0000000000001705</v>
      </c>
      <c r="R111">
        <v>110</v>
      </c>
      <c r="S111" s="4">
        <v>131.30000000000001</v>
      </c>
      <c r="T111">
        <f t="shared" si="8"/>
        <v>-20.799999999999841</v>
      </c>
      <c r="AC111">
        <v>110</v>
      </c>
      <c r="AD111">
        <v>112.65</v>
      </c>
      <c r="AE111">
        <f t="shared" si="9"/>
        <v>-7.5999999999999091</v>
      </c>
      <c r="AN111">
        <v>110</v>
      </c>
      <c r="AO111">
        <v>131.07</v>
      </c>
      <c r="AP111">
        <f t="shared" si="10"/>
        <v>-7.5999999999999091</v>
      </c>
      <c r="AY111">
        <v>110</v>
      </c>
      <c r="AZ111">
        <v>183.31</v>
      </c>
      <c r="BA111">
        <f t="shared" si="11"/>
        <v>-5.4000000000002046</v>
      </c>
    </row>
    <row r="112" spans="1:53" x14ac:dyDescent="0.25">
      <c r="A112">
        <v>112</v>
      </c>
      <c r="B112">
        <v>109.75</v>
      </c>
      <c r="C112">
        <f t="shared" si="6"/>
        <v>-8.4000000000000341</v>
      </c>
      <c r="H112">
        <v>112</v>
      </c>
      <c r="I112" s="4">
        <v>105.19</v>
      </c>
      <c r="J112">
        <f t="shared" si="7"/>
        <v>-7.8000000000000114</v>
      </c>
      <c r="R112">
        <v>111</v>
      </c>
      <c r="S112" s="4">
        <v>130.06</v>
      </c>
      <c r="T112">
        <f t="shared" si="8"/>
        <v>-24.800000000000182</v>
      </c>
      <c r="AC112">
        <v>111</v>
      </c>
      <c r="AD112">
        <v>112.22</v>
      </c>
      <c r="AE112">
        <f t="shared" si="9"/>
        <v>-8.6000000000001364</v>
      </c>
      <c r="AN112">
        <v>111</v>
      </c>
      <c r="AO112">
        <v>130.72</v>
      </c>
      <c r="AP112">
        <f t="shared" si="10"/>
        <v>-6.9999999999998863</v>
      </c>
      <c r="AY112">
        <v>111</v>
      </c>
      <c r="AZ112">
        <v>183.16</v>
      </c>
      <c r="BA112">
        <f t="shared" si="11"/>
        <v>-3.0000000000001137</v>
      </c>
    </row>
    <row r="113" spans="1:53" x14ac:dyDescent="0.25">
      <c r="A113">
        <v>113</v>
      </c>
      <c r="B113">
        <v>109.36</v>
      </c>
      <c r="C113">
        <f t="shared" si="6"/>
        <v>-7.8000000000000114</v>
      </c>
      <c r="H113">
        <v>113</v>
      </c>
      <c r="I113" s="4">
        <v>104.88</v>
      </c>
      <c r="J113">
        <f t="shared" si="7"/>
        <v>-6.2000000000000455</v>
      </c>
      <c r="R113">
        <v>112</v>
      </c>
      <c r="S113" s="4">
        <v>129.52000000000001</v>
      </c>
      <c r="T113">
        <f t="shared" si="8"/>
        <v>-10.799999999999841</v>
      </c>
      <c r="AC113">
        <v>112</v>
      </c>
      <c r="AD113">
        <v>111.8</v>
      </c>
      <c r="AE113">
        <f t="shared" si="9"/>
        <v>-8.4000000000000341</v>
      </c>
      <c r="AN113">
        <v>112</v>
      </c>
      <c r="AO113">
        <v>130.41</v>
      </c>
      <c r="AP113">
        <f t="shared" si="10"/>
        <v>-6.2000000000000455</v>
      </c>
      <c r="AY113">
        <v>112</v>
      </c>
      <c r="AZ113">
        <v>182.97</v>
      </c>
      <c r="BA113">
        <f t="shared" si="11"/>
        <v>-3.7999999999999545</v>
      </c>
    </row>
    <row r="114" spans="1:53" x14ac:dyDescent="0.25">
      <c r="A114">
        <v>114</v>
      </c>
      <c r="B114">
        <v>108.86</v>
      </c>
      <c r="C114">
        <f t="shared" si="6"/>
        <v>-10</v>
      </c>
      <c r="H114">
        <v>114</v>
      </c>
      <c r="I114" s="4">
        <v>104.84</v>
      </c>
      <c r="J114">
        <f t="shared" si="7"/>
        <v>-0.79999999999984084</v>
      </c>
      <c r="R114">
        <v>113</v>
      </c>
      <c r="S114" s="4">
        <v>129.1</v>
      </c>
      <c r="T114">
        <f t="shared" si="8"/>
        <v>-8.4000000000003183</v>
      </c>
      <c r="AC114">
        <v>113</v>
      </c>
      <c r="AD114">
        <v>111.41</v>
      </c>
      <c r="AE114">
        <f t="shared" si="9"/>
        <v>-7.8000000000000114</v>
      </c>
      <c r="AN114">
        <v>113</v>
      </c>
      <c r="AO114">
        <v>130.06</v>
      </c>
      <c r="AP114">
        <f t="shared" si="10"/>
        <v>-6.9999999999998863</v>
      </c>
      <c r="AY114">
        <v>113</v>
      </c>
      <c r="AZ114">
        <v>182.74</v>
      </c>
      <c r="BA114">
        <f t="shared" si="11"/>
        <v>-4.5999999999997954</v>
      </c>
    </row>
    <row r="115" spans="1:53" x14ac:dyDescent="0.25">
      <c r="A115">
        <v>115</v>
      </c>
      <c r="B115">
        <v>108.4</v>
      </c>
      <c r="C115">
        <f t="shared" si="6"/>
        <v>-9.1999999999998749</v>
      </c>
      <c r="H115">
        <v>115</v>
      </c>
      <c r="I115" s="4">
        <v>104.88</v>
      </c>
      <c r="J115">
        <f t="shared" si="7"/>
        <v>0.79999999999984084</v>
      </c>
      <c r="R115">
        <v>114</v>
      </c>
      <c r="S115" s="4">
        <v>128.63</v>
      </c>
      <c r="T115">
        <f t="shared" si="8"/>
        <v>-9.3999999999999773</v>
      </c>
      <c r="AC115">
        <v>114</v>
      </c>
      <c r="AD115">
        <v>110.95</v>
      </c>
      <c r="AE115">
        <f t="shared" si="9"/>
        <v>-9.1999999999998749</v>
      </c>
      <c r="AN115">
        <v>114</v>
      </c>
      <c r="AO115">
        <v>129.75</v>
      </c>
      <c r="AP115">
        <f t="shared" si="10"/>
        <v>-6.2000000000000455</v>
      </c>
      <c r="AY115">
        <v>114</v>
      </c>
      <c r="AZ115">
        <v>182.77</v>
      </c>
      <c r="BA115">
        <f t="shared" si="11"/>
        <v>0.60000000000002274</v>
      </c>
    </row>
    <row r="116" spans="1:53" x14ac:dyDescent="0.25">
      <c r="A116">
        <v>116</v>
      </c>
      <c r="B116">
        <v>107.97</v>
      </c>
      <c r="C116">
        <f t="shared" si="6"/>
        <v>-8.6000000000001364</v>
      </c>
      <c r="H116">
        <v>116</v>
      </c>
      <c r="I116" s="4">
        <v>104.73</v>
      </c>
      <c r="J116">
        <f t="shared" si="7"/>
        <v>-2.9999999999998295</v>
      </c>
      <c r="R116">
        <v>115</v>
      </c>
      <c r="S116" s="4">
        <v>128.13</v>
      </c>
      <c r="T116">
        <f t="shared" si="8"/>
        <v>-10</v>
      </c>
      <c r="AC116">
        <v>115</v>
      </c>
      <c r="AD116">
        <v>110.52</v>
      </c>
      <c r="AE116">
        <f t="shared" si="9"/>
        <v>-8.6000000000001364</v>
      </c>
      <c r="AN116">
        <v>115</v>
      </c>
      <c r="AO116">
        <v>129.94999999999999</v>
      </c>
      <c r="AP116">
        <f t="shared" si="10"/>
        <v>3.9999999999997726</v>
      </c>
      <c r="AY116">
        <v>115</v>
      </c>
      <c r="AZ116">
        <v>183.2</v>
      </c>
      <c r="BA116">
        <f t="shared" si="11"/>
        <v>8.599999999999568</v>
      </c>
    </row>
    <row r="117" spans="1:53" x14ac:dyDescent="0.25">
      <c r="A117">
        <v>117</v>
      </c>
      <c r="B117">
        <v>107.59</v>
      </c>
      <c r="C117">
        <f t="shared" si="6"/>
        <v>-7.5999999999999091</v>
      </c>
      <c r="H117">
        <v>117</v>
      </c>
      <c r="I117" s="4">
        <v>104.34</v>
      </c>
      <c r="J117">
        <f t="shared" si="7"/>
        <v>-7.8000000000000114</v>
      </c>
      <c r="R117">
        <v>116</v>
      </c>
      <c r="S117" s="4">
        <v>127.71</v>
      </c>
      <c r="T117">
        <f t="shared" si="8"/>
        <v>-8.4000000000000341</v>
      </c>
      <c r="AC117">
        <v>116</v>
      </c>
      <c r="AD117">
        <v>110.17</v>
      </c>
      <c r="AE117">
        <f t="shared" si="9"/>
        <v>-6.9999999999998863</v>
      </c>
      <c r="AN117">
        <v>116</v>
      </c>
      <c r="AO117">
        <v>130.68</v>
      </c>
      <c r="AP117">
        <f t="shared" si="10"/>
        <v>14.600000000000364</v>
      </c>
      <c r="AY117">
        <v>116</v>
      </c>
      <c r="AZ117">
        <v>183.43</v>
      </c>
      <c r="BA117">
        <f t="shared" si="11"/>
        <v>4.6000000000003638</v>
      </c>
    </row>
    <row r="118" spans="1:53" x14ac:dyDescent="0.25">
      <c r="A118">
        <v>118</v>
      </c>
      <c r="B118">
        <v>107.12</v>
      </c>
      <c r="C118">
        <f t="shared" si="6"/>
        <v>-9.3999999999999773</v>
      </c>
      <c r="H118">
        <v>118</v>
      </c>
      <c r="I118" s="4">
        <v>103.72</v>
      </c>
      <c r="J118">
        <f t="shared" si="7"/>
        <v>-12.400000000000091</v>
      </c>
      <c r="R118">
        <v>117</v>
      </c>
      <c r="S118" s="4">
        <v>127.28</v>
      </c>
      <c r="T118">
        <f t="shared" si="8"/>
        <v>-8.5999999999998522</v>
      </c>
      <c r="AC118">
        <v>117</v>
      </c>
      <c r="AD118">
        <v>109.75</v>
      </c>
      <c r="AE118">
        <f t="shared" si="9"/>
        <v>-8.4000000000000341</v>
      </c>
      <c r="AN118">
        <v>117</v>
      </c>
      <c r="AO118">
        <v>130.72</v>
      </c>
      <c r="AP118">
        <f t="shared" si="10"/>
        <v>0.79999999999984084</v>
      </c>
      <c r="AY118">
        <v>117</v>
      </c>
      <c r="AZ118">
        <v>183.16</v>
      </c>
      <c r="BA118">
        <f t="shared" si="11"/>
        <v>-5.4000000000002046</v>
      </c>
    </row>
    <row r="119" spans="1:53" x14ac:dyDescent="0.25">
      <c r="A119">
        <v>119</v>
      </c>
      <c r="B119">
        <v>106.62</v>
      </c>
      <c r="C119">
        <f t="shared" si="6"/>
        <v>-10</v>
      </c>
      <c r="H119">
        <v>119</v>
      </c>
      <c r="I119" s="4">
        <v>103.18</v>
      </c>
      <c r="J119">
        <f t="shared" si="7"/>
        <v>-10.799999999999841</v>
      </c>
      <c r="R119">
        <v>118</v>
      </c>
      <c r="S119" s="4">
        <v>126.86</v>
      </c>
      <c r="T119">
        <f t="shared" si="8"/>
        <v>-8.4000000000000341</v>
      </c>
      <c r="AC119">
        <v>118</v>
      </c>
      <c r="AD119">
        <v>109.4</v>
      </c>
      <c r="AE119">
        <f t="shared" si="9"/>
        <v>-6.9999999999998863</v>
      </c>
      <c r="AN119">
        <v>118</v>
      </c>
      <c r="AO119">
        <v>130.44999999999999</v>
      </c>
      <c r="AP119">
        <f t="shared" si="10"/>
        <v>-5.4000000000002046</v>
      </c>
      <c r="AY119">
        <v>118</v>
      </c>
      <c r="AZ119">
        <v>182.74</v>
      </c>
      <c r="BA119">
        <f t="shared" si="11"/>
        <v>-8.3999999999997499</v>
      </c>
    </row>
    <row r="120" spans="1:53" x14ac:dyDescent="0.25">
      <c r="A120">
        <v>120</v>
      </c>
      <c r="B120">
        <v>106.31</v>
      </c>
      <c r="C120">
        <f t="shared" si="6"/>
        <v>-6.2000000000000455</v>
      </c>
      <c r="H120">
        <v>120</v>
      </c>
      <c r="I120" s="4">
        <v>102.76</v>
      </c>
      <c r="J120">
        <f t="shared" si="7"/>
        <v>-8.4000000000000341</v>
      </c>
      <c r="R120">
        <v>119</v>
      </c>
      <c r="S120" s="4">
        <v>126.39</v>
      </c>
      <c r="T120">
        <f t="shared" si="8"/>
        <v>-9.3999999999999773</v>
      </c>
      <c r="AC120">
        <v>119</v>
      </c>
      <c r="AD120">
        <v>109.05</v>
      </c>
      <c r="AE120">
        <f t="shared" si="9"/>
        <v>-7.0000000000001705</v>
      </c>
      <c r="AN120">
        <v>119</v>
      </c>
      <c r="AO120">
        <v>129.63999999999999</v>
      </c>
      <c r="AP120">
        <f t="shared" si="10"/>
        <v>-16.200000000000045</v>
      </c>
      <c r="AY120">
        <v>119</v>
      </c>
      <c r="AZ120">
        <v>182.39</v>
      </c>
      <c r="BA120">
        <f t="shared" si="11"/>
        <v>-7.0000000000004547</v>
      </c>
    </row>
    <row r="121" spans="1:53" x14ac:dyDescent="0.25">
      <c r="A121">
        <v>121</v>
      </c>
      <c r="B121">
        <v>105.93</v>
      </c>
      <c r="C121">
        <f t="shared" si="6"/>
        <v>-7.5999999999999091</v>
      </c>
      <c r="H121">
        <v>121</v>
      </c>
      <c r="I121" s="4">
        <v>102.3</v>
      </c>
      <c r="J121">
        <f t="shared" si="7"/>
        <v>-9.2000000000001592</v>
      </c>
      <c r="R121">
        <v>120</v>
      </c>
      <c r="S121" s="6">
        <v>126.16</v>
      </c>
      <c r="T121">
        <f t="shared" si="8"/>
        <v>-4.6000000000000796</v>
      </c>
      <c r="AC121">
        <v>120</v>
      </c>
      <c r="AD121">
        <v>108.59</v>
      </c>
      <c r="AE121">
        <f t="shared" si="9"/>
        <v>-9.1999999999998749</v>
      </c>
      <c r="AN121">
        <v>120</v>
      </c>
      <c r="AO121">
        <v>128.83000000000001</v>
      </c>
      <c r="AP121">
        <f t="shared" si="10"/>
        <v>-16.199999999999477</v>
      </c>
      <c r="AY121">
        <v>120</v>
      </c>
      <c r="AZ121">
        <v>182.04</v>
      </c>
      <c r="BA121">
        <f t="shared" si="11"/>
        <v>-6.9999999999998863</v>
      </c>
    </row>
    <row r="122" spans="1:53" x14ac:dyDescent="0.25">
      <c r="A122">
        <v>122</v>
      </c>
      <c r="B122">
        <v>105.54</v>
      </c>
      <c r="C122">
        <f t="shared" si="6"/>
        <v>-7.8000000000000114</v>
      </c>
      <c r="H122">
        <v>122</v>
      </c>
      <c r="I122" s="4">
        <v>101.95</v>
      </c>
      <c r="J122">
        <f t="shared" si="7"/>
        <v>-6.9999999999998863</v>
      </c>
      <c r="R122">
        <v>121</v>
      </c>
      <c r="S122" s="6">
        <v>126.97</v>
      </c>
      <c r="T122">
        <f t="shared" si="8"/>
        <v>16.200000000000045</v>
      </c>
      <c r="AC122">
        <v>121</v>
      </c>
      <c r="AD122">
        <v>108.24</v>
      </c>
      <c r="AE122">
        <f t="shared" si="9"/>
        <v>-7.0000000000001705</v>
      </c>
      <c r="AN122">
        <v>121</v>
      </c>
      <c r="AO122">
        <v>128.32</v>
      </c>
      <c r="AP122">
        <f t="shared" si="10"/>
        <v>-10.200000000000387</v>
      </c>
      <c r="AY122">
        <v>121</v>
      </c>
      <c r="AZ122">
        <v>181.65</v>
      </c>
      <c r="BA122">
        <f t="shared" si="11"/>
        <v>-7.7999999999997272</v>
      </c>
    </row>
    <row r="123" spans="1:53" x14ac:dyDescent="0.25">
      <c r="A123">
        <v>123</v>
      </c>
      <c r="B123">
        <v>105.04</v>
      </c>
      <c r="C123">
        <f t="shared" si="6"/>
        <v>-10</v>
      </c>
      <c r="H123">
        <v>123</v>
      </c>
      <c r="I123" s="4">
        <v>101.6</v>
      </c>
      <c r="J123">
        <f t="shared" si="7"/>
        <v>-7.0000000000001705</v>
      </c>
      <c r="R123">
        <v>122</v>
      </c>
      <c r="S123" s="6">
        <v>127.4</v>
      </c>
      <c r="T123">
        <f t="shared" si="8"/>
        <v>8.6000000000001364</v>
      </c>
      <c r="AC123">
        <v>122</v>
      </c>
      <c r="AD123">
        <v>108.01</v>
      </c>
      <c r="AE123">
        <f t="shared" si="9"/>
        <v>-4.5999999999997954</v>
      </c>
      <c r="AN123">
        <v>122</v>
      </c>
      <c r="AO123">
        <v>127.82</v>
      </c>
      <c r="AP123">
        <f t="shared" si="10"/>
        <v>-10</v>
      </c>
      <c r="AY123">
        <v>122</v>
      </c>
      <c r="AZ123">
        <v>181.38</v>
      </c>
      <c r="BA123">
        <f t="shared" si="11"/>
        <v>-5.4000000000002046</v>
      </c>
    </row>
    <row r="124" spans="1:53" x14ac:dyDescent="0.25">
      <c r="A124">
        <v>124</v>
      </c>
      <c r="B124">
        <v>104.69</v>
      </c>
      <c r="C124">
        <f t="shared" si="6"/>
        <v>-7.0000000000001705</v>
      </c>
      <c r="H124">
        <v>124</v>
      </c>
      <c r="I124" s="4">
        <v>101.18</v>
      </c>
      <c r="J124">
        <f t="shared" si="7"/>
        <v>-8.3999999999997499</v>
      </c>
      <c r="R124">
        <v>123</v>
      </c>
      <c r="S124" s="4">
        <v>126.9</v>
      </c>
      <c r="T124">
        <f t="shared" si="8"/>
        <v>-10</v>
      </c>
      <c r="AC124">
        <v>123</v>
      </c>
      <c r="AD124">
        <v>108.17</v>
      </c>
      <c r="AE124">
        <f t="shared" si="9"/>
        <v>3.1999999999999318</v>
      </c>
      <c r="AN124">
        <v>123</v>
      </c>
      <c r="AO124">
        <v>127.51</v>
      </c>
      <c r="AP124">
        <f t="shared" si="10"/>
        <v>-6.1999999999997613</v>
      </c>
      <c r="AY124">
        <v>123</v>
      </c>
      <c r="AZ124">
        <v>181.27</v>
      </c>
      <c r="BA124">
        <f t="shared" si="11"/>
        <v>-2.1999999999997044</v>
      </c>
    </row>
    <row r="125" spans="1:53" x14ac:dyDescent="0.25">
      <c r="A125">
        <v>125</v>
      </c>
      <c r="B125">
        <v>104.42</v>
      </c>
      <c r="C125">
        <f t="shared" si="6"/>
        <v>-5.3999999999999204</v>
      </c>
      <c r="H125">
        <v>125</v>
      </c>
      <c r="I125" s="4">
        <v>100.83</v>
      </c>
      <c r="J125">
        <f t="shared" si="7"/>
        <v>-7.0000000000001705</v>
      </c>
      <c r="R125">
        <v>124</v>
      </c>
      <c r="S125" s="4">
        <v>126.2</v>
      </c>
      <c r="T125">
        <f t="shared" si="8"/>
        <v>-14.000000000000057</v>
      </c>
      <c r="AC125">
        <v>124</v>
      </c>
      <c r="AD125">
        <v>107.9</v>
      </c>
      <c r="AE125">
        <f t="shared" si="9"/>
        <v>-5.3999999999999204</v>
      </c>
      <c r="AN125">
        <v>124</v>
      </c>
      <c r="AO125">
        <v>127.13</v>
      </c>
      <c r="AP125">
        <f t="shared" si="10"/>
        <v>-7.6000000000001933</v>
      </c>
      <c r="AY125">
        <v>124</v>
      </c>
      <c r="AZ125">
        <v>181.04</v>
      </c>
      <c r="BA125">
        <f t="shared" si="11"/>
        <v>-4.6000000000003638</v>
      </c>
    </row>
    <row r="126" spans="1:53" x14ac:dyDescent="0.25">
      <c r="A126">
        <v>126</v>
      </c>
      <c r="B126" s="2">
        <v>104.96</v>
      </c>
      <c r="C126">
        <f t="shared" si="6"/>
        <v>10.799999999999841</v>
      </c>
      <c r="H126">
        <v>126</v>
      </c>
      <c r="I126" s="4">
        <v>100.44</v>
      </c>
      <c r="J126">
        <f t="shared" si="7"/>
        <v>-7.8000000000000114</v>
      </c>
      <c r="R126">
        <v>125</v>
      </c>
      <c r="S126" s="4">
        <v>124.85</v>
      </c>
      <c r="T126">
        <f t="shared" si="8"/>
        <v>-27.000000000000171</v>
      </c>
      <c r="AC126">
        <v>125</v>
      </c>
      <c r="AD126">
        <v>107.12</v>
      </c>
      <c r="AE126">
        <f t="shared" si="9"/>
        <v>-15.600000000000023</v>
      </c>
      <c r="AN126">
        <v>125</v>
      </c>
      <c r="AO126">
        <v>126.82</v>
      </c>
      <c r="AP126">
        <f t="shared" si="10"/>
        <v>-6.2000000000000455</v>
      </c>
      <c r="AY126">
        <v>125</v>
      </c>
      <c r="AZ126">
        <v>180.96</v>
      </c>
      <c r="BA126">
        <f t="shared" si="11"/>
        <v>-1.5999999999996817</v>
      </c>
    </row>
    <row r="127" spans="1:53" x14ac:dyDescent="0.25">
      <c r="A127">
        <v>127</v>
      </c>
      <c r="B127" s="2">
        <v>105.46</v>
      </c>
      <c r="C127">
        <f t="shared" si="6"/>
        <v>10</v>
      </c>
      <c r="H127">
        <v>127</v>
      </c>
      <c r="I127" s="4">
        <v>100.21</v>
      </c>
      <c r="J127">
        <f t="shared" si="7"/>
        <v>-4.6000000000000796</v>
      </c>
      <c r="R127">
        <v>126</v>
      </c>
      <c r="S127" s="4">
        <v>124.27</v>
      </c>
      <c r="T127">
        <f t="shared" si="8"/>
        <v>-11.599999999999966</v>
      </c>
      <c r="AC127">
        <v>126</v>
      </c>
      <c r="AD127">
        <v>106.7</v>
      </c>
      <c r="AE127">
        <f t="shared" si="9"/>
        <v>-8.4000000000000341</v>
      </c>
      <c r="AN127">
        <v>126</v>
      </c>
      <c r="AO127">
        <v>126.39</v>
      </c>
      <c r="AP127">
        <f t="shared" si="10"/>
        <v>-8.5999999999998522</v>
      </c>
      <c r="AY127">
        <v>126</v>
      </c>
      <c r="AZ127">
        <v>180.69</v>
      </c>
      <c r="BA127">
        <f t="shared" si="11"/>
        <v>-5.4000000000002046</v>
      </c>
    </row>
    <row r="128" spans="1:53" x14ac:dyDescent="0.25">
      <c r="A128">
        <v>128</v>
      </c>
      <c r="B128">
        <v>105.08</v>
      </c>
      <c r="C128">
        <f t="shared" si="6"/>
        <v>-7.5999999999999091</v>
      </c>
      <c r="H128">
        <v>128</v>
      </c>
      <c r="I128" s="4">
        <v>100.13</v>
      </c>
      <c r="J128">
        <f t="shared" si="7"/>
        <v>-1.5999999999999659</v>
      </c>
      <c r="R128">
        <v>127</v>
      </c>
      <c r="S128" s="4">
        <v>123.77</v>
      </c>
      <c r="T128">
        <f t="shared" si="8"/>
        <v>-10</v>
      </c>
      <c r="AC128">
        <v>127</v>
      </c>
      <c r="AD128">
        <v>106.24</v>
      </c>
      <c r="AE128">
        <f t="shared" si="9"/>
        <v>-9.2000000000001592</v>
      </c>
      <c r="AN128">
        <v>127</v>
      </c>
      <c r="AO128">
        <v>126.24</v>
      </c>
      <c r="AP128">
        <f t="shared" si="10"/>
        <v>-3.0000000000001137</v>
      </c>
      <c r="AY128">
        <v>127</v>
      </c>
      <c r="AZ128">
        <v>180.46</v>
      </c>
      <c r="BA128">
        <f t="shared" si="11"/>
        <v>-4.5999999999997954</v>
      </c>
    </row>
    <row r="129" spans="1:53" x14ac:dyDescent="0.25">
      <c r="A129">
        <v>129</v>
      </c>
      <c r="B129">
        <v>104.42</v>
      </c>
      <c r="C129">
        <f t="shared" si="6"/>
        <v>-13.199999999999932</v>
      </c>
      <c r="H129">
        <v>129</v>
      </c>
      <c r="I129" s="4">
        <v>100.25</v>
      </c>
      <c r="J129">
        <f t="shared" si="7"/>
        <v>2.4000000000000909</v>
      </c>
      <c r="R129">
        <v>128</v>
      </c>
      <c r="S129" s="4">
        <v>123.27</v>
      </c>
      <c r="T129">
        <f t="shared" si="8"/>
        <v>-10</v>
      </c>
      <c r="AC129">
        <v>128</v>
      </c>
      <c r="AD129">
        <v>105.81</v>
      </c>
      <c r="AE129">
        <f t="shared" si="9"/>
        <v>-8.5999999999998522</v>
      </c>
      <c r="AN129">
        <v>128</v>
      </c>
      <c r="AO129">
        <v>126.97</v>
      </c>
      <c r="AP129">
        <f t="shared" si="10"/>
        <v>14.60000000000008</v>
      </c>
      <c r="AY129">
        <v>128</v>
      </c>
      <c r="AZ129">
        <v>180.19</v>
      </c>
      <c r="BA129">
        <f t="shared" si="11"/>
        <v>-5.4000000000002046</v>
      </c>
    </row>
    <row r="130" spans="1:53" x14ac:dyDescent="0.25">
      <c r="A130">
        <v>130</v>
      </c>
      <c r="B130">
        <v>103.69</v>
      </c>
      <c r="C130">
        <f t="shared" si="6"/>
        <v>-14.60000000000008</v>
      </c>
      <c r="H130">
        <v>130</v>
      </c>
      <c r="I130" s="4">
        <v>100.21</v>
      </c>
      <c r="J130">
        <f t="shared" si="7"/>
        <v>-0.80000000000012506</v>
      </c>
      <c r="R130">
        <v>129</v>
      </c>
      <c r="S130" s="4">
        <v>122.8</v>
      </c>
      <c r="T130">
        <f t="shared" si="8"/>
        <v>-9.3999999999999773</v>
      </c>
      <c r="AC130">
        <v>129</v>
      </c>
      <c r="AD130">
        <v>105.58</v>
      </c>
      <c r="AE130">
        <f t="shared" si="9"/>
        <v>-4.6000000000000796</v>
      </c>
      <c r="AN130">
        <v>129</v>
      </c>
      <c r="AO130">
        <v>127.47</v>
      </c>
      <c r="AP130">
        <f t="shared" si="10"/>
        <v>10</v>
      </c>
      <c r="AY130">
        <v>129</v>
      </c>
      <c r="AZ130">
        <v>179.95</v>
      </c>
      <c r="BA130">
        <f t="shared" si="11"/>
        <v>-4.8000000000001819</v>
      </c>
    </row>
    <row r="131" spans="1:53" x14ac:dyDescent="0.25">
      <c r="A131">
        <v>131</v>
      </c>
      <c r="B131">
        <v>102.68</v>
      </c>
      <c r="C131">
        <f t="shared" ref="C131:C194" si="12">(B131-B130)/0.05</f>
        <v>-20.199999999999818</v>
      </c>
      <c r="H131">
        <v>131</v>
      </c>
      <c r="I131" s="4">
        <v>99.9</v>
      </c>
      <c r="J131">
        <f t="shared" ref="J131:J194" si="13">(I131-I130)/0.05</f>
        <v>-6.1999999999997613</v>
      </c>
      <c r="R131">
        <v>130</v>
      </c>
      <c r="S131" s="4">
        <v>122.38</v>
      </c>
      <c r="T131">
        <f t="shared" si="8"/>
        <v>-8.4000000000000341</v>
      </c>
      <c r="AC131">
        <v>130</v>
      </c>
      <c r="AD131">
        <v>105.12</v>
      </c>
      <c r="AE131">
        <f t="shared" si="9"/>
        <v>-9.1999999999998749</v>
      </c>
      <c r="AN131">
        <v>130</v>
      </c>
      <c r="AO131">
        <v>127.36</v>
      </c>
      <c r="AP131">
        <f t="shared" si="10"/>
        <v>-2.1999999999999886</v>
      </c>
      <c r="AY131">
        <v>130</v>
      </c>
      <c r="AZ131">
        <v>179.72</v>
      </c>
      <c r="BA131">
        <f t="shared" si="11"/>
        <v>-4.5999999999997954</v>
      </c>
    </row>
    <row r="132" spans="1:53" x14ac:dyDescent="0.25">
      <c r="A132">
        <v>132</v>
      </c>
      <c r="B132">
        <v>102.18</v>
      </c>
      <c r="C132">
        <f t="shared" si="12"/>
        <v>-10</v>
      </c>
      <c r="H132">
        <v>132</v>
      </c>
      <c r="I132" s="4">
        <v>99.17</v>
      </c>
      <c r="J132">
        <f t="shared" si="13"/>
        <v>-14.60000000000008</v>
      </c>
      <c r="R132">
        <v>131</v>
      </c>
      <c r="S132" s="4">
        <v>121.91</v>
      </c>
      <c r="T132">
        <f t="shared" ref="T132:T195" si="14">(S132-S131)/0.05</f>
        <v>-9.3999999999999773</v>
      </c>
      <c r="AC132">
        <v>131</v>
      </c>
      <c r="AD132">
        <v>104.73</v>
      </c>
      <c r="AE132">
        <f t="shared" ref="AE132:AE195" si="15">(AD132-AD131)/0.05</f>
        <v>-7.8000000000000114</v>
      </c>
      <c r="AN132">
        <v>131</v>
      </c>
      <c r="AO132">
        <v>127.01</v>
      </c>
      <c r="AP132">
        <f t="shared" ref="AP132:AP195" si="16">(AO132-AO131)/0.05</f>
        <v>-6.9999999999998863</v>
      </c>
      <c r="AY132">
        <v>131</v>
      </c>
      <c r="AZ132">
        <v>179.53</v>
      </c>
      <c r="BA132">
        <f t="shared" ref="BA132:BA195" si="17">(AZ132-AZ131)/0.05</f>
        <v>-3.7999999999999545</v>
      </c>
    </row>
    <row r="133" spans="1:53" x14ac:dyDescent="0.25">
      <c r="A133">
        <v>133</v>
      </c>
      <c r="B133">
        <v>101.79</v>
      </c>
      <c r="C133">
        <f t="shared" si="12"/>
        <v>-7.8000000000000114</v>
      </c>
      <c r="H133">
        <v>133</v>
      </c>
      <c r="I133" s="4">
        <v>98.59</v>
      </c>
      <c r="J133">
        <f t="shared" si="13"/>
        <v>-11.599999999999966</v>
      </c>
      <c r="R133">
        <v>132</v>
      </c>
      <c r="S133" s="4">
        <v>121.53</v>
      </c>
      <c r="T133">
        <f t="shared" si="14"/>
        <v>-7.5999999999999091</v>
      </c>
      <c r="AC133">
        <v>132</v>
      </c>
      <c r="AD133">
        <v>104.3</v>
      </c>
      <c r="AE133">
        <f t="shared" si="15"/>
        <v>-8.6000000000001364</v>
      </c>
      <c r="AN133">
        <v>132</v>
      </c>
      <c r="AO133">
        <v>126.16</v>
      </c>
      <c r="AP133">
        <f t="shared" si="16"/>
        <v>-17.000000000000171</v>
      </c>
      <c r="AY133">
        <v>132</v>
      </c>
      <c r="AZ133">
        <v>179.34</v>
      </c>
      <c r="BA133">
        <f t="shared" si="17"/>
        <v>-3.7999999999999545</v>
      </c>
    </row>
    <row r="134" spans="1:53" x14ac:dyDescent="0.25">
      <c r="A134">
        <v>134</v>
      </c>
      <c r="B134">
        <v>101.29</v>
      </c>
      <c r="C134">
        <f t="shared" si="12"/>
        <v>-10</v>
      </c>
      <c r="H134">
        <v>134</v>
      </c>
      <c r="I134" s="4">
        <v>98.13</v>
      </c>
      <c r="J134">
        <f t="shared" si="13"/>
        <v>-9.2000000000001592</v>
      </c>
      <c r="R134">
        <v>133</v>
      </c>
      <c r="S134" s="4">
        <v>121.14</v>
      </c>
      <c r="T134">
        <f t="shared" si="14"/>
        <v>-7.8000000000000114</v>
      </c>
      <c r="AC134">
        <v>133</v>
      </c>
      <c r="AD134">
        <v>103.96</v>
      </c>
      <c r="AE134">
        <f t="shared" si="15"/>
        <v>-6.8000000000000682</v>
      </c>
      <c r="AN134">
        <v>133</v>
      </c>
      <c r="AO134">
        <v>125.5</v>
      </c>
      <c r="AP134">
        <f t="shared" si="16"/>
        <v>-13.199999999999932</v>
      </c>
      <c r="AY134">
        <v>133</v>
      </c>
      <c r="AZ134">
        <v>179.14</v>
      </c>
      <c r="BA134">
        <f t="shared" si="17"/>
        <v>-4.0000000000003411</v>
      </c>
    </row>
    <row r="135" spans="1:53" x14ac:dyDescent="0.25">
      <c r="A135">
        <v>135</v>
      </c>
      <c r="B135">
        <v>100.79</v>
      </c>
      <c r="C135">
        <f t="shared" si="12"/>
        <v>-10</v>
      </c>
      <c r="H135">
        <v>135</v>
      </c>
      <c r="I135" s="4">
        <v>97.7</v>
      </c>
      <c r="J135">
        <f t="shared" si="13"/>
        <v>-8.5999999999998522</v>
      </c>
      <c r="R135">
        <v>134</v>
      </c>
      <c r="S135" s="6">
        <v>120.79</v>
      </c>
      <c r="T135">
        <f t="shared" si="14"/>
        <v>-6.9999999999998863</v>
      </c>
      <c r="AC135">
        <v>134</v>
      </c>
      <c r="AD135">
        <v>103.57</v>
      </c>
      <c r="AE135">
        <f t="shared" si="15"/>
        <v>-7.8000000000000114</v>
      </c>
      <c r="AN135">
        <v>134</v>
      </c>
      <c r="AO135">
        <v>125</v>
      </c>
      <c r="AP135">
        <f t="shared" si="16"/>
        <v>-10</v>
      </c>
      <c r="AY135">
        <v>134</v>
      </c>
      <c r="AZ135">
        <v>179.11</v>
      </c>
      <c r="BA135">
        <f t="shared" si="17"/>
        <v>-0.5999999999994543</v>
      </c>
    </row>
    <row r="136" spans="1:53" x14ac:dyDescent="0.25">
      <c r="A136">
        <v>136</v>
      </c>
      <c r="B136">
        <v>100.33</v>
      </c>
      <c r="C136">
        <f t="shared" si="12"/>
        <v>-9.2000000000001592</v>
      </c>
      <c r="H136">
        <v>136</v>
      </c>
      <c r="I136" s="4">
        <v>97.35</v>
      </c>
      <c r="J136">
        <f t="shared" si="13"/>
        <v>-7.0000000000001705</v>
      </c>
      <c r="R136">
        <v>135</v>
      </c>
      <c r="S136" s="6">
        <v>121.37</v>
      </c>
      <c r="T136">
        <f t="shared" si="14"/>
        <v>11.599999999999966</v>
      </c>
      <c r="AC136">
        <v>135</v>
      </c>
      <c r="AD136">
        <v>103.18</v>
      </c>
      <c r="AE136">
        <f t="shared" si="15"/>
        <v>-7.7999999999997272</v>
      </c>
      <c r="AN136">
        <v>135</v>
      </c>
      <c r="AO136">
        <v>124.54</v>
      </c>
      <c r="AP136">
        <f t="shared" si="16"/>
        <v>-9.1999999999998749</v>
      </c>
      <c r="AY136">
        <v>135</v>
      </c>
      <c r="AZ136">
        <v>179.53</v>
      </c>
      <c r="BA136">
        <f t="shared" si="17"/>
        <v>8.3999999999997499</v>
      </c>
    </row>
    <row r="137" spans="1:53" x14ac:dyDescent="0.25">
      <c r="A137">
        <v>137</v>
      </c>
      <c r="B137">
        <v>99.94</v>
      </c>
      <c r="C137">
        <f t="shared" si="12"/>
        <v>-7.8000000000000114</v>
      </c>
      <c r="H137">
        <v>137</v>
      </c>
      <c r="I137" s="4">
        <v>96.97</v>
      </c>
      <c r="J137">
        <f t="shared" si="13"/>
        <v>-7.5999999999999091</v>
      </c>
      <c r="R137">
        <v>136</v>
      </c>
      <c r="S137" s="6">
        <v>122.26</v>
      </c>
      <c r="T137">
        <f t="shared" si="14"/>
        <v>17.800000000000011</v>
      </c>
      <c r="AC137">
        <v>136</v>
      </c>
      <c r="AD137">
        <v>102.88</v>
      </c>
      <c r="AE137">
        <f t="shared" si="15"/>
        <v>-6.0000000000002274</v>
      </c>
      <c r="AN137">
        <v>136</v>
      </c>
      <c r="AO137">
        <v>124.11</v>
      </c>
      <c r="AP137">
        <f t="shared" si="16"/>
        <v>-8.6000000000001364</v>
      </c>
      <c r="AY137">
        <v>136</v>
      </c>
      <c r="AZ137">
        <v>179.84</v>
      </c>
      <c r="BA137">
        <f t="shared" si="17"/>
        <v>6.2000000000000455</v>
      </c>
    </row>
    <row r="138" spans="1:53" x14ac:dyDescent="0.25">
      <c r="A138">
        <v>138</v>
      </c>
      <c r="B138">
        <v>99.59</v>
      </c>
      <c r="C138">
        <f t="shared" si="12"/>
        <v>-6.9999999999998863</v>
      </c>
      <c r="H138">
        <v>138</v>
      </c>
      <c r="I138" s="4">
        <v>96.74</v>
      </c>
      <c r="J138">
        <f t="shared" si="13"/>
        <v>-4.6000000000000796</v>
      </c>
      <c r="R138">
        <v>137</v>
      </c>
      <c r="S138" s="4">
        <v>121.99</v>
      </c>
      <c r="T138">
        <f t="shared" si="14"/>
        <v>-5.4000000000002046</v>
      </c>
      <c r="AC138">
        <v>137</v>
      </c>
      <c r="AD138">
        <v>102.41</v>
      </c>
      <c r="AE138">
        <f t="shared" si="15"/>
        <v>-9.3999999999999773</v>
      </c>
      <c r="AN138">
        <v>137</v>
      </c>
      <c r="AO138">
        <v>123.77</v>
      </c>
      <c r="AP138">
        <f t="shared" si="16"/>
        <v>-6.8000000000000682</v>
      </c>
      <c r="AY138">
        <v>137</v>
      </c>
      <c r="AZ138">
        <v>179.72</v>
      </c>
      <c r="BA138">
        <f t="shared" si="17"/>
        <v>-2.4000000000000909</v>
      </c>
    </row>
    <row r="139" spans="1:53" x14ac:dyDescent="0.25">
      <c r="A139">
        <v>139</v>
      </c>
      <c r="B139">
        <v>99.17</v>
      </c>
      <c r="C139">
        <f t="shared" si="12"/>
        <v>-8.4000000000000341</v>
      </c>
      <c r="H139">
        <v>139</v>
      </c>
      <c r="I139" s="4">
        <v>96.35</v>
      </c>
      <c r="J139">
        <f t="shared" si="13"/>
        <v>-7.8000000000000114</v>
      </c>
      <c r="R139">
        <v>138</v>
      </c>
      <c r="S139" s="4">
        <v>121.64</v>
      </c>
      <c r="T139">
        <f t="shared" si="14"/>
        <v>-6.9999999999998863</v>
      </c>
      <c r="AC139">
        <v>138</v>
      </c>
      <c r="AD139">
        <v>102.14</v>
      </c>
      <c r="AE139">
        <f t="shared" si="15"/>
        <v>-5.3999999999999204</v>
      </c>
      <c r="AN139">
        <v>138</v>
      </c>
      <c r="AO139">
        <v>123.42</v>
      </c>
      <c r="AP139">
        <f t="shared" si="16"/>
        <v>-6.9999999999998863</v>
      </c>
      <c r="AY139">
        <v>138</v>
      </c>
      <c r="AZ139">
        <v>179.38</v>
      </c>
      <c r="BA139">
        <f t="shared" si="17"/>
        <v>-6.8000000000000682</v>
      </c>
    </row>
    <row r="140" spans="1:53" x14ac:dyDescent="0.25">
      <c r="A140">
        <v>140</v>
      </c>
      <c r="B140">
        <v>98.86</v>
      </c>
      <c r="C140">
        <f t="shared" si="12"/>
        <v>-6.2000000000000455</v>
      </c>
      <c r="H140">
        <v>140</v>
      </c>
      <c r="I140" s="4">
        <v>96</v>
      </c>
      <c r="J140">
        <f t="shared" si="13"/>
        <v>-6.9999999999998863</v>
      </c>
      <c r="R140">
        <v>139</v>
      </c>
      <c r="S140" s="4">
        <v>120.79</v>
      </c>
      <c r="T140">
        <f t="shared" si="14"/>
        <v>-16.999999999999886</v>
      </c>
      <c r="AC140">
        <v>139</v>
      </c>
      <c r="AD140">
        <v>101.79</v>
      </c>
      <c r="AE140">
        <f t="shared" si="15"/>
        <v>-6.9999999999998863</v>
      </c>
      <c r="AN140">
        <v>139</v>
      </c>
      <c r="AO140">
        <v>123.07</v>
      </c>
      <c r="AP140">
        <f t="shared" si="16"/>
        <v>-7.0000000000001705</v>
      </c>
      <c r="AY140">
        <v>139</v>
      </c>
      <c r="AZ140">
        <v>178.95</v>
      </c>
      <c r="BA140">
        <f t="shared" si="17"/>
        <v>-8.6000000000001364</v>
      </c>
    </row>
    <row r="141" spans="1:53" x14ac:dyDescent="0.25">
      <c r="A141">
        <v>141</v>
      </c>
      <c r="B141">
        <v>98.36</v>
      </c>
      <c r="C141">
        <f t="shared" si="12"/>
        <v>-10</v>
      </c>
      <c r="H141">
        <v>141</v>
      </c>
      <c r="I141" s="4">
        <v>95.62</v>
      </c>
      <c r="J141">
        <f t="shared" si="13"/>
        <v>-7.5999999999999091</v>
      </c>
      <c r="R141">
        <v>140</v>
      </c>
      <c r="S141" s="4">
        <v>119.64</v>
      </c>
      <c r="T141">
        <f t="shared" si="14"/>
        <v>-23.000000000000114</v>
      </c>
      <c r="AC141">
        <v>140</v>
      </c>
      <c r="AD141">
        <v>101.33</v>
      </c>
      <c r="AE141">
        <f t="shared" si="15"/>
        <v>-9.2000000000001592</v>
      </c>
      <c r="AN141">
        <v>140</v>
      </c>
      <c r="AO141">
        <v>122.88</v>
      </c>
      <c r="AP141">
        <f t="shared" si="16"/>
        <v>-3.7999999999999545</v>
      </c>
      <c r="AY141">
        <v>140</v>
      </c>
      <c r="AZ141">
        <v>178.6</v>
      </c>
      <c r="BA141">
        <f t="shared" si="17"/>
        <v>-6.9999999999998863</v>
      </c>
    </row>
    <row r="142" spans="1:53" x14ac:dyDescent="0.25">
      <c r="A142">
        <v>142</v>
      </c>
      <c r="B142">
        <v>98.01</v>
      </c>
      <c r="C142">
        <f t="shared" si="12"/>
        <v>-6.9999999999998863</v>
      </c>
      <c r="H142">
        <v>142</v>
      </c>
      <c r="I142" s="4">
        <v>95.62</v>
      </c>
      <c r="J142">
        <f t="shared" si="13"/>
        <v>0</v>
      </c>
      <c r="R142">
        <v>141</v>
      </c>
      <c r="S142" s="4">
        <v>118.94</v>
      </c>
      <c r="T142">
        <f t="shared" si="14"/>
        <v>-14.000000000000057</v>
      </c>
      <c r="AC142">
        <v>141</v>
      </c>
      <c r="AD142">
        <v>100.94</v>
      </c>
      <c r="AE142">
        <f t="shared" si="15"/>
        <v>-7.8000000000000114</v>
      </c>
      <c r="AN142">
        <v>141</v>
      </c>
      <c r="AO142">
        <v>123.77</v>
      </c>
      <c r="AP142">
        <f t="shared" si="16"/>
        <v>17.800000000000011</v>
      </c>
      <c r="AY142">
        <v>141</v>
      </c>
      <c r="AZ142">
        <v>178.18</v>
      </c>
      <c r="BA142">
        <f t="shared" si="17"/>
        <v>-8.3999999999997499</v>
      </c>
    </row>
    <row r="143" spans="1:53" x14ac:dyDescent="0.25">
      <c r="A143">
        <v>143</v>
      </c>
      <c r="B143">
        <v>97.58</v>
      </c>
      <c r="C143">
        <f t="shared" si="12"/>
        <v>-8.6000000000001364</v>
      </c>
      <c r="H143">
        <v>143</v>
      </c>
      <c r="I143" s="4">
        <v>95.96</v>
      </c>
      <c r="J143">
        <f t="shared" si="13"/>
        <v>6.799999999999784</v>
      </c>
      <c r="R143">
        <v>142</v>
      </c>
      <c r="S143" s="4">
        <v>118.36</v>
      </c>
      <c r="T143">
        <f t="shared" si="14"/>
        <v>-11.599999999999966</v>
      </c>
      <c r="AC143">
        <v>142</v>
      </c>
      <c r="AD143">
        <v>100.67</v>
      </c>
      <c r="AE143">
        <f t="shared" si="15"/>
        <v>-5.3999999999999204</v>
      </c>
      <c r="AN143">
        <v>142</v>
      </c>
      <c r="AO143">
        <v>124.04</v>
      </c>
      <c r="AP143">
        <f t="shared" si="16"/>
        <v>5.4000000000002046</v>
      </c>
      <c r="AY143">
        <v>142</v>
      </c>
      <c r="AZ143">
        <v>177.87</v>
      </c>
      <c r="BA143">
        <f t="shared" si="17"/>
        <v>-6.2000000000000455</v>
      </c>
    </row>
    <row r="144" spans="1:53" x14ac:dyDescent="0.25">
      <c r="A144">
        <v>144</v>
      </c>
      <c r="B144">
        <v>97.16</v>
      </c>
      <c r="C144">
        <f t="shared" si="12"/>
        <v>-8.4000000000000341</v>
      </c>
      <c r="H144">
        <v>144</v>
      </c>
      <c r="I144" s="4">
        <v>95.96</v>
      </c>
      <c r="J144">
        <f t="shared" si="13"/>
        <v>0</v>
      </c>
      <c r="R144">
        <v>143</v>
      </c>
      <c r="S144" s="4">
        <v>117.82</v>
      </c>
      <c r="T144">
        <f t="shared" si="14"/>
        <v>-10.800000000000125</v>
      </c>
      <c r="AC144">
        <v>143</v>
      </c>
      <c r="AD144" s="2">
        <v>100.91</v>
      </c>
      <c r="AE144">
        <f t="shared" si="15"/>
        <v>4.7999999999998977</v>
      </c>
      <c r="AN144">
        <v>143</v>
      </c>
      <c r="AO144">
        <v>123.88</v>
      </c>
      <c r="AP144">
        <f t="shared" si="16"/>
        <v>-3.200000000000216</v>
      </c>
      <c r="AY144">
        <v>143</v>
      </c>
      <c r="AZ144">
        <v>177.75</v>
      </c>
      <c r="BA144">
        <f t="shared" si="17"/>
        <v>-2.4000000000000909</v>
      </c>
    </row>
    <row r="145" spans="1:53" x14ac:dyDescent="0.25">
      <c r="A145">
        <v>145</v>
      </c>
      <c r="B145">
        <v>96.85</v>
      </c>
      <c r="C145">
        <f t="shared" si="12"/>
        <v>-6.2000000000000455</v>
      </c>
      <c r="H145">
        <v>145</v>
      </c>
      <c r="I145" s="4">
        <v>95.62</v>
      </c>
      <c r="J145">
        <f t="shared" si="13"/>
        <v>-6.799999999999784</v>
      </c>
      <c r="R145">
        <v>144</v>
      </c>
      <c r="S145" s="4">
        <v>117.43</v>
      </c>
      <c r="T145">
        <f t="shared" si="14"/>
        <v>-7.7999999999997272</v>
      </c>
      <c r="AC145">
        <v>144</v>
      </c>
      <c r="AD145" s="2">
        <v>101.18</v>
      </c>
      <c r="AE145">
        <f t="shared" si="15"/>
        <v>5.4000000000002046</v>
      </c>
      <c r="AN145">
        <v>144</v>
      </c>
      <c r="AO145">
        <v>123.3</v>
      </c>
      <c r="AP145">
        <f t="shared" si="16"/>
        <v>-11.599999999999966</v>
      </c>
      <c r="AY145">
        <v>144</v>
      </c>
      <c r="AZ145">
        <v>177.6</v>
      </c>
      <c r="BA145">
        <f t="shared" si="17"/>
        <v>-3.0000000000001137</v>
      </c>
    </row>
    <row r="146" spans="1:53" x14ac:dyDescent="0.25">
      <c r="A146">
        <v>146</v>
      </c>
      <c r="B146">
        <v>96.47</v>
      </c>
      <c r="C146">
        <f t="shared" si="12"/>
        <v>-7.5999999999999091</v>
      </c>
      <c r="H146">
        <v>146</v>
      </c>
      <c r="I146" s="4">
        <v>95.19</v>
      </c>
      <c r="J146">
        <f t="shared" si="13"/>
        <v>-8.6000000000001364</v>
      </c>
      <c r="R146">
        <v>145</v>
      </c>
      <c r="S146" s="4">
        <v>116.97</v>
      </c>
      <c r="T146">
        <f t="shared" si="14"/>
        <v>-9.2000000000001592</v>
      </c>
      <c r="AC146">
        <v>145</v>
      </c>
      <c r="AD146">
        <v>100.83</v>
      </c>
      <c r="AE146">
        <f t="shared" si="15"/>
        <v>-7.0000000000001705</v>
      </c>
      <c r="AN146">
        <v>145</v>
      </c>
      <c r="AO146">
        <v>122.49</v>
      </c>
      <c r="AP146">
        <f t="shared" si="16"/>
        <v>-16.200000000000045</v>
      </c>
      <c r="AY146">
        <v>145</v>
      </c>
      <c r="AZ146">
        <v>177.37</v>
      </c>
      <c r="BA146">
        <f t="shared" si="17"/>
        <v>-4.5999999999997954</v>
      </c>
    </row>
    <row r="147" spans="1:53" x14ac:dyDescent="0.25">
      <c r="A147">
        <v>147</v>
      </c>
      <c r="B147">
        <v>96.62</v>
      </c>
      <c r="C147">
        <f t="shared" si="12"/>
        <v>3.0000000000001137</v>
      </c>
      <c r="H147">
        <v>147</v>
      </c>
      <c r="I147" s="4">
        <v>94.61</v>
      </c>
      <c r="J147">
        <f t="shared" si="13"/>
        <v>-11.599999999999966</v>
      </c>
      <c r="R147">
        <v>146</v>
      </c>
      <c r="S147" s="4">
        <v>116.51</v>
      </c>
      <c r="T147">
        <f t="shared" si="14"/>
        <v>-9.1999999999998749</v>
      </c>
      <c r="AC147">
        <v>146</v>
      </c>
      <c r="AD147">
        <v>100.13</v>
      </c>
      <c r="AE147">
        <f t="shared" si="15"/>
        <v>-14.000000000000057</v>
      </c>
      <c r="AN147">
        <v>146</v>
      </c>
      <c r="AO147">
        <v>121.99</v>
      </c>
      <c r="AP147">
        <f t="shared" si="16"/>
        <v>-10</v>
      </c>
      <c r="AY147">
        <v>146</v>
      </c>
      <c r="AZ147">
        <v>177.14</v>
      </c>
      <c r="BA147">
        <f t="shared" si="17"/>
        <v>-4.6000000000003638</v>
      </c>
    </row>
    <row r="148" spans="1:53" x14ac:dyDescent="0.25">
      <c r="A148">
        <v>148</v>
      </c>
      <c r="B148">
        <v>97.58</v>
      </c>
      <c r="C148">
        <f t="shared" si="12"/>
        <v>19.199999999999875</v>
      </c>
      <c r="H148">
        <v>148</v>
      </c>
      <c r="I148" s="4">
        <v>94.07</v>
      </c>
      <c r="J148">
        <f t="shared" si="13"/>
        <v>-10.800000000000125</v>
      </c>
      <c r="R148">
        <v>147</v>
      </c>
      <c r="S148" s="4">
        <v>116.12</v>
      </c>
      <c r="T148">
        <f t="shared" si="14"/>
        <v>-7.8000000000000114</v>
      </c>
      <c r="AC148">
        <v>147</v>
      </c>
      <c r="AD148">
        <v>99.63</v>
      </c>
      <c r="AE148">
        <f t="shared" si="15"/>
        <v>-10</v>
      </c>
      <c r="AN148">
        <v>147</v>
      </c>
      <c r="AO148">
        <v>121.41</v>
      </c>
      <c r="AP148">
        <f t="shared" si="16"/>
        <v>-11.599999999999966</v>
      </c>
      <c r="AY148">
        <v>147</v>
      </c>
      <c r="AZ148">
        <v>176.98</v>
      </c>
      <c r="BA148">
        <f t="shared" si="17"/>
        <v>-3.1999999999999318</v>
      </c>
    </row>
    <row r="149" spans="1:53" x14ac:dyDescent="0.25">
      <c r="A149">
        <v>149</v>
      </c>
      <c r="B149">
        <v>98.16</v>
      </c>
      <c r="C149">
        <f t="shared" si="12"/>
        <v>11.599999999999966</v>
      </c>
      <c r="H149">
        <v>149</v>
      </c>
      <c r="I149" s="4">
        <v>93.61</v>
      </c>
      <c r="J149">
        <f t="shared" si="13"/>
        <v>-9.1999999999998749</v>
      </c>
      <c r="R149">
        <v>148</v>
      </c>
      <c r="S149" s="4">
        <v>115.77</v>
      </c>
      <c r="T149">
        <f t="shared" si="14"/>
        <v>-7.0000000000001705</v>
      </c>
      <c r="AC149">
        <v>148</v>
      </c>
      <c r="AD149">
        <v>98.98</v>
      </c>
      <c r="AE149">
        <f t="shared" si="15"/>
        <v>-12.999999999999829</v>
      </c>
      <c r="AN149">
        <v>148</v>
      </c>
      <c r="AO149">
        <v>120.99</v>
      </c>
      <c r="AP149">
        <f t="shared" si="16"/>
        <v>-8.4000000000000341</v>
      </c>
      <c r="AY149">
        <v>148</v>
      </c>
      <c r="AZ149">
        <v>176.67</v>
      </c>
      <c r="BA149">
        <f t="shared" si="17"/>
        <v>-6.2000000000000455</v>
      </c>
    </row>
    <row r="150" spans="1:53" x14ac:dyDescent="0.25">
      <c r="A150">
        <v>150</v>
      </c>
      <c r="B150">
        <v>97.58</v>
      </c>
      <c r="C150">
        <f t="shared" si="12"/>
        <v>-11.599999999999966</v>
      </c>
      <c r="H150">
        <v>150</v>
      </c>
      <c r="I150" s="4">
        <v>93.22</v>
      </c>
      <c r="J150">
        <f t="shared" si="13"/>
        <v>-7.8000000000000114</v>
      </c>
      <c r="R150">
        <v>149</v>
      </c>
      <c r="S150" s="6">
        <v>115.77</v>
      </c>
      <c r="T150">
        <f t="shared" si="14"/>
        <v>0</v>
      </c>
      <c r="AC150">
        <v>149</v>
      </c>
      <c r="AD150">
        <v>98.63</v>
      </c>
      <c r="AE150">
        <f t="shared" si="15"/>
        <v>-7.0000000000001705</v>
      </c>
      <c r="AN150">
        <v>149</v>
      </c>
      <c r="AO150">
        <v>120.56</v>
      </c>
      <c r="AP150">
        <f t="shared" si="16"/>
        <v>-8.5999999999998522</v>
      </c>
      <c r="AY150">
        <v>149</v>
      </c>
      <c r="AZ150">
        <v>176.4</v>
      </c>
      <c r="BA150">
        <f t="shared" si="17"/>
        <v>-5.3999999999996362</v>
      </c>
    </row>
    <row r="151" spans="1:53" x14ac:dyDescent="0.25">
      <c r="A151">
        <v>151</v>
      </c>
      <c r="B151">
        <v>97.04</v>
      </c>
      <c r="C151">
        <f t="shared" si="12"/>
        <v>-10.799999999999841</v>
      </c>
      <c r="H151">
        <v>151</v>
      </c>
      <c r="I151" s="4">
        <v>92.8</v>
      </c>
      <c r="J151">
        <f t="shared" si="13"/>
        <v>-8.4000000000000341</v>
      </c>
      <c r="R151">
        <v>150</v>
      </c>
      <c r="S151" s="6">
        <v>116.85</v>
      </c>
      <c r="T151">
        <f t="shared" si="14"/>
        <v>21.599999999999966</v>
      </c>
      <c r="AC151">
        <v>150</v>
      </c>
      <c r="AD151">
        <v>98.4</v>
      </c>
      <c r="AE151">
        <f t="shared" si="15"/>
        <v>-4.5999999999997954</v>
      </c>
      <c r="AN151">
        <v>150</v>
      </c>
      <c r="AO151">
        <v>120.25</v>
      </c>
      <c r="AP151">
        <f t="shared" si="16"/>
        <v>-6.2000000000000455</v>
      </c>
      <c r="AY151">
        <v>150</v>
      </c>
      <c r="AZ151">
        <v>176.25</v>
      </c>
      <c r="BA151">
        <f t="shared" si="17"/>
        <v>-3.0000000000001137</v>
      </c>
    </row>
    <row r="152" spans="1:53" x14ac:dyDescent="0.25">
      <c r="A152">
        <v>152</v>
      </c>
      <c r="B152">
        <v>96.5</v>
      </c>
      <c r="C152">
        <f t="shared" si="12"/>
        <v>-10.800000000000125</v>
      </c>
      <c r="H152">
        <v>152</v>
      </c>
      <c r="I152" s="4">
        <v>92.49</v>
      </c>
      <c r="J152">
        <f t="shared" si="13"/>
        <v>-6.2000000000000455</v>
      </c>
      <c r="R152">
        <v>151</v>
      </c>
      <c r="S152" s="6">
        <v>117.01</v>
      </c>
      <c r="T152">
        <f t="shared" si="14"/>
        <v>3.200000000000216</v>
      </c>
      <c r="AC152">
        <v>151</v>
      </c>
      <c r="AD152">
        <v>97.97</v>
      </c>
      <c r="AE152">
        <f t="shared" si="15"/>
        <v>-8.6000000000001364</v>
      </c>
      <c r="AN152">
        <v>151</v>
      </c>
      <c r="AO152">
        <v>119.91</v>
      </c>
      <c r="AP152">
        <f t="shared" si="16"/>
        <v>-6.8000000000000682</v>
      </c>
      <c r="AY152">
        <v>151</v>
      </c>
      <c r="AZ152">
        <v>176.02</v>
      </c>
      <c r="BA152">
        <f t="shared" si="17"/>
        <v>-4.5999999999997954</v>
      </c>
    </row>
    <row r="153" spans="1:53" x14ac:dyDescent="0.25">
      <c r="A153">
        <v>153</v>
      </c>
      <c r="B153">
        <v>95.58</v>
      </c>
      <c r="C153">
        <f t="shared" si="12"/>
        <v>-18.400000000000034</v>
      </c>
      <c r="H153">
        <v>153</v>
      </c>
      <c r="I153" s="4">
        <v>92.18</v>
      </c>
      <c r="J153">
        <f t="shared" si="13"/>
        <v>-6.1999999999997613</v>
      </c>
      <c r="R153">
        <v>152</v>
      </c>
      <c r="S153" s="4">
        <v>116.85</v>
      </c>
      <c r="T153">
        <f t="shared" si="14"/>
        <v>-3.200000000000216</v>
      </c>
      <c r="AC153">
        <v>152</v>
      </c>
      <c r="AD153">
        <v>97.47</v>
      </c>
      <c r="AE153">
        <f t="shared" si="15"/>
        <v>-10</v>
      </c>
      <c r="AN153">
        <v>152</v>
      </c>
      <c r="AO153">
        <v>119.64</v>
      </c>
      <c r="AP153">
        <f t="shared" si="16"/>
        <v>-5.3999999999999204</v>
      </c>
      <c r="AY153">
        <v>152</v>
      </c>
      <c r="AZ153">
        <v>175.86</v>
      </c>
      <c r="BA153">
        <f t="shared" si="17"/>
        <v>-3.1999999999999318</v>
      </c>
    </row>
    <row r="154" spans="1:53" x14ac:dyDescent="0.25">
      <c r="A154">
        <v>154</v>
      </c>
      <c r="B154">
        <v>94.92</v>
      </c>
      <c r="C154">
        <f t="shared" si="12"/>
        <v>-13.199999999999932</v>
      </c>
      <c r="H154">
        <v>154</v>
      </c>
      <c r="I154" s="4">
        <v>91.83</v>
      </c>
      <c r="J154">
        <f t="shared" si="13"/>
        <v>-7.0000000000001705</v>
      </c>
      <c r="R154">
        <v>153</v>
      </c>
      <c r="S154" s="4">
        <v>116.28</v>
      </c>
      <c r="T154">
        <f t="shared" si="14"/>
        <v>-11.399999999999864</v>
      </c>
      <c r="AC154">
        <v>153</v>
      </c>
      <c r="AD154">
        <v>97.04</v>
      </c>
      <c r="AE154">
        <f t="shared" si="15"/>
        <v>-8.5999999999998522</v>
      </c>
      <c r="AN154">
        <v>153</v>
      </c>
      <c r="AO154">
        <v>119.6</v>
      </c>
      <c r="AP154">
        <f t="shared" si="16"/>
        <v>-0.80000000000012506</v>
      </c>
      <c r="AY154">
        <v>153</v>
      </c>
      <c r="AZ154">
        <v>175.67</v>
      </c>
      <c r="BA154">
        <f t="shared" si="17"/>
        <v>-3.800000000000523</v>
      </c>
    </row>
    <row r="155" spans="1:53" x14ac:dyDescent="0.25">
      <c r="A155">
        <v>155</v>
      </c>
      <c r="B155">
        <v>94.34</v>
      </c>
      <c r="C155">
        <f t="shared" si="12"/>
        <v>-11.599999999999966</v>
      </c>
      <c r="H155">
        <v>155</v>
      </c>
      <c r="I155" s="4">
        <v>91.48</v>
      </c>
      <c r="J155">
        <f t="shared" si="13"/>
        <v>-6.9999999999998863</v>
      </c>
      <c r="R155">
        <v>154</v>
      </c>
      <c r="S155" s="4">
        <v>115.16</v>
      </c>
      <c r="T155">
        <f t="shared" si="14"/>
        <v>-22.400000000000091</v>
      </c>
      <c r="AC155">
        <v>154</v>
      </c>
      <c r="AD155">
        <v>96.74</v>
      </c>
      <c r="AE155">
        <f t="shared" si="15"/>
        <v>-6.0000000000002274</v>
      </c>
      <c r="AN155">
        <v>154</v>
      </c>
      <c r="AO155">
        <v>120.37</v>
      </c>
      <c r="AP155">
        <f t="shared" si="16"/>
        <v>15.400000000000205</v>
      </c>
      <c r="AY155">
        <v>154</v>
      </c>
      <c r="AZ155">
        <v>175.51</v>
      </c>
      <c r="BA155">
        <f t="shared" si="17"/>
        <v>-3.1999999999999318</v>
      </c>
    </row>
    <row r="156" spans="1:53" x14ac:dyDescent="0.25">
      <c r="A156">
        <v>156</v>
      </c>
      <c r="B156">
        <v>93.72</v>
      </c>
      <c r="C156">
        <f t="shared" si="12"/>
        <v>-12.400000000000091</v>
      </c>
      <c r="H156">
        <v>156</v>
      </c>
      <c r="I156" s="5">
        <v>91.48</v>
      </c>
      <c r="J156">
        <f t="shared" si="13"/>
        <v>0</v>
      </c>
      <c r="R156">
        <v>155</v>
      </c>
      <c r="S156" s="4">
        <v>114.42</v>
      </c>
      <c r="T156">
        <f t="shared" si="14"/>
        <v>-14.799999999999898</v>
      </c>
      <c r="AC156">
        <v>155</v>
      </c>
      <c r="AD156">
        <v>96.39</v>
      </c>
      <c r="AE156">
        <f t="shared" si="15"/>
        <v>-6.9999999999998863</v>
      </c>
      <c r="AN156">
        <v>155</v>
      </c>
      <c r="AO156">
        <v>120.56</v>
      </c>
      <c r="AP156">
        <f t="shared" si="16"/>
        <v>3.7999999999999545</v>
      </c>
      <c r="AY156">
        <v>155</v>
      </c>
      <c r="AZ156">
        <v>175.86</v>
      </c>
      <c r="BA156">
        <f t="shared" si="17"/>
        <v>7.0000000000004547</v>
      </c>
    </row>
    <row r="157" spans="1:53" x14ac:dyDescent="0.25">
      <c r="A157">
        <v>157</v>
      </c>
      <c r="B157">
        <v>93.18</v>
      </c>
      <c r="C157">
        <f t="shared" si="12"/>
        <v>-10.799999999999841</v>
      </c>
      <c r="H157">
        <v>157</v>
      </c>
      <c r="I157" s="5">
        <v>91.75</v>
      </c>
      <c r="J157">
        <f t="shared" si="13"/>
        <v>5.3999999999999204</v>
      </c>
      <c r="R157">
        <v>156</v>
      </c>
      <c r="S157" s="4">
        <v>113.88</v>
      </c>
      <c r="T157">
        <f t="shared" si="14"/>
        <v>-10.800000000000125</v>
      </c>
      <c r="AC157">
        <v>156</v>
      </c>
      <c r="AD157">
        <v>95.96</v>
      </c>
      <c r="AE157">
        <f t="shared" si="15"/>
        <v>-8.6000000000001364</v>
      </c>
      <c r="AN157">
        <v>156</v>
      </c>
      <c r="AO157">
        <v>120.37</v>
      </c>
      <c r="AP157">
        <f t="shared" si="16"/>
        <v>-3.7999999999999545</v>
      </c>
      <c r="AY157">
        <v>156</v>
      </c>
      <c r="AZ157">
        <v>176.36</v>
      </c>
      <c r="BA157">
        <f t="shared" si="17"/>
        <v>10</v>
      </c>
    </row>
    <row r="158" spans="1:53" x14ac:dyDescent="0.25">
      <c r="A158">
        <v>158</v>
      </c>
      <c r="B158">
        <v>92.68</v>
      </c>
      <c r="C158">
        <f t="shared" si="12"/>
        <v>-10</v>
      </c>
      <c r="H158">
        <v>158</v>
      </c>
      <c r="I158" s="5">
        <v>92.02</v>
      </c>
      <c r="J158">
        <f t="shared" si="13"/>
        <v>5.3999999999999204</v>
      </c>
      <c r="R158">
        <v>157</v>
      </c>
      <c r="S158" s="4">
        <v>113.38</v>
      </c>
      <c r="T158">
        <f t="shared" si="14"/>
        <v>-10</v>
      </c>
      <c r="AC158">
        <v>157</v>
      </c>
      <c r="AD158">
        <v>95.62</v>
      </c>
      <c r="AE158">
        <f t="shared" si="15"/>
        <v>-6.799999999999784</v>
      </c>
      <c r="AN158">
        <v>157</v>
      </c>
      <c r="AO158">
        <v>119.75</v>
      </c>
      <c r="AP158">
        <f t="shared" si="16"/>
        <v>-12.400000000000091</v>
      </c>
      <c r="AY158">
        <v>157</v>
      </c>
      <c r="AZ158">
        <v>176.36</v>
      </c>
      <c r="BA158">
        <f t="shared" si="17"/>
        <v>0</v>
      </c>
    </row>
    <row r="159" spans="1:53" x14ac:dyDescent="0.25">
      <c r="A159">
        <v>159</v>
      </c>
      <c r="B159">
        <v>92.26</v>
      </c>
      <c r="C159">
        <f t="shared" si="12"/>
        <v>-8.4000000000000341</v>
      </c>
      <c r="H159">
        <v>159</v>
      </c>
      <c r="I159" s="4">
        <v>91.64</v>
      </c>
      <c r="J159">
        <f t="shared" si="13"/>
        <v>-7.5999999999999091</v>
      </c>
      <c r="R159">
        <v>158</v>
      </c>
      <c r="S159" s="4">
        <v>112.95</v>
      </c>
      <c r="T159">
        <f t="shared" si="14"/>
        <v>-8.5999999999998522</v>
      </c>
      <c r="AC159">
        <v>158</v>
      </c>
      <c r="AD159">
        <v>95.31</v>
      </c>
      <c r="AE159">
        <f t="shared" si="15"/>
        <v>-6.2000000000000455</v>
      </c>
      <c r="AN159">
        <v>158</v>
      </c>
      <c r="AO159">
        <v>118.98</v>
      </c>
      <c r="AP159">
        <f t="shared" si="16"/>
        <v>-15.39999999999992</v>
      </c>
      <c r="AY159">
        <v>158</v>
      </c>
      <c r="AZ159">
        <v>176.05</v>
      </c>
      <c r="BA159">
        <f t="shared" si="17"/>
        <v>-6.2000000000000455</v>
      </c>
    </row>
    <row r="160" spans="1:53" x14ac:dyDescent="0.25">
      <c r="A160">
        <v>160</v>
      </c>
      <c r="B160">
        <v>91.99</v>
      </c>
      <c r="C160">
        <f t="shared" si="12"/>
        <v>-5.4000000000002046</v>
      </c>
      <c r="H160">
        <v>160</v>
      </c>
      <c r="I160" s="4">
        <v>91.21</v>
      </c>
      <c r="J160">
        <f t="shared" si="13"/>
        <v>-8.6000000000001364</v>
      </c>
      <c r="R160">
        <v>159</v>
      </c>
      <c r="S160" s="4">
        <v>112.53</v>
      </c>
      <c r="T160">
        <f t="shared" si="14"/>
        <v>-8.4000000000000341</v>
      </c>
      <c r="AC160">
        <v>159</v>
      </c>
      <c r="AD160">
        <v>94.92</v>
      </c>
      <c r="AE160">
        <f t="shared" si="15"/>
        <v>-7.8000000000000114</v>
      </c>
      <c r="AN160">
        <v>159</v>
      </c>
      <c r="AO160">
        <v>118.44</v>
      </c>
      <c r="AP160">
        <f t="shared" si="16"/>
        <v>-10.800000000000125</v>
      </c>
      <c r="AY160">
        <v>159</v>
      </c>
      <c r="AZ160">
        <v>175.63</v>
      </c>
      <c r="BA160">
        <f t="shared" si="17"/>
        <v>-8.4000000000003183</v>
      </c>
    </row>
    <row r="161" spans="1:53" x14ac:dyDescent="0.25">
      <c r="A161">
        <v>161</v>
      </c>
      <c r="B161">
        <v>91.6</v>
      </c>
      <c r="C161">
        <f t="shared" si="12"/>
        <v>-7.8000000000000114</v>
      </c>
      <c r="H161">
        <v>161</v>
      </c>
      <c r="I161" s="4">
        <v>90.71</v>
      </c>
      <c r="J161">
        <f t="shared" si="13"/>
        <v>-10</v>
      </c>
      <c r="R161">
        <v>160</v>
      </c>
      <c r="S161" s="4">
        <v>112.1</v>
      </c>
      <c r="T161">
        <f t="shared" si="14"/>
        <v>-8.6000000000001364</v>
      </c>
      <c r="AC161">
        <v>160</v>
      </c>
      <c r="AD161">
        <v>94.57</v>
      </c>
      <c r="AE161">
        <f t="shared" si="15"/>
        <v>-7.0000000000001705</v>
      </c>
      <c r="AN161">
        <v>160</v>
      </c>
      <c r="AO161">
        <v>118.01</v>
      </c>
      <c r="AP161">
        <f t="shared" si="16"/>
        <v>-8.5999999999998522</v>
      </c>
      <c r="AY161">
        <v>160</v>
      </c>
      <c r="AZ161">
        <v>175.17</v>
      </c>
      <c r="BA161">
        <f t="shared" si="17"/>
        <v>-9.2000000000001592</v>
      </c>
    </row>
    <row r="162" spans="1:53" x14ac:dyDescent="0.25">
      <c r="A162">
        <v>162</v>
      </c>
      <c r="B162">
        <v>91.21</v>
      </c>
      <c r="C162">
        <f t="shared" si="12"/>
        <v>-7.8000000000000114</v>
      </c>
      <c r="H162">
        <v>162</v>
      </c>
      <c r="I162" s="4">
        <v>90.21</v>
      </c>
      <c r="J162">
        <f t="shared" si="13"/>
        <v>-10</v>
      </c>
      <c r="R162">
        <v>161</v>
      </c>
      <c r="S162" s="4">
        <v>111.68</v>
      </c>
      <c r="T162">
        <f t="shared" si="14"/>
        <v>-8.3999999999997499</v>
      </c>
      <c r="AC162">
        <v>161</v>
      </c>
      <c r="AD162">
        <v>94.23</v>
      </c>
      <c r="AE162">
        <f t="shared" si="15"/>
        <v>-6.799999999999784</v>
      </c>
      <c r="AN162">
        <v>161</v>
      </c>
      <c r="AO162">
        <v>117.63</v>
      </c>
      <c r="AP162">
        <f t="shared" si="16"/>
        <v>-7.6000000000001933</v>
      </c>
      <c r="AY162">
        <v>161</v>
      </c>
      <c r="AZ162">
        <v>174.78</v>
      </c>
      <c r="BA162">
        <f t="shared" si="17"/>
        <v>-7.7999999999997272</v>
      </c>
    </row>
    <row r="163" spans="1:53" x14ac:dyDescent="0.25">
      <c r="A163">
        <v>163</v>
      </c>
      <c r="B163">
        <v>90.83</v>
      </c>
      <c r="C163">
        <f t="shared" si="12"/>
        <v>-7.5999999999999091</v>
      </c>
      <c r="H163">
        <v>163</v>
      </c>
      <c r="I163" s="4">
        <v>89.82</v>
      </c>
      <c r="J163">
        <f t="shared" si="13"/>
        <v>-7.8000000000000114</v>
      </c>
      <c r="R163">
        <v>162</v>
      </c>
      <c r="S163" s="4">
        <v>111.33</v>
      </c>
      <c r="T163">
        <f t="shared" si="14"/>
        <v>-7.0000000000001705</v>
      </c>
      <c r="AC163">
        <v>162</v>
      </c>
      <c r="AD163">
        <v>93.95</v>
      </c>
      <c r="AE163">
        <f t="shared" si="15"/>
        <v>-5.6000000000000227</v>
      </c>
      <c r="AN163">
        <v>162</v>
      </c>
      <c r="AO163">
        <v>117.28</v>
      </c>
      <c r="AP163">
        <f t="shared" si="16"/>
        <v>-6.9999999999998863</v>
      </c>
      <c r="AY163">
        <v>162</v>
      </c>
      <c r="AZ163">
        <v>174.43</v>
      </c>
      <c r="BA163">
        <f t="shared" si="17"/>
        <v>-6.9999999999998863</v>
      </c>
    </row>
    <row r="164" spans="1:53" x14ac:dyDescent="0.25">
      <c r="A164">
        <v>164</v>
      </c>
      <c r="B164">
        <v>90.44</v>
      </c>
      <c r="C164">
        <f t="shared" si="12"/>
        <v>-7.8000000000000114</v>
      </c>
      <c r="H164">
        <v>164</v>
      </c>
      <c r="I164" s="4">
        <v>89.28</v>
      </c>
      <c r="J164">
        <f t="shared" si="13"/>
        <v>-10.799999999999841</v>
      </c>
      <c r="R164">
        <v>163</v>
      </c>
      <c r="S164" s="6">
        <v>111.14</v>
      </c>
      <c r="T164">
        <f t="shared" si="14"/>
        <v>-3.7999999999999545</v>
      </c>
      <c r="AC164">
        <v>163</v>
      </c>
      <c r="AD164">
        <v>93.61</v>
      </c>
      <c r="AE164">
        <f t="shared" si="15"/>
        <v>-6.8000000000000682</v>
      </c>
      <c r="AN164">
        <v>163</v>
      </c>
      <c r="AO164">
        <v>116.97</v>
      </c>
      <c r="AP164">
        <f t="shared" si="16"/>
        <v>-6.2000000000000455</v>
      </c>
      <c r="AY164">
        <v>163</v>
      </c>
      <c r="AZ164">
        <v>174.28</v>
      </c>
      <c r="BA164">
        <f t="shared" si="17"/>
        <v>-3.0000000000001137</v>
      </c>
    </row>
    <row r="165" spans="1:53" x14ac:dyDescent="0.25">
      <c r="A165">
        <v>165</v>
      </c>
      <c r="B165">
        <v>90.13</v>
      </c>
      <c r="C165">
        <f t="shared" si="12"/>
        <v>-6.2000000000000455</v>
      </c>
      <c r="H165">
        <v>165</v>
      </c>
      <c r="I165" s="4">
        <v>88.82</v>
      </c>
      <c r="J165">
        <f t="shared" si="13"/>
        <v>-9.2000000000001592</v>
      </c>
      <c r="R165">
        <v>164</v>
      </c>
      <c r="S165" s="6">
        <v>112.14</v>
      </c>
      <c r="T165">
        <f t="shared" si="14"/>
        <v>20</v>
      </c>
      <c r="AC165">
        <v>164</v>
      </c>
      <c r="AD165">
        <v>94.19</v>
      </c>
      <c r="AE165">
        <f t="shared" si="15"/>
        <v>11.599999999999966</v>
      </c>
      <c r="AN165">
        <v>164</v>
      </c>
      <c r="AO165">
        <v>116.66</v>
      </c>
      <c r="AP165">
        <f t="shared" si="16"/>
        <v>-6.2000000000000455</v>
      </c>
      <c r="AY165">
        <v>164</v>
      </c>
      <c r="AZ165">
        <v>174.08</v>
      </c>
      <c r="BA165">
        <f t="shared" si="17"/>
        <v>-3.9999999999997726</v>
      </c>
    </row>
    <row r="166" spans="1:53" x14ac:dyDescent="0.25">
      <c r="A166">
        <v>166</v>
      </c>
      <c r="B166">
        <v>89.82</v>
      </c>
      <c r="C166">
        <f t="shared" si="12"/>
        <v>-6.2000000000000455</v>
      </c>
      <c r="H166">
        <v>166</v>
      </c>
      <c r="I166" s="4">
        <v>88.43</v>
      </c>
      <c r="J166">
        <f t="shared" si="13"/>
        <v>-7.7999999999997272</v>
      </c>
      <c r="R166">
        <v>165</v>
      </c>
      <c r="S166" s="6">
        <v>112.41</v>
      </c>
      <c r="T166">
        <f t="shared" si="14"/>
        <v>5.3999999999999204</v>
      </c>
      <c r="AC166">
        <v>165</v>
      </c>
      <c r="AD166">
        <v>94.88</v>
      </c>
      <c r="AE166">
        <f t="shared" si="15"/>
        <v>13.799999999999955</v>
      </c>
      <c r="AN166">
        <v>165</v>
      </c>
      <c r="AO166">
        <v>116.39</v>
      </c>
      <c r="AP166">
        <f t="shared" si="16"/>
        <v>-5.3999999999999204</v>
      </c>
      <c r="AY166">
        <v>165</v>
      </c>
      <c r="AZ166">
        <v>173.89</v>
      </c>
      <c r="BA166">
        <f t="shared" si="17"/>
        <v>-3.800000000000523</v>
      </c>
    </row>
    <row r="167" spans="1:53" x14ac:dyDescent="0.25">
      <c r="A167">
        <v>167</v>
      </c>
      <c r="B167">
        <v>89.4</v>
      </c>
      <c r="C167">
        <f t="shared" si="12"/>
        <v>-8.3999999999997499</v>
      </c>
      <c r="H167">
        <v>167</v>
      </c>
      <c r="I167" s="4">
        <v>88.12</v>
      </c>
      <c r="J167">
        <f t="shared" si="13"/>
        <v>-6.2000000000000455</v>
      </c>
      <c r="R167">
        <v>166</v>
      </c>
      <c r="S167" s="4">
        <v>112.03</v>
      </c>
      <c r="T167">
        <f t="shared" si="14"/>
        <v>-7.5999999999999091</v>
      </c>
      <c r="AC167">
        <v>166</v>
      </c>
      <c r="AD167">
        <v>95.15</v>
      </c>
      <c r="AE167">
        <f t="shared" si="15"/>
        <v>5.4000000000002046</v>
      </c>
      <c r="AN167">
        <v>166</v>
      </c>
      <c r="AO167">
        <v>116.7</v>
      </c>
      <c r="AP167">
        <f t="shared" si="16"/>
        <v>6.2000000000000455</v>
      </c>
      <c r="AY167">
        <v>166</v>
      </c>
      <c r="AZ167">
        <v>173.66</v>
      </c>
      <c r="BA167">
        <f t="shared" si="17"/>
        <v>-4.5999999999997954</v>
      </c>
    </row>
    <row r="168" spans="1:53" x14ac:dyDescent="0.25">
      <c r="A168">
        <v>168</v>
      </c>
      <c r="B168">
        <v>89.09</v>
      </c>
      <c r="C168">
        <f t="shared" si="12"/>
        <v>-6.2000000000000455</v>
      </c>
      <c r="H168">
        <v>168</v>
      </c>
      <c r="I168" s="4">
        <v>87.89</v>
      </c>
      <c r="J168">
        <f t="shared" si="13"/>
        <v>-4.6000000000000796</v>
      </c>
      <c r="R168">
        <v>167</v>
      </c>
      <c r="S168" s="4">
        <v>111.22</v>
      </c>
      <c r="T168">
        <f t="shared" si="14"/>
        <v>-16.200000000000045</v>
      </c>
      <c r="AC168">
        <v>167</v>
      </c>
      <c r="AD168">
        <v>94.5</v>
      </c>
      <c r="AE168">
        <f t="shared" si="15"/>
        <v>-13.000000000000114</v>
      </c>
      <c r="AN168">
        <v>167</v>
      </c>
      <c r="AO168">
        <v>117.51</v>
      </c>
      <c r="AP168">
        <f t="shared" si="16"/>
        <v>16.200000000000045</v>
      </c>
      <c r="AY168">
        <v>167</v>
      </c>
      <c r="AZ168">
        <v>173.35</v>
      </c>
      <c r="BA168">
        <f t="shared" si="17"/>
        <v>-6.2000000000000455</v>
      </c>
    </row>
    <row r="169" spans="1:53" x14ac:dyDescent="0.25">
      <c r="A169">
        <v>169</v>
      </c>
      <c r="B169">
        <v>89.59</v>
      </c>
      <c r="C169">
        <f t="shared" si="12"/>
        <v>10</v>
      </c>
      <c r="H169">
        <v>169</v>
      </c>
      <c r="I169" s="4">
        <v>87.51</v>
      </c>
      <c r="J169">
        <f t="shared" si="13"/>
        <v>-7.5999999999999091</v>
      </c>
      <c r="R169">
        <v>168</v>
      </c>
      <c r="S169" s="4">
        <v>110.29</v>
      </c>
      <c r="T169">
        <f t="shared" si="14"/>
        <v>-18.599999999999852</v>
      </c>
      <c r="AC169">
        <v>168</v>
      </c>
      <c r="AD169">
        <v>94.15</v>
      </c>
      <c r="AE169">
        <f t="shared" si="15"/>
        <v>-6.9999999999998863</v>
      </c>
      <c r="AN169">
        <v>168</v>
      </c>
      <c r="AO169">
        <v>117.43</v>
      </c>
      <c r="AP169">
        <f t="shared" si="16"/>
        <v>-1.5999999999999659</v>
      </c>
      <c r="AY169">
        <v>168</v>
      </c>
      <c r="AZ169">
        <v>173.2</v>
      </c>
      <c r="BA169">
        <f t="shared" si="17"/>
        <v>-3.0000000000001137</v>
      </c>
    </row>
    <row r="170" spans="1:53" x14ac:dyDescent="0.25">
      <c r="A170">
        <v>170</v>
      </c>
      <c r="B170">
        <v>90.83</v>
      </c>
      <c r="C170">
        <f t="shared" si="12"/>
        <v>24.799999999999898</v>
      </c>
      <c r="H170">
        <v>170</v>
      </c>
      <c r="I170" s="5">
        <v>87.39</v>
      </c>
      <c r="J170">
        <f t="shared" si="13"/>
        <v>-2.4000000000000909</v>
      </c>
      <c r="R170">
        <v>169</v>
      </c>
      <c r="S170" s="4">
        <v>109.71</v>
      </c>
      <c r="T170">
        <f t="shared" si="14"/>
        <v>-11.60000000000025</v>
      </c>
      <c r="AC170">
        <v>169</v>
      </c>
      <c r="AD170">
        <v>93.34</v>
      </c>
      <c r="AE170">
        <f t="shared" si="15"/>
        <v>-16.200000000000045</v>
      </c>
      <c r="AN170">
        <v>169</v>
      </c>
      <c r="AO170">
        <v>117.13</v>
      </c>
      <c r="AP170">
        <f t="shared" si="16"/>
        <v>-6.0000000000002274</v>
      </c>
      <c r="AY170">
        <v>169</v>
      </c>
      <c r="AZ170">
        <v>172.97</v>
      </c>
      <c r="BA170">
        <f t="shared" si="17"/>
        <v>-4.5999999999997954</v>
      </c>
    </row>
    <row r="171" spans="1:53" x14ac:dyDescent="0.25">
      <c r="A171">
        <v>171</v>
      </c>
      <c r="B171">
        <v>91.1</v>
      </c>
      <c r="C171">
        <f t="shared" si="12"/>
        <v>5.3999999999999204</v>
      </c>
      <c r="H171">
        <v>171</v>
      </c>
      <c r="I171" s="5">
        <v>87.74</v>
      </c>
      <c r="J171">
        <f t="shared" si="13"/>
        <v>6.9999999999998863</v>
      </c>
      <c r="R171">
        <v>170</v>
      </c>
      <c r="S171" s="4">
        <v>109.21</v>
      </c>
      <c r="T171">
        <f t="shared" si="14"/>
        <v>-10</v>
      </c>
      <c r="AC171">
        <v>170</v>
      </c>
      <c r="AD171">
        <v>92.56</v>
      </c>
      <c r="AE171">
        <f t="shared" si="15"/>
        <v>-15.600000000000023</v>
      </c>
      <c r="AN171">
        <v>170</v>
      </c>
      <c r="AO171">
        <v>116.39</v>
      </c>
      <c r="AP171">
        <f t="shared" si="16"/>
        <v>-14.799999999999898</v>
      </c>
      <c r="AY171">
        <v>170</v>
      </c>
      <c r="AZ171">
        <v>172.73</v>
      </c>
      <c r="BA171">
        <f t="shared" si="17"/>
        <v>-4.8000000000001819</v>
      </c>
    </row>
    <row r="172" spans="1:53" x14ac:dyDescent="0.25">
      <c r="A172">
        <v>172</v>
      </c>
      <c r="B172">
        <v>90.67</v>
      </c>
      <c r="C172">
        <f t="shared" si="12"/>
        <v>-8.5999999999998522</v>
      </c>
      <c r="H172">
        <v>172</v>
      </c>
      <c r="I172" s="5">
        <v>88.09</v>
      </c>
      <c r="J172">
        <f t="shared" si="13"/>
        <v>7.0000000000001705</v>
      </c>
      <c r="R172">
        <v>171</v>
      </c>
      <c r="S172" s="4">
        <v>108.75</v>
      </c>
      <c r="T172">
        <f t="shared" si="14"/>
        <v>-9.1999999999998749</v>
      </c>
      <c r="AC172">
        <v>171</v>
      </c>
      <c r="AD172">
        <v>92.18</v>
      </c>
      <c r="AE172">
        <f t="shared" si="15"/>
        <v>-7.5999999999999091</v>
      </c>
      <c r="AN172">
        <v>171</v>
      </c>
      <c r="AO172">
        <v>115.7</v>
      </c>
      <c r="AP172">
        <f t="shared" si="16"/>
        <v>-13.799999999999955</v>
      </c>
      <c r="AY172">
        <v>171</v>
      </c>
      <c r="AZ172">
        <v>172.54</v>
      </c>
      <c r="BA172">
        <f t="shared" si="17"/>
        <v>-3.7999999999999545</v>
      </c>
    </row>
    <row r="173" spans="1:53" x14ac:dyDescent="0.25">
      <c r="A173">
        <v>173</v>
      </c>
      <c r="B173">
        <v>90.4</v>
      </c>
      <c r="C173">
        <f t="shared" si="12"/>
        <v>-5.3999999999999204</v>
      </c>
      <c r="H173">
        <v>173</v>
      </c>
      <c r="I173" s="4">
        <v>87.85</v>
      </c>
      <c r="J173">
        <f t="shared" si="13"/>
        <v>-4.8000000000001819</v>
      </c>
      <c r="R173">
        <v>172</v>
      </c>
      <c r="S173" s="4">
        <v>108.32</v>
      </c>
      <c r="T173">
        <f t="shared" si="14"/>
        <v>-8.6000000000001364</v>
      </c>
      <c r="AC173">
        <v>172</v>
      </c>
      <c r="AD173">
        <v>91.64</v>
      </c>
      <c r="AE173">
        <f t="shared" si="15"/>
        <v>-10.800000000000125</v>
      </c>
      <c r="AN173">
        <v>172</v>
      </c>
      <c r="AO173">
        <v>115.31</v>
      </c>
      <c r="AP173">
        <f t="shared" si="16"/>
        <v>-7.8000000000000114</v>
      </c>
      <c r="AY173">
        <v>172</v>
      </c>
      <c r="AZ173">
        <v>172.35</v>
      </c>
      <c r="BA173">
        <f t="shared" si="17"/>
        <v>-3.7999999999999545</v>
      </c>
    </row>
    <row r="174" spans="1:53" x14ac:dyDescent="0.25">
      <c r="A174">
        <v>174</v>
      </c>
      <c r="B174">
        <v>89.9</v>
      </c>
      <c r="C174">
        <f t="shared" si="12"/>
        <v>-10</v>
      </c>
      <c r="H174">
        <v>174</v>
      </c>
      <c r="I174" s="4">
        <v>87.51</v>
      </c>
      <c r="J174">
        <f t="shared" si="13"/>
        <v>-6.799999999999784</v>
      </c>
      <c r="R174">
        <v>173</v>
      </c>
      <c r="S174" s="4">
        <v>107.86</v>
      </c>
      <c r="T174">
        <f t="shared" si="14"/>
        <v>-9.1999999999998749</v>
      </c>
      <c r="AC174">
        <v>173</v>
      </c>
      <c r="AD174">
        <v>90.98</v>
      </c>
      <c r="AE174">
        <f t="shared" si="15"/>
        <v>-13.199999999999932</v>
      </c>
      <c r="AN174">
        <v>173</v>
      </c>
      <c r="AO174">
        <v>114.89</v>
      </c>
      <c r="AP174">
        <f t="shared" si="16"/>
        <v>-8.4000000000000341</v>
      </c>
      <c r="AY174">
        <v>173</v>
      </c>
      <c r="AZ174">
        <v>172.12</v>
      </c>
      <c r="BA174">
        <f t="shared" si="17"/>
        <v>-4.5999999999997954</v>
      </c>
    </row>
    <row r="175" spans="1:53" x14ac:dyDescent="0.25">
      <c r="A175">
        <v>175</v>
      </c>
      <c r="B175">
        <v>89.28</v>
      </c>
      <c r="C175">
        <f t="shared" si="12"/>
        <v>-12.400000000000091</v>
      </c>
      <c r="H175">
        <v>175</v>
      </c>
      <c r="I175" s="4">
        <v>87.12</v>
      </c>
      <c r="J175">
        <f t="shared" si="13"/>
        <v>-7.8000000000000114</v>
      </c>
      <c r="R175">
        <v>174</v>
      </c>
      <c r="S175" s="4">
        <v>107.47</v>
      </c>
      <c r="T175">
        <f t="shared" si="14"/>
        <v>-7.8000000000000114</v>
      </c>
      <c r="AC175">
        <v>174</v>
      </c>
      <c r="AD175">
        <v>90.56</v>
      </c>
      <c r="AE175">
        <f t="shared" si="15"/>
        <v>-8.4000000000000341</v>
      </c>
      <c r="AN175">
        <v>174</v>
      </c>
      <c r="AO175">
        <v>114.5</v>
      </c>
      <c r="AP175">
        <f t="shared" si="16"/>
        <v>-7.8000000000000114</v>
      </c>
      <c r="AY175">
        <v>174</v>
      </c>
      <c r="AZ175">
        <v>171.96</v>
      </c>
      <c r="BA175">
        <f t="shared" si="17"/>
        <v>-3.1999999999999318</v>
      </c>
    </row>
    <row r="176" spans="1:53" x14ac:dyDescent="0.25">
      <c r="A176">
        <v>176</v>
      </c>
      <c r="B176">
        <v>88.82</v>
      </c>
      <c r="C176">
        <f t="shared" si="12"/>
        <v>-9.2000000000001592</v>
      </c>
      <c r="H176">
        <v>176</v>
      </c>
      <c r="I176" s="4">
        <v>86.69</v>
      </c>
      <c r="J176">
        <f t="shared" si="13"/>
        <v>-8.6000000000001364</v>
      </c>
      <c r="R176">
        <v>175</v>
      </c>
      <c r="S176" s="4">
        <v>107.08</v>
      </c>
      <c r="T176">
        <f t="shared" si="14"/>
        <v>-7.8000000000000114</v>
      </c>
      <c r="AC176">
        <v>175</v>
      </c>
      <c r="AD176">
        <v>90.17</v>
      </c>
      <c r="AE176">
        <f t="shared" si="15"/>
        <v>-7.8000000000000114</v>
      </c>
      <c r="AN176">
        <v>175</v>
      </c>
      <c r="AO176">
        <v>114.23</v>
      </c>
      <c r="AP176">
        <f t="shared" si="16"/>
        <v>-5.3999999999999204</v>
      </c>
      <c r="AY176">
        <v>175</v>
      </c>
      <c r="AZ176" s="2">
        <v>171.77</v>
      </c>
      <c r="BA176">
        <f t="shared" si="17"/>
        <v>-3.7999999999999545</v>
      </c>
    </row>
    <row r="177" spans="1:53" x14ac:dyDescent="0.25">
      <c r="A177">
        <v>177</v>
      </c>
      <c r="B177">
        <v>88.28</v>
      </c>
      <c r="C177">
        <f t="shared" si="12"/>
        <v>-10.799999999999841</v>
      </c>
      <c r="H177">
        <v>177</v>
      </c>
      <c r="I177" s="4">
        <v>86.15</v>
      </c>
      <c r="J177">
        <f t="shared" si="13"/>
        <v>-10.799999999999841</v>
      </c>
      <c r="R177">
        <v>176</v>
      </c>
      <c r="S177" s="4">
        <v>106.66</v>
      </c>
      <c r="T177">
        <f t="shared" si="14"/>
        <v>-8.4000000000000341</v>
      </c>
      <c r="AC177">
        <v>176</v>
      </c>
      <c r="AD177">
        <v>89.71</v>
      </c>
      <c r="AE177">
        <f t="shared" si="15"/>
        <v>-9.2000000000001592</v>
      </c>
      <c r="AN177">
        <v>176</v>
      </c>
      <c r="AO177">
        <v>113.92</v>
      </c>
      <c r="AP177">
        <f t="shared" si="16"/>
        <v>-6.2000000000000455</v>
      </c>
      <c r="AY177">
        <v>176</v>
      </c>
      <c r="AZ177">
        <v>172.08</v>
      </c>
      <c r="BA177">
        <f t="shared" si="17"/>
        <v>6.2000000000000455</v>
      </c>
    </row>
    <row r="178" spans="1:53" x14ac:dyDescent="0.25">
      <c r="A178">
        <v>178</v>
      </c>
      <c r="B178">
        <v>87.54</v>
      </c>
      <c r="C178">
        <f t="shared" si="12"/>
        <v>-14.799999999999898</v>
      </c>
      <c r="H178">
        <v>178</v>
      </c>
      <c r="I178" s="4">
        <v>85.69</v>
      </c>
      <c r="J178">
        <f t="shared" si="13"/>
        <v>-9.2000000000001592</v>
      </c>
      <c r="R178">
        <v>177</v>
      </c>
      <c r="S178" s="6">
        <v>106.39</v>
      </c>
      <c r="T178">
        <f t="shared" si="14"/>
        <v>-5.3999999999999204</v>
      </c>
      <c r="AC178">
        <v>177</v>
      </c>
      <c r="AD178">
        <v>89.48</v>
      </c>
      <c r="AE178">
        <f t="shared" si="15"/>
        <v>-4.5999999999997954</v>
      </c>
      <c r="AN178">
        <v>177</v>
      </c>
      <c r="AO178">
        <v>113.65</v>
      </c>
      <c r="AP178">
        <f t="shared" si="16"/>
        <v>-5.3999999999999204</v>
      </c>
      <c r="AY178">
        <v>177</v>
      </c>
      <c r="AZ178">
        <v>172.58</v>
      </c>
      <c r="BA178">
        <f t="shared" si="17"/>
        <v>10</v>
      </c>
    </row>
    <row r="179" spans="1:53" x14ac:dyDescent="0.25">
      <c r="A179">
        <v>179</v>
      </c>
      <c r="B179">
        <v>86.89</v>
      </c>
      <c r="C179">
        <f t="shared" si="12"/>
        <v>-13.000000000000114</v>
      </c>
      <c r="H179">
        <v>179</v>
      </c>
      <c r="I179" s="4">
        <v>85.19</v>
      </c>
      <c r="J179">
        <f t="shared" si="13"/>
        <v>-10</v>
      </c>
      <c r="R179">
        <v>178</v>
      </c>
      <c r="S179" s="6">
        <v>107.32</v>
      </c>
      <c r="T179">
        <f t="shared" si="14"/>
        <v>18.599999999999852</v>
      </c>
      <c r="AC179">
        <v>178</v>
      </c>
      <c r="AD179">
        <v>89.09</v>
      </c>
      <c r="AE179">
        <f t="shared" si="15"/>
        <v>-7.8000000000000114</v>
      </c>
      <c r="AN179">
        <v>178</v>
      </c>
      <c r="AO179">
        <v>113.5</v>
      </c>
      <c r="AP179">
        <f t="shared" si="16"/>
        <v>-3.0000000000001137</v>
      </c>
      <c r="AY179">
        <v>178</v>
      </c>
      <c r="AZ179" s="2">
        <v>172.73</v>
      </c>
      <c r="BA179">
        <f t="shared" si="17"/>
        <v>2.9999999999995453</v>
      </c>
    </row>
    <row r="180" spans="1:53" x14ac:dyDescent="0.25">
      <c r="A180">
        <v>180</v>
      </c>
      <c r="B180">
        <v>86.27</v>
      </c>
      <c r="C180">
        <f t="shared" si="12"/>
        <v>-12.400000000000091</v>
      </c>
      <c r="H180">
        <v>180</v>
      </c>
      <c r="I180" s="4">
        <v>84.73</v>
      </c>
      <c r="J180">
        <f t="shared" si="13"/>
        <v>-9.1999999999998749</v>
      </c>
      <c r="R180">
        <v>179</v>
      </c>
      <c r="S180" s="6">
        <v>107.86</v>
      </c>
      <c r="T180">
        <f t="shared" si="14"/>
        <v>10.800000000000125</v>
      </c>
      <c r="AC180">
        <v>179</v>
      </c>
      <c r="AD180">
        <v>88.74</v>
      </c>
      <c r="AE180">
        <f t="shared" si="15"/>
        <v>-7.0000000000001705</v>
      </c>
      <c r="AN180">
        <v>179</v>
      </c>
      <c r="AO180">
        <v>114.27</v>
      </c>
      <c r="AP180">
        <f t="shared" si="16"/>
        <v>15.39999999999992</v>
      </c>
      <c r="AY180">
        <v>179</v>
      </c>
      <c r="AZ180" s="3">
        <v>172.46</v>
      </c>
      <c r="BA180">
        <f t="shared" si="17"/>
        <v>-5.3999999999996362</v>
      </c>
    </row>
    <row r="181" spans="1:53" x14ac:dyDescent="0.25">
      <c r="A181">
        <v>181</v>
      </c>
      <c r="B181">
        <v>85.81</v>
      </c>
      <c r="C181">
        <f t="shared" si="12"/>
        <v>-9.1999999999998749</v>
      </c>
      <c r="H181">
        <v>181</v>
      </c>
      <c r="I181" s="4">
        <v>84.42</v>
      </c>
      <c r="J181">
        <f t="shared" si="13"/>
        <v>-6.2000000000000455</v>
      </c>
      <c r="R181">
        <v>180</v>
      </c>
      <c r="S181" s="4">
        <v>107.66</v>
      </c>
      <c r="T181">
        <f t="shared" si="14"/>
        <v>-4.0000000000000568</v>
      </c>
      <c r="AC181">
        <v>180</v>
      </c>
      <c r="AD181">
        <v>88.36</v>
      </c>
      <c r="AE181">
        <f t="shared" si="15"/>
        <v>-7.5999999999999091</v>
      </c>
      <c r="AN181">
        <v>180</v>
      </c>
      <c r="AO181">
        <v>114.65</v>
      </c>
      <c r="AP181">
        <f t="shared" si="16"/>
        <v>7.6000000000001933</v>
      </c>
      <c r="AY181">
        <v>180</v>
      </c>
      <c r="AZ181">
        <v>171.92</v>
      </c>
      <c r="BA181">
        <f t="shared" si="17"/>
        <v>-10.800000000000409</v>
      </c>
    </row>
    <row r="182" spans="1:53" x14ac:dyDescent="0.25">
      <c r="A182">
        <v>182</v>
      </c>
      <c r="B182">
        <v>85.34</v>
      </c>
      <c r="C182">
        <f t="shared" si="12"/>
        <v>-9.3999999999999773</v>
      </c>
      <c r="H182">
        <v>182</v>
      </c>
      <c r="I182" s="4">
        <v>84.03</v>
      </c>
      <c r="J182">
        <f t="shared" si="13"/>
        <v>-7.8000000000000114</v>
      </c>
      <c r="R182">
        <v>181</v>
      </c>
      <c r="S182" s="4">
        <v>107.28</v>
      </c>
      <c r="T182">
        <f t="shared" si="14"/>
        <v>-7.5999999999999091</v>
      </c>
      <c r="AC182">
        <v>181</v>
      </c>
      <c r="AD182">
        <v>88.01</v>
      </c>
      <c r="AE182">
        <f t="shared" si="15"/>
        <v>-6.9999999999998863</v>
      </c>
      <c r="AN182">
        <v>181</v>
      </c>
      <c r="AO182">
        <v>114.73</v>
      </c>
      <c r="AP182">
        <f t="shared" si="16"/>
        <v>1.5999999999999659</v>
      </c>
      <c r="AY182">
        <v>181</v>
      </c>
      <c r="AZ182">
        <v>171.42</v>
      </c>
      <c r="BA182">
        <f t="shared" si="17"/>
        <v>-10</v>
      </c>
    </row>
    <row r="183" spans="1:53" x14ac:dyDescent="0.25">
      <c r="A183">
        <v>183</v>
      </c>
      <c r="B183">
        <v>84.96</v>
      </c>
      <c r="C183">
        <f t="shared" si="12"/>
        <v>-7.6000000000001933</v>
      </c>
      <c r="H183">
        <v>183</v>
      </c>
      <c r="I183" s="4">
        <v>83.61</v>
      </c>
      <c r="J183">
        <f t="shared" si="13"/>
        <v>-8.4000000000000341</v>
      </c>
      <c r="R183">
        <v>182</v>
      </c>
      <c r="S183" s="4">
        <v>106.31</v>
      </c>
      <c r="T183">
        <f t="shared" si="14"/>
        <v>-19.399999999999977</v>
      </c>
      <c r="AC183">
        <v>182</v>
      </c>
      <c r="AD183">
        <v>87.66</v>
      </c>
      <c r="AE183">
        <f t="shared" si="15"/>
        <v>-7.0000000000001705</v>
      </c>
      <c r="AN183">
        <v>182</v>
      </c>
      <c r="AO183">
        <v>114.38</v>
      </c>
      <c r="AP183">
        <f t="shared" si="16"/>
        <v>-7.0000000000001705</v>
      </c>
      <c r="AY183">
        <v>182</v>
      </c>
      <c r="AZ183">
        <v>171</v>
      </c>
      <c r="BA183">
        <f t="shared" si="17"/>
        <v>-8.3999999999997499</v>
      </c>
    </row>
    <row r="184" spans="1:53" x14ac:dyDescent="0.25">
      <c r="A184">
        <v>184</v>
      </c>
      <c r="B184">
        <v>84.57</v>
      </c>
      <c r="C184">
        <f t="shared" si="12"/>
        <v>-7.8000000000000114</v>
      </c>
      <c r="H184">
        <v>184</v>
      </c>
      <c r="I184" s="5">
        <v>83.57</v>
      </c>
      <c r="J184">
        <f t="shared" si="13"/>
        <v>-0.80000000000012506</v>
      </c>
      <c r="R184">
        <v>183</v>
      </c>
      <c r="S184" s="4">
        <v>105.46</v>
      </c>
      <c r="T184">
        <f t="shared" si="14"/>
        <v>-17.000000000000171</v>
      </c>
      <c r="AC184">
        <v>183</v>
      </c>
      <c r="AD184">
        <v>87.39</v>
      </c>
      <c r="AE184">
        <f t="shared" si="15"/>
        <v>-5.3999999999999204</v>
      </c>
      <c r="AN184">
        <v>183</v>
      </c>
      <c r="AO184">
        <v>113.73</v>
      </c>
      <c r="AP184">
        <f t="shared" si="16"/>
        <v>-12.999999999999829</v>
      </c>
      <c r="AY184">
        <v>183</v>
      </c>
      <c r="AZ184">
        <v>170.65</v>
      </c>
      <c r="BA184">
        <f t="shared" si="17"/>
        <v>-6.9999999999998863</v>
      </c>
    </row>
    <row r="185" spans="1:53" x14ac:dyDescent="0.25">
      <c r="A185">
        <v>185</v>
      </c>
      <c r="B185">
        <v>84.15</v>
      </c>
      <c r="C185">
        <f t="shared" si="12"/>
        <v>-8.3999999999997499</v>
      </c>
      <c r="H185">
        <v>185</v>
      </c>
      <c r="I185" s="5">
        <v>84.03</v>
      </c>
      <c r="J185">
        <f t="shared" si="13"/>
        <v>9.2000000000001592</v>
      </c>
      <c r="R185">
        <v>184</v>
      </c>
      <c r="S185" s="4">
        <v>105</v>
      </c>
      <c r="T185">
        <f t="shared" si="14"/>
        <v>-9.1999999999998749</v>
      </c>
      <c r="AC185">
        <v>184</v>
      </c>
      <c r="AD185">
        <v>87.12</v>
      </c>
      <c r="AE185">
        <f t="shared" si="15"/>
        <v>-5.3999999999999204</v>
      </c>
      <c r="AN185">
        <v>184</v>
      </c>
      <c r="AO185">
        <v>113.15</v>
      </c>
      <c r="AP185">
        <f t="shared" si="16"/>
        <v>-11.599999999999966</v>
      </c>
      <c r="AY185">
        <v>184</v>
      </c>
      <c r="AZ185">
        <v>170.57</v>
      </c>
      <c r="BA185">
        <f t="shared" si="17"/>
        <v>-1.6000000000002501</v>
      </c>
    </row>
    <row r="186" spans="1:53" x14ac:dyDescent="0.25">
      <c r="A186">
        <v>186</v>
      </c>
      <c r="B186">
        <v>83.8</v>
      </c>
      <c r="C186">
        <f t="shared" si="12"/>
        <v>-7.0000000000001705</v>
      </c>
      <c r="H186">
        <v>186</v>
      </c>
      <c r="I186" s="5">
        <v>84.22</v>
      </c>
      <c r="J186">
        <f t="shared" si="13"/>
        <v>3.7999999999999545</v>
      </c>
      <c r="R186">
        <v>185</v>
      </c>
      <c r="S186" s="4">
        <v>104.46</v>
      </c>
      <c r="T186">
        <f t="shared" si="14"/>
        <v>-10.800000000000125</v>
      </c>
      <c r="AC186">
        <v>185</v>
      </c>
      <c r="AD186">
        <v>86.81</v>
      </c>
      <c r="AE186">
        <f t="shared" si="15"/>
        <v>-6.2000000000000455</v>
      </c>
      <c r="AN186">
        <v>185</v>
      </c>
      <c r="AO186">
        <v>112.57</v>
      </c>
      <c r="AP186">
        <f t="shared" si="16"/>
        <v>-11.60000000000025</v>
      </c>
      <c r="AY186">
        <v>185</v>
      </c>
      <c r="AZ186">
        <v>170.42</v>
      </c>
      <c r="BA186">
        <f t="shared" si="17"/>
        <v>-3.0000000000001137</v>
      </c>
    </row>
    <row r="187" spans="1:53" x14ac:dyDescent="0.25">
      <c r="A187">
        <v>187</v>
      </c>
      <c r="B187">
        <v>83.45</v>
      </c>
      <c r="C187">
        <f t="shared" si="12"/>
        <v>-6.9999999999998863</v>
      </c>
      <c r="H187">
        <v>187</v>
      </c>
      <c r="I187" s="4">
        <v>84.11</v>
      </c>
      <c r="J187">
        <f t="shared" si="13"/>
        <v>-2.1999999999999886</v>
      </c>
      <c r="R187">
        <v>186</v>
      </c>
      <c r="S187" s="4">
        <v>104.07</v>
      </c>
      <c r="T187">
        <f t="shared" si="14"/>
        <v>-7.8000000000000114</v>
      </c>
      <c r="AC187">
        <v>186</v>
      </c>
      <c r="AD187">
        <v>86.93</v>
      </c>
      <c r="AE187">
        <f t="shared" si="15"/>
        <v>2.4000000000000909</v>
      </c>
      <c r="AN187">
        <v>186</v>
      </c>
      <c r="AO187">
        <v>112.1</v>
      </c>
      <c r="AP187">
        <f t="shared" si="16"/>
        <v>-9.3999999999999773</v>
      </c>
      <c r="AY187">
        <v>186</v>
      </c>
      <c r="AZ187">
        <v>170.26</v>
      </c>
      <c r="BA187">
        <f t="shared" si="17"/>
        <v>-3.1999999999999318</v>
      </c>
    </row>
    <row r="188" spans="1:53" x14ac:dyDescent="0.25">
      <c r="A188">
        <v>188</v>
      </c>
      <c r="B188">
        <v>83.06</v>
      </c>
      <c r="C188">
        <f t="shared" si="12"/>
        <v>-7.8000000000000114</v>
      </c>
      <c r="H188">
        <v>188</v>
      </c>
      <c r="I188" s="4">
        <v>84.07</v>
      </c>
      <c r="J188">
        <f t="shared" si="13"/>
        <v>-0.80000000000012506</v>
      </c>
      <c r="R188">
        <v>187</v>
      </c>
      <c r="S188" s="4">
        <v>103.61</v>
      </c>
      <c r="T188">
        <f t="shared" si="14"/>
        <v>-9.1999999999998749</v>
      </c>
      <c r="AC188">
        <v>187</v>
      </c>
      <c r="AD188">
        <v>88.01</v>
      </c>
      <c r="AE188">
        <f t="shared" si="15"/>
        <v>21.599999999999966</v>
      </c>
      <c r="AN188">
        <v>187</v>
      </c>
      <c r="AO188">
        <v>111.72</v>
      </c>
      <c r="AP188">
        <f t="shared" si="16"/>
        <v>-7.5999999999999091</v>
      </c>
      <c r="AY188">
        <v>187</v>
      </c>
      <c r="AZ188">
        <v>169.95</v>
      </c>
      <c r="BA188">
        <f t="shared" si="17"/>
        <v>-6.2000000000000455</v>
      </c>
    </row>
    <row r="189" spans="1:53" x14ac:dyDescent="0.25">
      <c r="A189">
        <v>189</v>
      </c>
      <c r="B189">
        <v>83.22</v>
      </c>
      <c r="C189">
        <f t="shared" si="12"/>
        <v>3.1999999999999318</v>
      </c>
      <c r="H189">
        <v>189</v>
      </c>
      <c r="I189" s="4">
        <v>83.61</v>
      </c>
      <c r="J189">
        <f t="shared" si="13"/>
        <v>-9.1999999999998749</v>
      </c>
      <c r="R189">
        <v>188</v>
      </c>
      <c r="S189" s="4">
        <v>103.34</v>
      </c>
      <c r="T189">
        <f t="shared" si="14"/>
        <v>-5.3999999999999204</v>
      </c>
      <c r="AC189">
        <v>188</v>
      </c>
      <c r="AD189">
        <v>88.78</v>
      </c>
      <c r="AE189">
        <f t="shared" si="15"/>
        <v>15.39999999999992</v>
      </c>
      <c r="AN189">
        <v>188</v>
      </c>
      <c r="AO189">
        <v>111.41</v>
      </c>
      <c r="AP189">
        <f t="shared" si="16"/>
        <v>-6.2000000000000455</v>
      </c>
      <c r="AY189">
        <v>188</v>
      </c>
      <c r="AZ189">
        <v>169.76</v>
      </c>
      <c r="BA189">
        <f t="shared" si="17"/>
        <v>-3.7999999999999545</v>
      </c>
    </row>
    <row r="190" spans="1:53" x14ac:dyDescent="0.25">
      <c r="A190">
        <v>190</v>
      </c>
      <c r="B190">
        <v>84.53</v>
      </c>
      <c r="C190">
        <f t="shared" si="12"/>
        <v>26.200000000000045</v>
      </c>
      <c r="H190">
        <v>190</v>
      </c>
      <c r="I190" s="4">
        <v>83.37</v>
      </c>
      <c r="J190">
        <f t="shared" si="13"/>
        <v>-4.7999999999998977</v>
      </c>
      <c r="R190">
        <v>189</v>
      </c>
      <c r="S190" s="4">
        <v>102.91</v>
      </c>
      <c r="T190">
        <f t="shared" si="14"/>
        <v>-8.6000000000001364</v>
      </c>
      <c r="AC190">
        <v>189</v>
      </c>
      <c r="AD190">
        <v>88.43</v>
      </c>
      <c r="AE190">
        <f t="shared" si="15"/>
        <v>-6.9999999999998863</v>
      </c>
      <c r="AN190">
        <v>189</v>
      </c>
      <c r="AO190">
        <v>111.06</v>
      </c>
      <c r="AP190">
        <f t="shared" si="16"/>
        <v>-6.9999999999998863</v>
      </c>
      <c r="AY190">
        <v>189</v>
      </c>
      <c r="AZ190">
        <v>169.53</v>
      </c>
      <c r="BA190">
        <f t="shared" si="17"/>
        <v>-4.5999999999997954</v>
      </c>
    </row>
    <row r="191" spans="1:53" x14ac:dyDescent="0.25">
      <c r="A191">
        <v>191</v>
      </c>
      <c r="B191">
        <v>85.34</v>
      </c>
      <c r="C191">
        <f t="shared" si="12"/>
        <v>16.200000000000045</v>
      </c>
      <c r="H191">
        <v>191</v>
      </c>
      <c r="I191" s="4">
        <v>82.91</v>
      </c>
      <c r="J191">
        <f t="shared" si="13"/>
        <v>-9.2000000000001592</v>
      </c>
      <c r="R191">
        <v>190</v>
      </c>
      <c r="S191" s="4">
        <v>102.57</v>
      </c>
      <c r="T191">
        <f t="shared" si="14"/>
        <v>-6.8000000000000682</v>
      </c>
      <c r="AC191">
        <v>190</v>
      </c>
      <c r="AD191">
        <v>88.28</v>
      </c>
      <c r="AE191">
        <f t="shared" si="15"/>
        <v>-3.0000000000001137</v>
      </c>
      <c r="AN191">
        <v>190</v>
      </c>
      <c r="AO191">
        <v>110.79</v>
      </c>
      <c r="AP191">
        <f t="shared" si="16"/>
        <v>-5.3999999999999204</v>
      </c>
      <c r="AY191">
        <v>190</v>
      </c>
      <c r="AZ191">
        <v>169.3</v>
      </c>
      <c r="BA191">
        <f t="shared" si="17"/>
        <v>-4.5999999999997954</v>
      </c>
    </row>
    <row r="192" spans="1:53" x14ac:dyDescent="0.25">
      <c r="A192">
        <v>192</v>
      </c>
      <c r="B192">
        <v>85.42</v>
      </c>
      <c r="C192">
        <f t="shared" si="12"/>
        <v>1.5999999999999659</v>
      </c>
      <c r="H192">
        <v>192</v>
      </c>
      <c r="I192" s="4">
        <v>82.49</v>
      </c>
      <c r="J192">
        <f t="shared" si="13"/>
        <v>-8.4000000000000341</v>
      </c>
      <c r="R192">
        <v>191</v>
      </c>
      <c r="S192" s="6">
        <v>102.49</v>
      </c>
      <c r="T192">
        <f t="shared" si="14"/>
        <v>-1.5999999999999659</v>
      </c>
      <c r="AC192">
        <v>191</v>
      </c>
      <c r="AD192">
        <v>87.89</v>
      </c>
      <c r="AE192">
        <f t="shared" si="15"/>
        <v>-7.8000000000000114</v>
      </c>
      <c r="AN192">
        <v>191</v>
      </c>
      <c r="AO192">
        <v>110.91</v>
      </c>
      <c r="AP192">
        <f t="shared" si="16"/>
        <v>2.3999999999998067</v>
      </c>
      <c r="AY192">
        <v>191</v>
      </c>
      <c r="AZ192">
        <v>169.1</v>
      </c>
      <c r="BA192">
        <f t="shared" si="17"/>
        <v>-4.0000000000003411</v>
      </c>
    </row>
    <row r="193" spans="1:53" x14ac:dyDescent="0.25">
      <c r="A193">
        <v>193</v>
      </c>
      <c r="B193">
        <v>85.54</v>
      </c>
      <c r="C193">
        <f t="shared" si="12"/>
        <v>2.4000000000000909</v>
      </c>
      <c r="H193">
        <v>193</v>
      </c>
      <c r="I193" s="4">
        <v>82.02</v>
      </c>
      <c r="J193">
        <f t="shared" si="13"/>
        <v>-9.3999999999999773</v>
      </c>
      <c r="R193">
        <v>192</v>
      </c>
      <c r="S193" s="6">
        <v>103.8</v>
      </c>
      <c r="T193">
        <f t="shared" si="14"/>
        <v>26.200000000000045</v>
      </c>
      <c r="AC193">
        <v>192</v>
      </c>
      <c r="AD193">
        <v>87.2</v>
      </c>
      <c r="AE193">
        <f t="shared" si="15"/>
        <v>-13.799999999999955</v>
      </c>
      <c r="AN193">
        <v>192</v>
      </c>
      <c r="AO193">
        <v>111.8</v>
      </c>
      <c r="AP193">
        <f t="shared" si="16"/>
        <v>17.800000000000011</v>
      </c>
      <c r="AY193">
        <v>192</v>
      </c>
      <c r="AZ193">
        <v>168.91</v>
      </c>
      <c r="BA193">
        <f t="shared" si="17"/>
        <v>-3.7999999999999545</v>
      </c>
    </row>
    <row r="194" spans="1:53" x14ac:dyDescent="0.25">
      <c r="A194">
        <v>194</v>
      </c>
      <c r="B194">
        <v>85.07</v>
      </c>
      <c r="C194">
        <f t="shared" si="12"/>
        <v>-9.4000000000002615</v>
      </c>
      <c r="H194">
        <v>194</v>
      </c>
      <c r="I194" s="4">
        <v>81.44</v>
      </c>
      <c r="J194">
        <f t="shared" si="13"/>
        <v>-11.599999999999966</v>
      </c>
      <c r="R194">
        <v>193</v>
      </c>
      <c r="S194" s="6">
        <v>104.42</v>
      </c>
      <c r="T194">
        <f t="shared" si="14"/>
        <v>12.400000000000091</v>
      </c>
      <c r="AC194">
        <v>193</v>
      </c>
      <c r="AD194">
        <v>86.81</v>
      </c>
      <c r="AE194">
        <f t="shared" si="15"/>
        <v>-7.8000000000000114</v>
      </c>
      <c r="AN194">
        <v>193</v>
      </c>
      <c r="AO194">
        <v>111.99</v>
      </c>
      <c r="AP194">
        <f t="shared" si="16"/>
        <v>3.7999999999999545</v>
      </c>
      <c r="AY194">
        <v>193</v>
      </c>
      <c r="AZ194">
        <v>168.72</v>
      </c>
      <c r="BA194">
        <f t="shared" si="17"/>
        <v>-3.7999999999999545</v>
      </c>
    </row>
    <row r="195" spans="1:53" x14ac:dyDescent="0.25">
      <c r="A195">
        <v>195</v>
      </c>
      <c r="B195">
        <v>84.46</v>
      </c>
      <c r="C195">
        <f t="shared" ref="C195:C258" si="18">(B195-B194)/0.05</f>
        <v>-12.199999999999989</v>
      </c>
      <c r="H195">
        <v>195</v>
      </c>
      <c r="I195" s="4">
        <v>81.02</v>
      </c>
      <c r="J195">
        <f t="shared" ref="J195:J258" si="19">(I195-I194)/0.05</f>
        <v>-8.4000000000000341</v>
      </c>
      <c r="R195">
        <v>194</v>
      </c>
      <c r="S195" s="4">
        <v>104.34</v>
      </c>
      <c r="T195">
        <f t="shared" si="14"/>
        <v>-1.5999999999999659</v>
      </c>
      <c r="AC195">
        <v>194</v>
      </c>
      <c r="AD195">
        <v>86.31</v>
      </c>
      <c r="AE195">
        <f t="shared" si="15"/>
        <v>-10</v>
      </c>
      <c r="AN195">
        <v>194</v>
      </c>
      <c r="AO195">
        <v>111.99</v>
      </c>
      <c r="AP195">
        <f t="shared" si="16"/>
        <v>0</v>
      </c>
      <c r="AY195">
        <v>194</v>
      </c>
      <c r="AZ195">
        <v>168.56</v>
      </c>
      <c r="BA195">
        <f t="shared" si="17"/>
        <v>-3.1999999999999318</v>
      </c>
    </row>
    <row r="196" spans="1:53" x14ac:dyDescent="0.25">
      <c r="A196">
        <v>196</v>
      </c>
      <c r="B196">
        <v>83.91</v>
      </c>
      <c r="C196">
        <f t="shared" si="18"/>
        <v>-10.999999999999943</v>
      </c>
      <c r="H196">
        <v>196</v>
      </c>
      <c r="I196" s="4">
        <v>80.709999999999994</v>
      </c>
      <c r="J196">
        <f t="shared" si="19"/>
        <v>-6.2000000000000455</v>
      </c>
      <c r="R196">
        <v>195</v>
      </c>
      <c r="S196" s="4">
        <v>103.92</v>
      </c>
      <c r="T196">
        <f t="shared" ref="T196:T259" si="20">(S196-S195)/0.05</f>
        <v>-8.4000000000000341</v>
      </c>
      <c r="AC196">
        <v>195</v>
      </c>
      <c r="AD196">
        <v>85.69</v>
      </c>
      <c r="AE196">
        <f t="shared" ref="AE196:AE259" si="21">(AD196-AD195)/0.05</f>
        <v>-12.400000000000091</v>
      </c>
      <c r="AN196">
        <v>195</v>
      </c>
      <c r="AO196">
        <v>111.72</v>
      </c>
      <c r="AP196">
        <f t="shared" ref="AP196:AP259" si="22">(AO196-AO195)/0.05</f>
        <v>-5.3999999999999204</v>
      </c>
      <c r="AY196">
        <v>195</v>
      </c>
      <c r="AZ196">
        <v>168.33</v>
      </c>
      <c r="BA196">
        <f t="shared" ref="BA196:BA259" si="23">(AZ196-AZ195)/0.05</f>
        <v>-4.5999999999997954</v>
      </c>
    </row>
    <row r="197" spans="1:53" x14ac:dyDescent="0.25">
      <c r="A197">
        <v>197</v>
      </c>
      <c r="B197">
        <v>83.37</v>
      </c>
      <c r="C197">
        <f t="shared" si="18"/>
        <v>-10.799999999999841</v>
      </c>
      <c r="H197">
        <v>197</v>
      </c>
      <c r="I197" s="4">
        <v>80.400000000000006</v>
      </c>
      <c r="J197">
        <f t="shared" si="19"/>
        <v>-6.1999999999997613</v>
      </c>
      <c r="R197">
        <v>196</v>
      </c>
      <c r="S197" s="4">
        <v>102.95</v>
      </c>
      <c r="T197">
        <f t="shared" si="20"/>
        <v>-19.399999999999977</v>
      </c>
      <c r="AC197">
        <v>196</v>
      </c>
      <c r="AD197">
        <v>84.96</v>
      </c>
      <c r="AE197">
        <f t="shared" si="21"/>
        <v>-14.60000000000008</v>
      </c>
      <c r="AN197">
        <v>196</v>
      </c>
      <c r="AO197">
        <v>111.22</v>
      </c>
      <c r="AP197">
        <f t="shared" si="22"/>
        <v>-10</v>
      </c>
      <c r="AY197">
        <v>196</v>
      </c>
      <c r="AZ197" s="2">
        <v>168.29</v>
      </c>
      <c r="BA197">
        <f t="shared" si="23"/>
        <v>-0.80000000000040927</v>
      </c>
    </row>
    <row r="198" spans="1:53" x14ac:dyDescent="0.25">
      <c r="A198">
        <v>198</v>
      </c>
      <c r="B198">
        <v>82.64</v>
      </c>
      <c r="C198">
        <f t="shared" si="18"/>
        <v>-14.60000000000008</v>
      </c>
      <c r="H198">
        <v>198</v>
      </c>
      <c r="I198" s="5">
        <v>80.36</v>
      </c>
      <c r="J198">
        <f t="shared" si="19"/>
        <v>-0.80000000000012506</v>
      </c>
      <c r="R198">
        <v>197</v>
      </c>
      <c r="S198" s="4">
        <v>101.91</v>
      </c>
      <c r="T198">
        <f t="shared" si="20"/>
        <v>-20.800000000000125</v>
      </c>
      <c r="AC198">
        <v>197</v>
      </c>
      <c r="AD198">
        <v>84.38</v>
      </c>
      <c r="AE198">
        <f t="shared" si="21"/>
        <v>-11.599999999999966</v>
      </c>
      <c r="AN198">
        <v>197</v>
      </c>
      <c r="AO198">
        <v>110.6</v>
      </c>
      <c r="AP198">
        <f t="shared" si="22"/>
        <v>-12.400000000000091</v>
      </c>
      <c r="AY198">
        <v>197</v>
      </c>
      <c r="AZ198">
        <v>168.68</v>
      </c>
      <c r="BA198">
        <f t="shared" si="23"/>
        <v>7.8000000000002956</v>
      </c>
    </row>
    <row r="199" spans="1:53" x14ac:dyDescent="0.25">
      <c r="A199">
        <v>199</v>
      </c>
      <c r="B199">
        <v>82.06</v>
      </c>
      <c r="C199">
        <f t="shared" si="18"/>
        <v>-11.599999999999966</v>
      </c>
      <c r="H199">
        <v>199</v>
      </c>
      <c r="I199" s="5">
        <v>80.75</v>
      </c>
      <c r="J199">
        <f t="shared" si="19"/>
        <v>7.8000000000000114</v>
      </c>
      <c r="R199">
        <v>198</v>
      </c>
      <c r="S199" s="4">
        <v>101.14</v>
      </c>
      <c r="T199">
        <f t="shared" si="20"/>
        <v>-15.39999999999992</v>
      </c>
      <c r="AC199">
        <v>198</v>
      </c>
      <c r="AD199">
        <v>83.84</v>
      </c>
      <c r="AE199">
        <f t="shared" si="21"/>
        <v>-10.799999999999841</v>
      </c>
      <c r="AN199">
        <v>198</v>
      </c>
      <c r="AO199">
        <v>109.98</v>
      </c>
      <c r="AP199">
        <f t="shared" si="22"/>
        <v>-12.399999999999807</v>
      </c>
      <c r="AY199">
        <v>198</v>
      </c>
      <c r="AZ199" s="2">
        <v>169.14</v>
      </c>
      <c r="BA199">
        <f t="shared" si="23"/>
        <v>9.1999999999995907</v>
      </c>
    </row>
    <row r="200" spans="1:53" x14ac:dyDescent="0.25">
      <c r="A200">
        <v>200</v>
      </c>
      <c r="B200">
        <v>81.33</v>
      </c>
      <c r="C200">
        <f t="shared" si="18"/>
        <v>-14.60000000000008</v>
      </c>
      <c r="H200">
        <v>200</v>
      </c>
      <c r="I200" s="5">
        <v>81.02</v>
      </c>
      <c r="J200">
        <f t="shared" si="19"/>
        <v>5.3999999999999204</v>
      </c>
      <c r="R200">
        <v>199</v>
      </c>
      <c r="S200" s="4">
        <v>100.75</v>
      </c>
      <c r="T200">
        <f t="shared" si="20"/>
        <v>-7.8000000000000114</v>
      </c>
      <c r="AC200">
        <v>199</v>
      </c>
      <c r="AD200">
        <v>83.26</v>
      </c>
      <c r="AE200">
        <f t="shared" si="21"/>
        <v>-11.599999999999966</v>
      </c>
      <c r="AN200">
        <v>199</v>
      </c>
      <c r="AO200">
        <v>109.4</v>
      </c>
      <c r="AP200">
        <f t="shared" si="22"/>
        <v>-11.599999999999966</v>
      </c>
      <c r="AY200">
        <v>199</v>
      </c>
      <c r="AZ200">
        <v>169.14</v>
      </c>
      <c r="BA200">
        <f t="shared" si="23"/>
        <v>0</v>
      </c>
    </row>
    <row r="201" spans="1:53" x14ac:dyDescent="0.25">
      <c r="A201">
        <v>201</v>
      </c>
      <c r="B201">
        <v>80.709999999999994</v>
      </c>
      <c r="C201">
        <f t="shared" si="18"/>
        <v>-12.400000000000091</v>
      </c>
      <c r="H201">
        <v>201</v>
      </c>
      <c r="I201" s="5">
        <v>81.06</v>
      </c>
      <c r="J201">
        <f t="shared" si="19"/>
        <v>0.80000000000012506</v>
      </c>
      <c r="R201">
        <v>200</v>
      </c>
      <c r="S201" s="4">
        <v>100.29</v>
      </c>
      <c r="T201">
        <f t="shared" si="20"/>
        <v>-9.1999999999998749</v>
      </c>
      <c r="AC201">
        <v>200</v>
      </c>
      <c r="AD201">
        <v>82.91</v>
      </c>
      <c r="AE201">
        <f t="shared" si="21"/>
        <v>-7.0000000000001705</v>
      </c>
      <c r="AN201">
        <v>200</v>
      </c>
      <c r="AO201">
        <v>109.09</v>
      </c>
      <c r="AP201">
        <f t="shared" si="22"/>
        <v>-6.2000000000000455</v>
      </c>
      <c r="AY201">
        <v>200</v>
      </c>
      <c r="AZ201">
        <v>168.72</v>
      </c>
      <c r="BA201">
        <f t="shared" si="23"/>
        <v>-8.3999999999997499</v>
      </c>
    </row>
    <row r="202" spans="1:53" x14ac:dyDescent="0.25">
      <c r="A202">
        <v>202</v>
      </c>
      <c r="B202">
        <v>80.25</v>
      </c>
      <c r="C202">
        <f t="shared" si="18"/>
        <v>-9.1999999999998749</v>
      </c>
      <c r="H202">
        <v>202</v>
      </c>
      <c r="I202" s="4">
        <v>80.86</v>
      </c>
      <c r="J202">
        <f t="shared" si="19"/>
        <v>-4.0000000000000568</v>
      </c>
      <c r="R202">
        <v>201</v>
      </c>
      <c r="S202" s="4">
        <v>99.9</v>
      </c>
      <c r="T202">
        <f t="shared" si="20"/>
        <v>-7.8000000000000114</v>
      </c>
      <c r="AC202">
        <v>201</v>
      </c>
      <c r="AD202">
        <v>82.56</v>
      </c>
      <c r="AE202">
        <f t="shared" si="21"/>
        <v>-6.9999999999998863</v>
      </c>
      <c r="AN202">
        <v>201</v>
      </c>
      <c r="AO202">
        <v>108.82</v>
      </c>
      <c r="AP202">
        <f t="shared" si="22"/>
        <v>-5.4000000000002046</v>
      </c>
      <c r="AY202">
        <v>201</v>
      </c>
      <c r="AZ202">
        <v>168.22</v>
      </c>
      <c r="BA202">
        <f t="shared" si="23"/>
        <v>-10</v>
      </c>
    </row>
    <row r="203" spans="1:53" x14ac:dyDescent="0.25">
      <c r="A203">
        <v>203</v>
      </c>
      <c r="B203">
        <v>79.709999999999994</v>
      </c>
      <c r="C203">
        <f t="shared" si="18"/>
        <v>-10.800000000000125</v>
      </c>
      <c r="H203">
        <v>203</v>
      </c>
      <c r="I203" s="4">
        <v>80.52</v>
      </c>
      <c r="J203">
        <f t="shared" si="19"/>
        <v>-6.8000000000000682</v>
      </c>
      <c r="R203">
        <v>202</v>
      </c>
      <c r="S203" s="4">
        <v>99.59</v>
      </c>
      <c r="T203">
        <f t="shared" si="20"/>
        <v>-6.2000000000000455</v>
      </c>
      <c r="AC203">
        <v>202</v>
      </c>
      <c r="AD203">
        <v>82.22</v>
      </c>
      <c r="AE203">
        <f t="shared" si="21"/>
        <v>-6.8000000000000682</v>
      </c>
      <c r="AN203">
        <v>202</v>
      </c>
      <c r="AO203">
        <v>108.51</v>
      </c>
      <c r="AP203">
        <f t="shared" si="22"/>
        <v>-6.1999999999997613</v>
      </c>
      <c r="AY203">
        <v>202</v>
      </c>
      <c r="AZ203">
        <v>167.91</v>
      </c>
      <c r="BA203">
        <f t="shared" si="23"/>
        <v>-6.2000000000000455</v>
      </c>
    </row>
    <row r="204" spans="1:53" x14ac:dyDescent="0.25">
      <c r="A204">
        <v>204</v>
      </c>
      <c r="B204">
        <v>79.319999999999993</v>
      </c>
      <c r="C204">
        <f t="shared" si="18"/>
        <v>-7.8000000000000114</v>
      </c>
      <c r="H204">
        <v>204</v>
      </c>
      <c r="I204" s="4">
        <v>80.13</v>
      </c>
      <c r="J204">
        <f t="shared" si="19"/>
        <v>-7.8000000000000114</v>
      </c>
      <c r="R204">
        <v>203</v>
      </c>
      <c r="S204" s="4">
        <v>99.13</v>
      </c>
      <c r="T204">
        <f t="shared" si="20"/>
        <v>-9.2000000000001592</v>
      </c>
      <c r="AC204">
        <v>203</v>
      </c>
      <c r="AD204">
        <v>81.98</v>
      </c>
      <c r="AE204">
        <f t="shared" si="21"/>
        <v>-4.7999999999998977</v>
      </c>
      <c r="AN204">
        <v>203</v>
      </c>
      <c r="AO204">
        <v>108.24</v>
      </c>
      <c r="AP204">
        <f t="shared" si="22"/>
        <v>-5.4000000000002046</v>
      </c>
      <c r="AY204">
        <v>203</v>
      </c>
      <c r="AZ204">
        <v>167.33</v>
      </c>
      <c r="BA204">
        <f t="shared" si="23"/>
        <v>-11.599999999999682</v>
      </c>
    </row>
    <row r="205" spans="1:53" x14ac:dyDescent="0.25">
      <c r="A205">
        <v>205</v>
      </c>
      <c r="B205">
        <v>79.010000000000005</v>
      </c>
      <c r="C205">
        <f t="shared" si="18"/>
        <v>-6.1999999999997613</v>
      </c>
      <c r="H205">
        <v>205</v>
      </c>
      <c r="I205" s="4">
        <v>79.709999999999994</v>
      </c>
      <c r="J205">
        <f t="shared" si="19"/>
        <v>-8.4000000000000341</v>
      </c>
      <c r="R205">
        <v>204</v>
      </c>
      <c r="S205" s="4">
        <v>98.74</v>
      </c>
      <c r="T205">
        <f t="shared" si="20"/>
        <v>-7.8000000000000114</v>
      </c>
      <c r="AC205">
        <v>204</v>
      </c>
      <c r="AD205">
        <v>81.599999999999994</v>
      </c>
      <c r="AE205">
        <f t="shared" si="21"/>
        <v>-7.6000000000001933</v>
      </c>
      <c r="AN205">
        <v>204</v>
      </c>
      <c r="AO205">
        <v>108.82</v>
      </c>
      <c r="AP205">
        <f t="shared" si="22"/>
        <v>11.599999999999966</v>
      </c>
      <c r="AY205">
        <v>204</v>
      </c>
      <c r="AZ205">
        <v>167.13</v>
      </c>
      <c r="BA205">
        <f t="shared" si="23"/>
        <v>-4.0000000000003411</v>
      </c>
    </row>
    <row r="206" spans="1:53" x14ac:dyDescent="0.25">
      <c r="A206">
        <v>206</v>
      </c>
      <c r="B206">
        <v>78.62</v>
      </c>
      <c r="C206">
        <f t="shared" si="18"/>
        <v>-7.8000000000000114</v>
      </c>
      <c r="H206">
        <v>206</v>
      </c>
      <c r="I206" s="4">
        <v>79.28</v>
      </c>
      <c r="J206">
        <f t="shared" si="19"/>
        <v>-8.5999999999998522</v>
      </c>
      <c r="R206">
        <v>205</v>
      </c>
      <c r="S206" s="6">
        <v>98.43</v>
      </c>
      <c r="T206">
        <f t="shared" si="20"/>
        <v>-6.1999999999997613</v>
      </c>
      <c r="AC206">
        <v>205</v>
      </c>
      <c r="AD206">
        <v>81.290000000000006</v>
      </c>
      <c r="AE206">
        <f t="shared" si="21"/>
        <v>-6.1999999999997613</v>
      </c>
      <c r="AN206">
        <v>205</v>
      </c>
      <c r="AO206">
        <v>109.48</v>
      </c>
      <c r="AP206">
        <f t="shared" si="22"/>
        <v>13.200000000000216</v>
      </c>
      <c r="AY206">
        <v>205</v>
      </c>
      <c r="AZ206">
        <v>167.1</v>
      </c>
      <c r="BA206">
        <f t="shared" si="23"/>
        <v>-0.60000000000002274</v>
      </c>
    </row>
    <row r="207" spans="1:53" x14ac:dyDescent="0.25">
      <c r="A207">
        <v>207</v>
      </c>
      <c r="B207">
        <v>78.239999999999995</v>
      </c>
      <c r="C207">
        <f t="shared" si="18"/>
        <v>-7.6000000000001933</v>
      </c>
      <c r="H207">
        <v>207</v>
      </c>
      <c r="I207" s="4">
        <v>78.739999999999995</v>
      </c>
      <c r="J207">
        <f t="shared" si="19"/>
        <v>-10.800000000000125</v>
      </c>
      <c r="R207">
        <v>206</v>
      </c>
      <c r="S207" s="6">
        <v>99.48</v>
      </c>
      <c r="T207">
        <f t="shared" si="20"/>
        <v>20.999999999999943</v>
      </c>
      <c r="AC207">
        <v>206</v>
      </c>
      <c r="AD207">
        <v>80.94</v>
      </c>
      <c r="AE207">
        <f t="shared" si="21"/>
        <v>-7.0000000000001705</v>
      </c>
      <c r="AN207">
        <v>206</v>
      </c>
      <c r="AO207">
        <v>109.75</v>
      </c>
      <c r="AP207">
        <f t="shared" si="22"/>
        <v>5.3999999999999204</v>
      </c>
      <c r="AY207">
        <v>206</v>
      </c>
      <c r="AZ207">
        <v>166.94</v>
      </c>
      <c r="BA207">
        <f t="shared" si="23"/>
        <v>-3.1999999999999318</v>
      </c>
    </row>
    <row r="208" spans="1:53" x14ac:dyDescent="0.25">
      <c r="A208">
        <v>208</v>
      </c>
      <c r="B208">
        <v>77.97</v>
      </c>
      <c r="C208">
        <f t="shared" si="18"/>
        <v>-5.3999999999999204</v>
      </c>
      <c r="H208">
        <v>208</v>
      </c>
      <c r="I208" s="4">
        <v>78.349999999999994</v>
      </c>
      <c r="J208">
        <f t="shared" si="19"/>
        <v>-7.8000000000000114</v>
      </c>
      <c r="R208">
        <v>207</v>
      </c>
      <c r="S208" s="6">
        <v>100.44</v>
      </c>
      <c r="T208">
        <f t="shared" si="20"/>
        <v>19.199999999999875</v>
      </c>
      <c r="AC208">
        <v>207</v>
      </c>
      <c r="AD208">
        <v>80.63</v>
      </c>
      <c r="AE208">
        <f t="shared" si="21"/>
        <v>-6.2000000000000455</v>
      </c>
      <c r="AN208">
        <v>207</v>
      </c>
      <c r="AO208">
        <v>109.71</v>
      </c>
      <c r="AP208">
        <f t="shared" si="22"/>
        <v>-0.80000000000012506</v>
      </c>
      <c r="AY208">
        <v>207</v>
      </c>
      <c r="AZ208">
        <v>166.75</v>
      </c>
      <c r="BA208">
        <f t="shared" si="23"/>
        <v>-3.7999999999999545</v>
      </c>
    </row>
    <row r="209" spans="1:53" x14ac:dyDescent="0.25">
      <c r="A209">
        <v>209</v>
      </c>
      <c r="B209">
        <v>77.66</v>
      </c>
      <c r="C209">
        <f t="shared" si="18"/>
        <v>-6.2000000000000455</v>
      </c>
      <c r="H209">
        <v>209</v>
      </c>
      <c r="I209" s="4">
        <v>77.930000000000007</v>
      </c>
      <c r="J209">
        <f t="shared" si="19"/>
        <v>-8.3999999999997499</v>
      </c>
      <c r="R209">
        <v>208</v>
      </c>
      <c r="S209" s="4">
        <v>100.4</v>
      </c>
      <c r="T209">
        <f t="shared" si="20"/>
        <v>-0.79999999999984084</v>
      </c>
      <c r="AC209">
        <v>208</v>
      </c>
      <c r="AD209">
        <v>80.75</v>
      </c>
      <c r="AE209">
        <f t="shared" si="21"/>
        <v>2.4000000000000909</v>
      </c>
      <c r="AN209">
        <v>208</v>
      </c>
      <c r="AO209">
        <v>109.05</v>
      </c>
      <c r="AP209">
        <f t="shared" si="22"/>
        <v>-13.199999999999932</v>
      </c>
      <c r="AY209">
        <v>208</v>
      </c>
      <c r="AZ209">
        <v>166.63</v>
      </c>
      <c r="BA209">
        <f t="shared" si="23"/>
        <v>-2.4000000000000909</v>
      </c>
    </row>
    <row r="210" spans="1:53" x14ac:dyDescent="0.25">
      <c r="A210">
        <v>210</v>
      </c>
      <c r="B210">
        <v>78.47</v>
      </c>
      <c r="C210">
        <f t="shared" si="18"/>
        <v>16.200000000000045</v>
      </c>
      <c r="H210">
        <v>210</v>
      </c>
      <c r="I210" s="4">
        <v>77.5</v>
      </c>
      <c r="J210">
        <f t="shared" si="19"/>
        <v>-8.6000000000001364</v>
      </c>
      <c r="R210">
        <v>209</v>
      </c>
      <c r="S210" s="4">
        <v>100.06</v>
      </c>
      <c r="T210">
        <f t="shared" si="20"/>
        <v>-6.8000000000000682</v>
      </c>
      <c r="AC210">
        <v>209</v>
      </c>
      <c r="AD210">
        <v>81.98</v>
      </c>
      <c r="AE210">
        <f t="shared" si="21"/>
        <v>24.60000000000008</v>
      </c>
      <c r="AN210">
        <v>209</v>
      </c>
      <c r="AO210">
        <v>108.36</v>
      </c>
      <c r="AP210">
        <f t="shared" si="22"/>
        <v>-13.799999999999955</v>
      </c>
      <c r="AY210">
        <v>209</v>
      </c>
      <c r="AZ210">
        <v>166.36</v>
      </c>
      <c r="BA210">
        <f t="shared" si="23"/>
        <v>-5.3999999999996362</v>
      </c>
    </row>
    <row r="211" spans="1:53" x14ac:dyDescent="0.25">
      <c r="A211">
        <v>211</v>
      </c>
      <c r="B211">
        <v>80.05</v>
      </c>
      <c r="C211">
        <f t="shared" si="18"/>
        <v>31.599999999999966</v>
      </c>
      <c r="H211">
        <v>211</v>
      </c>
      <c r="I211" s="4">
        <v>77.2</v>
      </c>
      <c r="J211">
        <f t="shared" si="19"/>
        <v>-5.9999999999999432</v>
      </c>
      <c r="R211">
        <v>210</v>
      </c>
      <c r="S211" s="4">
        <v>99.21</v>
      </c>
      <c r="T211">
        <f t="shared" si="20"/>
        <v>-17.000000000000171</v>
      </c>
      <c r="AC211">
        <v>210</v>
      </c>
      <c r="AD211">
        <v>82.83</v>
      </c>
      <c r="AE211">
        <f t="shared" si="21"/>
        <v>16.999999999999886</v>
      </c>
      <c r="AN211">
        <v>210</v>
      </c>
      <c r="AO211">
        <v>107.7</v>
      </c>
      <c r="AP211">
        <f t="shared" si="22"/>
        <v>-13.199999999999932</v>
      </c>
      <c r="AY211">
        <v>210</v>
      </c>
      <c r="AZ211">
        <v>166.05</v>
      </c>
      <c r="BA211">
        <f t="shared" si="23"/>
        <v>-6.2000000000000455</v>
      </c>
    </row>
    <row r="212" spans="1:53" x14ac:dyDescent="0.25">
      <c r="A212">
        <v>212</v>
      </c>
      <c r="B212">
        <v>80.67</v>
      </c>
      <c r="C212">
        <f t="shared" si="18"/>
        <v>12.400000000000091</v>
      </c>
      <c r="H212">
        <v>212</v>
      </c>
      <c r="I212" s="5">
        <v>77.16</v>
      </c>
      <c r="J212">
        <f t="shared" si="19"/>
        <v>-0.80000000000012506</v>
      </c>
      <c r="R212">
        <v>211</v>
      </c>
      <c r="S212" s="4">
        <v>98.36</v>
      </c>
      <c r="T212">
        <f t="shared" si="20"/>
        <v>-16.999999999999886</v>
      </c>
      <c r="AC212">
        <v>211</v>
      </c>
      <c r="AD212">
        <v>82.72</v>
      </c>
      <c r="AE212">
        <f t="shared" si="21"/>
        <v>-2.1999999999999886</v>
      </c>
      <c r="AN212">
        <v>211</v>
      </c>
      <c r="AO212">
        <v>107.08</v>
      </c>
      <c r="AP212">
        <f t="shared" si="22"/>
        <v>-12.400000000000091</v>
      </c>
      <c r="AY212">
        <v>211</v>
      </c>
      <c r="AZ212">
        <v>165.94</v>
      </c>
      <c r="BA212">
        <f t="shared" si="23"/>
        <v>-2.2000000000002728</v>
      </c>
    </row>
    <row r="213" spans="1:53" x14ac:dyDescent="0.25">
      <c r="A213">
        <v>213</v>
      </c>
      <c r="B213">
        <v>80.59</v>
      </c>
      <c r="C213">
        <f t="shared" si="18"/>
        <v>-1.5999999999999659</v>
      </c>
      <c r="H213">
        <v>213</v>
      </c>
      <c r="I213" s="5">
        <v>77.7</v>
      </c>
      <c r="J213">
        <f t="shared" si="19"/>
        <v>10.800000000000125</v>
      </c>
      <c r="R213">
        <v>212</v>
      </c>
      <c r="S213" s="4">
        <v>97.47</v>
      </c>
      <c r="T213">
        <f t="shared" si="20"/>
        <v>-17.800000000000011</v>
      </c>
      <c r="AC213">
        <v>212</v>
      </c>
      <c r="AD213">
        <v>82.79</v>
      </c>
      <c r="AE213">
        <f t="shared" si="21"/>
        <v>1.4000000000001478</v>
      </c>
      <c r="AN213">
        <v>212</v>
      </c>
      <c r="AO213">
        <v>106.7</v>
      </c>
      <c r="AP213">
        <f t="shared" si="22"/>
        <v>-7.5999999999999091</v>
      </c>
      <c r="AY213">
        <v>212</v>
      </c>
      <c r="AZ213">
        <v>165.74</v>
      </c>
      <c r="BA213">
        <f t="shared" si="23"/>
        <v>-3.9999999999997726</v>
      </c>
    </row>
    <row r="214" spans="1:53" x14ac:dyDescent="0.25">
      <c r="A214">
        <v>214</v>
      </c>
      <c r="B214">
        <v>80.28</v>
      </c>
      <c r="C214">
        <f t="shared" si="18"/>
        <v>-6.2000000000000455</v>
      </c>
      <c r="H214">
        <v>214</v>
      </c>
      <c r="I214" s="5">
        <v>77.97</v>
      </c>
      <c r="J214">
        <f t="shared" si="19"/>
        <v>5.3999999999999204</v>
      </c>
      <c r="R214">
        <v>213</v>
      </c>
      <c r="S214" s="4">
        <v>96.77</v>
      </c>
      <c r="T214">
        <f t="shared" si="20"/>
        <v>-14.000000000000057</v>
      </c>
      <c r="AC214">
        <v>213</v>
      </c>
      <c r="AD214">
        <v>82.72</v>
      </c>
      <c r="AE214">
        <f t="shared" si="21"/>
        <v>-1.4000000000001478</v>
      </c>
      <c r="AN214">
        <v>213</v>
      </c>
      <c r="AO214">
        <v>106.47</v>
      </c>
      <c r="AP214">
        <f t="shared" si="22"/>
        <v>-4.6000000000000796</v>
      </c>
      <c r="AY214">
        <v>213</v>
      </c>
      <c r="AZ214">
        <v>165.51</v>
      </c>
      <c r="BA214">
        <f t="shared" si="23"/>
        <v>-4.6000000000003638</v>
      </c>
    </row>
    <row r="215" spans="1:53" x14ac:dyDescent="0.25">
      <c r="A215">
        <v>215</v>
      </c>
      <c r="B215">
        <v>79.63</v>
      </c>
      <c r="C215">
        <f t="shared" si="18"/>
        <v>-13.000000000000114</v>
      </c>
      <c r="H215">
        <v>215</v>
      </c>
      <c r="I215" s="4">
        <v>77.97</v>
      </c>
      <c r="J215">
        <f t="shared" si="19"/>
        <v>0</v>
      </c>
      <c r="R215">
        <v>214</v>
      </c>
      <c r="S215" s="4">
        <v>96.39</v>
      </c>
      <c r="T215">
        <f t="shared" si="20"/>
        <v>-7.5999999999999091</v>
      </c>
      <c r="AC215">
        <v>214</v>
      </c>
      <c r="AD215">
        <v>82.41</v>
      </c>
      <c r="AE215">
        <f t="shared" si="21"/>
        <v>-6.2000000000000455</v>
      </c>
      <c r="AN215">
        <v>214</v>
      </c>
      <c r="AO215">
        <v>106.2</v>
      </c>
      <c r="AP215">
        <f t="shared" si="22"/>
        <v>-5.3999999999999204</v>
      </c>
      <c r="AY215">
        <v>214</v>
      </c>
      <c r="AZ215">
        <v>165.36</v>
      </c>
      <c r="BA215">
        <f t="shared" si="23"/>
        <v>-2.9999999999995453</v>
      </c>
    </row>
    <row r="216" spans="1:53" x14ac:dyDescent="0.25">
      <c r="A216">
        <v>216</v>
      </c>
      <c r="B216">
        <v>79.09</v>
      </c>
      <c r="C216">
        <f t="shared" si="18"/>
        <v>-10.799999999999841</v>
      </c>
      <c r="H216">
        <v>216</v>
      </c>
      <c r="I216" s="4">
        <v>77.849999999999994</v>
      </c>
      <c r="J216">
        <f t="shared" si="19"/>
        <v>-2.4000000000000909</v>
      </c>
      <c r="R216">
        <v>215</v>
      </c>
      <c r="S216" s="4">
        <v>96</v>
      </c>
      <c r="T216">
        <f t="shared" si="20"/>
        <v>-7.8000000000000114</v>
      </c>
      <c r="AC216">
        <v>215</v>
      </c>
      <c r="AD216">
        <v>82.06</v>
      </c>
      <c r="AE216">
        <f t="shared" si="21"/>
        <v>-6.9999999999998863</v>
      </c>
      <c r="AN216">
        <v>215</v>
      </c>
      <c r="AO216">
        <v>105.81</v>
      </c>
      <c r="AP216">
        <f t="shared" si="22"/>
        <v>-7.8000000000000114</v>
      </c>
      <c r="AY216">
        <v>215</v>
      </c>
      <c r="AZ216">
        <v>165.24</v>
      </c>
      <c r="BA216">
        <f t="shared" si="23"/>
        <v>-2.4000000000000909</v>
      </c>
    </row>
    <row r="217" spans="1:53" x14ac:dyDescent="0.25">
      <c r="A217">
        <v>217</v>
      </c>
      <c r="B217">
        <v>78.66</v>
      </c>
      <c r="C217">
        <f t="shared" si="18"/>
        <v>-8.6000000000001364</v>
      </c>
      <c r="H217">
        <v>217</v>
      </c>
      <c r="I217" s="4">
        <v>77.5</v>
      </c>
      <c r="J217">
        <f t="shared" si="19"/>
        <v>-6.9999999999998863</v>
      </c>
      <c r="R217">
        <v>216</v>
      </c>
      <c r="S217" s="4">
        <v>95.65</v>
      </c>
      <c r="T217">
        <f t="shared" si="20"/>
        <v>-6.9999999999998863</v>
      </c>
      <c r="AC217">
        <v>216</v>
      </c>
      <c r="AD217">
        <v>81.64</v>
      </c>
      <c r="AE217">
        <f t="shared" si="21"/>
        <v>-8.4000000000000341</v>
      </c>
      <c r="AN217">
        <v>216</v>
      </c>
      <c r="AO217">
        <v>105.85</v>
      </c>
      <c r="AP217">
        <f t="shared" si="22"/>
        <v>0.79999999999984084</v>
      </c>
      <c r="AY217">
        <v>216</v>
      </c>
      <c r="AZ217" s="2">
        <v>165.05</v>
      </c>
      <c r="BA217">
        <f t="shared" si="23"/>
        <v>-3.7999999999999545</v>
      </c>
    </row>
    <row r="218" spans="1:53" x14ac:dyDescent="0.25">
      <c r="A218">
        <v>218</v>
      </c>
      <c r="B218">
        <v>78.239999999999995</v>
      </c>
      <c r="C218">
        <f t="shared" si="18"/>
        <v>-8.4000000000000341</v>
      </c>
      <c r="H218">
        <v>218</v>
      </c>
      <c r="I218" s="4">
        <v>77.08</v>
      </c>
      <c r="J218">
        <f t="shared" si="19"/>
        <v>-8.4000000000000341</v>
      </c>
      <c r="R218">
        <v>217</v>
      </c>
      <c r="S218" s="4">
        <v>95.42</v>
      </c>
      <c r="T218">
        <f t="shared" si="20"/>
        <v>-4.6000000000000796</v>
      </c>
      <c r="AC218">
        <v>217</v>
      </c>
      <c r="AD218">
        <v>81.02</v>
      </c>
      <c r="AE218">
        <f t="shared" si="21"/>
        <v>-12.400000000000091</v>
      </c>
      <c r="AN218">
        <v>217</v>
      </c>
      <c r="AO218">
        <v>106.93</v>
      </c>
      <c r="AP218">
        <f t="shared" si="22"/>
        <v>21.60000000000025</v>
      </c>
      <c r="AY218">
        <v>217</v>
      </c>
      <c r="AZ218">
        <v>165.24</v>
      </c>
      <c r="BA218">
        <f t="shared" si="23"/>
        <v>3.7999999999999545</v>
      </c>
    </row>
    <row r="219" spans="1:53" x14ac:dyDescent="0.25">
      <c r="A219">
        <v>219</v>
      </c>
      <c r="B219">
        <v>77.81</v>
      </c>
      <c r="C219">
        <f t="shared" si="18"/>
        <v>-8.5999999999998522</v>
      </c>
      <c r="H219">
        <v>219</v>
      </c>
      <c r="I219" s="4">
        <v>76.69</v>
      </c>
      <c r="J219">
        <f t="shared" si="19"/>
        <v>-7.8000000000000114</v>
      </c>
      <c r="R219">
        <v>218</v>
      </c>
      <c r="S219" s="4">
        <v>95.04</v>
      </c>
      <c r="T219">
        <f t="shared" si="20"/>
        <v>-7.5999999999999091</v>
      </c>
      <c r="AC219">
        <v>218</v>
      </c>
      <c r="AD219">
        <v>80.44</v>
      </c>
      <c r="AE219">
        <f t="shared" si="21"/>
        <v>-11.599999999999966</v>
      </c>
      <c r="AN219">
        <v>218</v>
      </c>
      <c r="AO219">
        <v>107.32</v>
      </c>
      <c r="AP219">
        <f t="shared" si="22"/>
        <v>7.7999999999997272</v>
      </c>
      <c r="AY219">
        <v>218</v>
      </c>
      <c r="AZ219">
        <v>165.74</v>
      </c>
      <c r="BA219">
        <f t="shared" si="23"/>
        <v>10</v>
      </c>
    </row>
    <row r="220" spans="1:53" x14ac:dyDescent="0.25">
      <c r="A220">
        <v>220</v>
      </c>
      <c r="B220">
        <v>77.27</v>
      </c>
      <c r="C220">
        <f t="shared" si="18"/>
        <v>-10.800000000000125</v>
      </c>
      <c r="H220">
        <v>220</v>
      </c>
      <c r="I220" s="4">
        <v>76.42</v>
      </c>
      <c r="J220">
        <f t="shared" si="19"/>
        <v>-5.3999999999999204</v>
      </c>
      <c r="R220">
        <v>219</v>
      </c>
      <c r="S220" s="6">
        <v>94.61</v>
      </c>
      <c r="T220">
        <f t="shared" si="20"/>
        <v>-8.6000000000001364</v>
      </c>
      <c r="AC220">
        <v>219</v>
      </c>
      <c r="AD220">
        <v>79.709999999999994</v>
      </c>
      <c r="AE220">
        <f t="shared" si="21"/>
        <v>-14.60000000000008</v>
      </c>
      <c r="AN220">
        <v>219</v>
      </c>
      <c r="AO220">
        <v>107.47</v>
      </c>
      <c r="AP220">
        <f t="shared" si="22"/>
        <v>3.0000000000001137</v>
      </c>
      <c r="AY220">
        <v>219</v>
      </c>
      <c r="AZ220" s="2">
        <v>166.01</v>
      </c>
      <c r="BA220">
        <f t="shared" si="23"/>
        <v>5.3999999999996362</v>
      </c>
    </row>
    <row r="221" spans="1:53" x14ac:dyDescent="0.25">
      <c r="A221">
        <v>221</v>
      </c>
      <c r="B221">
        <v>76.73</v>
      </c>
      <c r="C221">
        <f t="shared" si="18"/>
        <v>-10.799999999999841</v>
      </c>
      <c r="H221">
        <v>221</v>
      </c>
      <c r="I221" s="4">
        <v>76.040000000000006</v>
      </c>
      <c r="J221">
        <f t="shared" si="19"/>
        <v>-7.5999999999999091</v>
      </c>
      <c r="R221">
        <v>220</v>
      </c>
      <c r="S221" s="6">
        <v>95.5</v>
      </c>
      <c r="T221">
        <f t="shared" si="20"/>
        <v>17.800000000000011</v>
      </c>
      <c r="AC221">
        <v>220</v>
      </c>
      <c r="AD221">
        <v>79.13</v>
      </c>
      <c r="AE221">
        <f t="shared" si="21"/>
        <v>-11.599999999999966</v>
      </c>
      <c r="AN221">
        <v>220</v>
      </c>
      <c r="AO221">
        <v>106.93</v>
      </c>
      <c r="AP221">
        <f t="shared" si="22"/>
        <v>-10.799999999999841</v>
      </c>
      <c r="AY221">
        <v>220</v>
      </c>
      <c r="AZ221">
        <v>165.82</v>
      </c>
      <c r="BA221">
        <f t="shared" si="23"/>
        <v>-3.7999999999999545</v>
      </c>
    </row>
    <row r="222" spans="1:53" x14ac:dyDescent="0.25">
      <c r="A222">
        <v>222</v>
      </c>
      <c r="B222">
        <v>76.23</v>
      </c>
      <c r="C222">
        <f t="shared" si="18"/>
        <v>-10</v>
      </c>
      <c r="H222">
        <v>222</v>
      </c>
      <c r="I222" s="4">
        <v>75.69</v>
      </c>
      <c r="J222">
        <f t="shared" si="19"/>
        <v>-7.0000000000001705</v>
      </c>
      <c r="R222">
        <v>221</v>
      </c>
      <c r="S222" s="6">
        <v>96.54</v>
      </c>
      <c r="T222">
        <f t="shared" si="20"/>
        <v>20.800000000000125</v>
      </c>
      <c r="AC222">
        <v>221</v>
      </c>
      <c r="AD222">
        <v>78.55</v>
      </c>
      <c r="AE222">
        <f t="shared" si="21"/>
        <v>-11.599999999999966</v>
      </c>
      <c r="AN222">
        <v>221</v>
      </c>
      <c r="AO222">
        <v>106.31</v>
      </c>
      <c r="AP222">
        <f t="shared" si="22"/>
        <v>-12.400000000000091</v>
      </c>
      <c r="AY222">
        <v>221</v>
      </c>
      <c r="AZ222">
        <v>165.36</v>
      </c>
      <c r="BA222">
        <f t="shared" si="23"/>
        <v>-9.1999999999995907</v>
      </c>
    </row>
    <row r="223" spans="1:53" x14ac:dyDescent="0.25">
      <c r="A223">
        <v>223</v>
      </c>
      <c r="B223">
        <v>75.69</v>
      </c>
      <c r="C223">
        <f t="shared" si="18"/>
        <v>-10.800000000000125</v>
      </c>
      <c r="H223">
        <v>223</v>
      </c>
      <c r="I223" s="4">
        <v>75.34</v>
      </c>
      <c r="J223">
        <f t="shared" si="19"/>
        <v>-6.9999999999998863</v>
      </c>
      <c r="R223">
        <v>222</v>
      </c>
      <c r="S223" s="4">
        <v>96.47</v>
      </c>
      <c r="T223">
        <f t="shared" si="20"/>
        <v>-1.4000000000001478</v>
      </c>
      <c r="AC223">
        <v>222</v>
      </c>
      <c r="AD223">
        <v>78.010000000000005</v>
      </c>
      <c r="AE223">
        <f t="shared" si="21"/>
        <v>-10.799999999999841</v>
      </c>
      <c r="AN223">
        <v>222</v>
      </c>
      <c r="AO223">
        <v>105.58</v>
      </c>
      <c r="AP223">
        <f t="shared" si="22"/>
        <v>-14.60000000000008</v>
      </c>
      <c r="AY223">
        <v>222</v>
      </c>
      <c r="AZ223">
        <v>164.78</v>
      </c>
      <c r="BA223">
        <f t="shared" si="23"/>
        <v>-11.60000000000025</v>
      </c>
    </row>
    <row r="224" spans="1:53" x14ac:dyDescent="0.25">
      <c r="A224">
        <v>224</v>
      </c>
      <c r="B224">
        <v>75.23</v>
      </c>
      <c r="C224">
        <f t="shared" si="18"/>
        <v>-9.1999999999998749</v>
      </c>
      <c r="H224">
        <v>224</v>
      </c>
      <c r="I224" s="4">
        <v>74.959999999999994</v>
      </c>
      <c r="J224">
        <f t="shared" si="19"/>
        <v>-7.6000000000001933</v>
      </c>
      <c r="R224">
        <v>223</v>
      </c>
      <c r="S224" s="4">
        <v>96.08</v>
      </c>
      <c r="T224">
        <f t="shared" si="20"/>
        <v>-7.8000000000000114</v>
      </c>
      <c r="AC224">
        <v>223</v>
      </c>
      <c r="AD224">
        <v>77.58</v>
      </c>
      <c r="AE224">
        <f t="shared" si="21"/>
        <v>-8.6000000000001364</v>
      </c>
      <c r="AN224">
        <v>223</v>
      </c>
      <c r="AO224">
        <v>105</v>
      </c>
      <c r="AP224">
        <f t="shared" si="22"/>
        <v>-11.599999999999966</v>
      </c>
      <c r="AY224">
        <v>223</v>
      </c>
      <c r="AZ224">
        <v>164.35</v>
      </c>
      <c r="BA224">
        <f t="shared" si="23"/>
        <v>-8.6000000000001364</v>
      </c>
    </row>
    <row r="225" spans="1:53" x14ac:dyDescent="0.25">
      <c r="A225">
        <v>225</v>
      </c>
      <c r="B225">
        <v>74.72</v>
      </c>
      <c r="C225">
        <f t="shared" si="18"/>
        <v>-10.200000000000102</v>
      </c>
      <c r="H225">
        <v>225</v>
      </c>
      <c r="I225" s="4">
        <v>74.53</v>
      </c>
      <c r="J225">
        <f t="shared" si="19"/>
        <v>-8.5999999999998522</v>
      </c>
      <c r="R225">
        <v>224</v>
      </c>
      <c r="S225" s="4">
        <v>95.31</v>
      </c>
      <c r="T225">
        <f t="shared" si="20"/>
        <v>-15.39999999999992</v>
      </c>
      <c r="AC225">
        <v>224</v>
      </c>
      <c r="AD225">
        <v>77.16</v>
      </c>
      <c r="AE225">
        <f t="shared" si="21"/>
        <v>-8.4000000000000341</v>
      </c>
      <c r="AN225">
        <v>224</v>
      </c>
      <c r="AO225">
        <v>104.34</v>
      </c>
      <c r="AP225">
        <f t="shared" si="22"/>
        <v>-13.199999999999932</v>
      </c>
      <c r="AY225">
        <v>224</v>
      </c>
      <c r="AZ225">
        <v>164.01</v>
      </c>
      <c r="BA225">
        <f t="shared" si="23"/>
        <v>-6.8000000000000682</v>
      </c>
    </row>
    <row r="226" spans="1:53" x14ac:dyDescent="0.25">
      <c r="A226">
        <v>226</v>
      </c>
      <c r="B226">
        <v>74.260000000000005</v>
      </c>
      <c r="C226">
        <f t="shared" si="18"/>
        <v>-9.1999999999998749</v>
      </c>
      <c r="H226">
        <v>226</v>
      </c>
      <c r="I226" s="5">
        <v>74.260000000000005</v>
      </c>
      <c r="J226">
        <f t="shared" si="19"/>
        <v>-5.3999999999999204</v>
      </c>
      <c r="R226">
        <v>225</v>
      </c>
      <c r="S226" s="4">
        <v>94.5</v>
      </c>
      <c r="T226">
        <f t="shared" si="20"/>
        <v>-16.200000000000045</v>
      </c>
      <c r="AC226">
        <v>225</v>
      </c>
      <c r="AD226">
        <v>76.69</v>
      </c>
      <c r="AE226">
        <f t="shared" si="21"/>
        <v>-9.3999999999999773</v>
      </c>
      <c r="AN226">
        <v>225</v>
      </c>
      <c r="AO226">
        <v>103.96</v>
      </c>
      <c r="AP226">
        <f t="shared" si="22"/>
        <v>-7.6000000000001933</v>
      </c>
      <c r="AY226">
        <v>225</v>
      </c>
      <c r="AZ226">
        <v>163.81</v>
      </c>
      <c r="BA226">
        <f t="shared" si="23"/>
        <v>-3.9999999999997726</v>
      </c>
    </row>
    <row r="227" spans="1:53" x14ac:dyDescent="0.25">
      <c r="A227">
        <v>227</v>
      </c>
      <c r="B227">
        <v>73.91</v>
      </c>
      <c r="C227">
        <f t="shared" si="18"/>
        <v>-7.0000000000001705</v>
      </c>
      <c r="H227">
        <v>227</v>
      </c>
      <c r="I227" s="5">
        <v>74.569999999999993</v>
      </c>
      <c r="J227">
        <f t="shared" si="19"/>
        <v>6.1999999999997613</v>
      </c>
      <c r="R227">
        <v>226</v>
      </c>
      <c r="S227" s="4">
        <v>93.68</v>
      </c>
      <c r="T227">
        <f t="shared" si="20"/>
        <v>-16.399999999999864</v>
      </c>
      <c r="AC227">
        <v>226</v>
      </c>
      <c r="AD227">
        <v>76.38</v>
      </c>
      <c r="AE227">
        <f t="shared" si="21"/>
        <v>-6.2000000000000455</v>
      </c>
      <c r="AN227">
        <v>226</v>
      </c>
      <c r="AO227">
        <v>103.61</v>
      </c>
      <c r="AP227">
        <f t="shared" si="22"/>
        <v>-6.9999999999998863</v>
      </c>
      <c r="AY227">
        <v>226</v>
      </c>
      <c r="AZ227">
        <v>163.69999999999999</v>
      </c>
      <c r="BA227">
        <f t="shared" si="23"/>
        <v>-2.2000000000002728</v>
      </c>
    </row>
    <row r="228" spans="1:53" x14ac:dyDescent="0.25">
      <c r="A228">
        <v>228</v>
      </c>
      <c r="B228">
        <v>73.53</v>
      </c>
      <c r="C228">
        <f t="shared" si="18"/>
        <v>-7.5999999999999091</v>
      </c>
      <c r="H228">
        <v>228</v>
      </c>
      <c r="I228" s="5">
        <v>75.03</v>
      </c>
      <c r="J228">
        <f t="shared" si="19"/>
        <v>9.2000000000001592</v>
      </c>
      <c r="R228">
        <v>227</v>
      </c>
      <c r="S228" s="4">
        <v>92.95</v>
      </c>
      <c r="T228">
        <f t="shared" si="20"/>
        <v>-14.60000000000008</v>
      </c>
      <c r="AC228">
        <v>227</v>
      </c>
      <c r="AD228">
        <v>76.040000000000006</v>
      </c>
      <c r="AE228">
        <f t="shared" si="21"/>
        <v>-6.799999999999784</v>
      </c>
      <c r="AN228">
        <v>227</v>
      </c>
      <c r="AO228">
        <v>103.38</v>
      </c>
      <c r="AP228">
        <f t="shared" si="22"/>
        <v>-4.6000000000000796</v>
      </c>
      <c r="AY228">
        <v>227</v>
      </c>
      <c r="AZ228">
        <v>163.43</v>
      </c>
      <c r="BA228">
        <f t="shared" si="23"/>
        <v>-5.3999999999996362</v>
      </c>
    </row>
    <row r="229" spans="1:53" x14ac:dyDescent="0.25">
      <c r="A229">
        <v>229</v>
      </c>
      <c r="B229">
        <v>73.06</v>
      </c>
      <c r="C229">
        <f t="shared" si="18"/>
        <v>-9.3999999999999773</v>
      </c>
      <c r="H229">
        <v>229</v>
      </c>
      <c r="I229" s="5">
        <v>75.069999999999993</v>
      </c>
      <c r="J229">
        <f t="shared" si="19"/>
        <v>0.79999999999984084</v>
      </c>
      <c r="R229">
        <v>228</v>
      </c>
      <c r="S229" s="4">
        <v>92.49</v>
      </c>
      <c r="T229">
        <f t="shared" si="20"/>
        <v>-9.2000000000001592</v>
      </c>
      <c r="AC229">
        <v>228</v>
      </c>
      <c r="AD229">
        <v>76.5</v>
      </c>
      <c r="AE229">
        <f t="shared" si="21"/>
        <v>9.1999999999998749</v>
      </c>
      <c r="AN229">
        <v>228</v>
      </c>
      <c r="AO229">
        <v>103.11</v>
      </c>
      <c r="AP229">
        <f t="shared" si="22"/>
        <v>-5.3999999999999204</v>
      </c>
      <c r="AY229">
        <v>228</v>
      </c>
      <c r="AZ229">
        <v>163.27000000000001</v>
      </c>
      <c r="BA229">
        <f t="shared" si="23"/>
        <v>-3.1999999999999318</v>
      </c>
    </row>
    <row r="230" spans="1:53" x14ac:dyDescent="0.25">
      <c r="A230">
        <v>230</v>
      </c>
      <c r="B230">
        <v>72.91</v>
      </c>
      <c r="C230">
        <f t="shared" si="18"/>
        <v>-3.0000000000001137</v>
      </c>
      <c r="H230">
        <v>230</v>
      </c>
      <c r="I230" s="4">
        <v>74.989999999999995</v>
      </c>
      <c r="J230">
        <f t="shared" si="19"/>
        <v>-1.5999999999999659</v>
      </c>
      <c r="R230">
        <v>229</v>
      </c>
      <c r="S230" s="4">
        <v>92.18</v>
      </c>
      <c r="T230">
        <f t="shared" si="20"/>
        <v>-6.1999999999997613</v>
      </c>
      <c r="AC230">
        <v>229</v>
      </c>
      <c r="AD230">
        <v>77.849999999999994</v>
      </c>
      <c r="AE230">
        <f t="shared" si="21"/>
        <v>26.999999999999886</v>
      </c>
      <c r="AN230">
        <v>229</v>
      </c>
      <c r="AO230">
        <v>103.53</v>
      </c>
      <c r="AP230">
        <f t="shared" si="22"/>
        <v>8.4000000000000341</v>
      </c>
      <c r="AY230">
        <v>229</v>
      </c>
      <c r="AZ230">
        <v>163.04</v>
      </c>
      <c r="BA230">
        <f t="shared" si="23"/>
        <v>-4.6000000000003638</v>
      </c>
    </row>
    <row r="231" spans="1:53" x14ac:dyDescent="0.25">
      <c r="A231">
        <v>231</v>
      </c>
      <c r="B231">
        <v>74.34</v>
      </c>
      <c r="C231">
        <f t="shared" si="18"/>
        <v>28.600000000000136</v>
      </c>
      <c r="H231">
        <v>231</v>
      </c>
      <c r="I231" s="4">
        <v>74.650000000000006</v>
      </c>
      <c r="J231">
        <f t="shared" si="19"/>
        <v>-6.799999999999784</v>
      </c>
      <c r="R231">
        <v>230</v>
      </c>
      <c r="S231" s="4">
        <v>91.79</v>
      </c>
      <c r="T231">
        <f t="shared" si="20"/>
        <v>-7.8000000000000114</v>
      </c>
      <c r="AC231">
        <v>230</v>
      </c>
      <c r="AD231">
        <v>78.430000000000007</v>
      </c>
      <c r="AE231">
        <f t="shared" si="21"/>
        <v>11.60000000000025</v>
      </c>
      <c r="AN231">
        <v>230</v>
      </c>
      <c r="AO231">
        <v>104.5</v>
      </c>
      <c r="AP231">
        <f t="shared" si="22"/>
        <v>19.399999999999977</v>
      </c>
      <c r="AY231">
        <v>230</v>
      </c>
      <c r="AZ231">
        <v>162.77000000000001</v>
      </c>
      <c r="BA231">
        <f t="shared" si="23"/>
        <v>-5.3999999999996362</v>
      </c>
    </row>
    <row r="232" spans="1:53" x14ac:dyDescent="0.25">
      <c r="A232">
        <v>232</v>
      </c>
      <c r="B232">
        <v>75.650000000000006</v>
      </c>
      <c r="C232">
        <f t="shared" si="18"/>
        <v>26.200000000000045</v>
      </c>
      <c r="H232">
        <v>232</v>
      </c>
      <c r="I232" s="4">
        <v>74.34</v>
      </c>
      <c r="J232">
        <f t="shared" si="19"/>
        <v>-6.2000000000000455</v>
      </c>
      <c r="R232">
        <v>231</v>
      </c>
      <c r="S232" s="4">
        <v>91.48</v>
      </c>
      <c r="T232">
        <f t="shared" si="20"/>
        <v>-6.2000000000000455</v>
      </c>
      <c r="AC232">
        <v>231</v>
      </c>
      <c r="AD232">
        <v>78.7</v>
      </c>
      <c r="AE232">
        <f t="shared" si="21"/>
        <v>5.3999999999999204</v>
      </c>
      <c r="AN232">
        <v>231</v>
      </c>
      <c r="AO232">
        <v>105</v>
      </c>
      <c r="AP232">
        <f t="shared" si="22"/>
        <v>10</v>
      </c>
      <c r="AY232">
        <v>231</v>
      </c>
      <c r="AZ232">
        <v>162.58000000000001</v>
      </c>
      <c r="BA232">
        <f t="shared" si="23"/>
        <v>-3.7999999999999545</v>
      </c>
    </row>
    <row r="233" spans="1:53" x14ac:dyDescent="0.25">
      <c r="A233">
        <v>233</v>
      </c>
      <c r="B233">
        <v>75.53</v>
      </c>
      <c r="C233">
        <f t="shared" si="18"/>
        <v>-2.4000000000000909</v>
      </c>
      <c r="H233">
        <v>233</v>
      </c>
      <c r="I233" s="4">
        <v>74.03</v>
      </c>
      <c r="J233">
        <f t="shared" si="19"/>
        <v>-6.2000000000000455</v>
      </c>
      <c r="R233">
        <v>232</v>
      </c>
      <c r="S233" s="4">
        <v>91.1</v>
      </c>
      <c r="T233">
        <f t="shared" si="20"/>
        <v>-7.6000000000001933</v>
      </c>
      <c r="AC233">
        <v>232</v>
      </c>
      <c r="AD233">
        <v>78.62</v>
      </c>
      <c r="AE233">
        <f t="shared" si="21"/>
        <v>-1.5999999999999659</v>
      </c>
      <c r="AN233">
        <v>232</v>
      </c>
      <c r="AO233">
        <v>104.88</v>
      </c>
      <c r="AP233">
        <f t="shared" si="22"/>
        <v>-2.4000000000000909</v>
      </c>
      <c r="AY233">
        <v>232</v>
      </c>
      <c r="AZ233">
        <v>162.41999999999999</v>
      </c>
      <c r="BA233">
        <f t="shared" si="23"/>
        <v>-3.2000000000005002</v>
      </c>
    </row>
    <row r="234" spans="1:53" x14ac:dyDescent="0.25">
      <c r="A234">
        <v>234</v>
      </c>
      <c r="B234">
        <v>75.34</v>
      </c>
      <c r="C234">
        <f t="shared" si="18"/>
        <v>-3.7999999999999545</v>
      </c>
      <c r="H234">
        <v>234</v>
      </c>
      <c r="I234" s="4">
        <v>73.760000000000005</v>
      </c>
      <c r="J234">
        <f t="shared" si="19"/>
        <v>-5.3999999999999204</v>
      </c>
      <c r="R234">
        <v>233</v>
      </c>
      <c r="S234" s="6">
        <v>90.87</v>
      </c>
      <c r="T234">
        <f t="shared" si="20"/>
        <v>-4.5999999999997954</v>
      </c>
      <c r="AC234">
        <v>233</v>
      </c>
      <c r="AD234">
        <v>78.010000000000005</v>
      </c>
      <c r="AE234">
        <f t="shared" si="21"/>
        <v>-12.199999999999989</v>
      </c>
      <c r="AN234">
        <v>233</v>
      </c>
      <c r="AO234">
        <v>104.19</v>
      </c>
      <c r="AP234">
        <f t="shared" si="22"/>
        <v>-13.799999999999955</v>
      </c>
      <c r="AY234">
        <v>233</v>
      </c>
      <c r="AZ234">
        <v>162.15</v>
      </c>
      <c r="BA234">
        <f t="shared" si="23"/>
        <v>-5.3999999999996362</v>
      </c>
    </row>
    <row r="235" spans="1:53" x14ac:dyDescent="0.25">
      <c r="A235">
        <v>235</v>
      </c>
      <c r="B235">
        <v>74.92</v>
      </c>
      <c r="C235">
        <f t="shared" si="18"/>
        <v>-8.4000000000000341</v>
      </c>
      <c r="H235">
        <v>235</v>
      </c>
      <c r="I235" s="4">
        <v>73.37</v>
      </c>
      <c r="J235">
        <f t="shared" si="19"/>
        <v>-7.8000000000000114</v>
      </c>
      <c r="R235">
        <v>234</v>
      </c>
      <c r="S235" s="6">
        <v>92.18</v>
      </c>
      <c r="T235">
        <f t="shared" si="20"/>
        <v>26.200000000000045</v>
      </c>
      <c r="AC235">
        <v>234</v>
      </c>
      <c r="AD235">
        <v>77.66</v>
      </c>
      <c r="AE235">
        <f t="shared" si="21"/>
        <v>-7.0000000000001705</v>
      </c>
      <c r="AN235">
        <v>234</v>
      </c>
      <c r="AO235">
        <v>103.49</v>
      </c>
      <c r="AP235">
        <f t="shared" si="22"/>
        <v>-14.000000000000057</v>
      </c>
      <c r="AY235">
        <v>234</v>
      </c>
      <c r="AZ235">
        <v>162.04</v>
      </c>
      <c r="BA235">
        <f t="shared" si="23"/>
        <v>-2.2000000000002728</v>
      </c>
    </row>
    <row r="236" spans="1:53" x14ac:dyDescent="0.25">
      <c r="A236">
        <v>236</v>
      </c>
      <c r="B236">
        <v>74.34</v>
      </c>
      <c r="C236">
        <f t="shared" si="18"/>
        <v>-11.599999999999966</v>
      </c>
      <c r="H236">
        <v>236</v>
      </c>
      <c r="I236" s="4">
        <v>73.099999999999994</v>
      </c>
      <c r="J236">
        <f t="shared" si="19"/>
        <v>-5.4000000000002046</v>
      </c>
      <c r="R236">
        <v>235</v>
      </c>
      <c r="S236" s="6">
        <v>92.84</v>
      </c>
      <c r="T236">
        <f t="shared" si="20"/>
        <v>13.199999999999932</v>
      </c>
      <c r="AC236">
        <v>235</v>
      </c>
      <c r="AD236">
        <v>77.23</v>
      </c>
      <c r="AE236">
        <f t="shared" si="21"/>
        <v>-8.5999999999998522</v>
      </c>
      <c r="AN236">
        <v>235</v>
      </c>
      <c r="AO236">
        <v>102.95</v>
      </c>
      <c r="AP236">
        <f t="shared" si="22"/>
        <v>-10.799999999999841</v>
      </c>
      <c r="AY236">
        <v>235</v>
      </c>
      <c r="AZ236">
        <v>161.77000000000001</v>
      </c>
      <c r="BA236">
        <f t="shared" si="23"/>
        <v>-5.3999999999996362</v>
      </c>
    </row>
    <row r="237" spans="1:53" x14ac:dyDescent="0.25">
      <c r="A237">
        <v>237</v>
      </c>
      <c r="B237">
        <v>73.91</v>
      </c>
      <c r="C237">
        <f t="shared" si="18"/>
        <v>-8.6000000000001364</v>
      </c>
      <c r="H237">
        <v>237</v>
      </c>
      <c r="I237" s="4">
        <v>72.72</v>
      </c>
      <c r="J237">
        <f t="shared" si="19"/>
        <v>-7.5999999999999091</v>
      </c>
      <c r="R237">
        <v>236</v>
      </c>
      <c r="S237" s="4">
        <v>92.8</v>
      </c>
      <c r="T237">
        <f t="shared" si="20"/>
        <v>-0.80000000000012506</v>
      </c>
      <c r="AC237">
        <v>236</v>
      </c>
      <c r="AD237">
        <v>76.69</v>
      </c>
      <c r="AE237">
        <f t="shared" si="21"/>
        <v>-10.800000000000125</v>
      </c>
      <c r="AN237">
        <v>236</v>
      </c>
      <c r="AO237">
        <v>102.37</v>
      </c>
      <c r="AP237">
        <f t="shared" si="22"/>
        <v>-11.599999999999966</v>
      </c>
      <c r="AY237">
        <v>236</v>
      </c>
      <c r="AZ237" s="2">
        <v>161.69</v>
      </c>
      <c r="BA237">
        <f t="shared" si="23"/>
        <v>-1.6000000000002501</v>
      </c>
    </row>
    <row r="238" spans="1:53" x14ac:dyDescent="0.25">
      <c r="A238">
        <v>238</v>
      </c>
      <c r="B238">
        <v>73.64</v>
      </c>
      <c r="C238">
        <f t="shared" si="18"/>
        <v>-5.3999999999999204</v>
      </c>
      <c r="H238">
        <v>238</v>
      </c>
      <c r="I238" s="4">
        <v>72.37</v>
      </c>
      <c r="J238">
        <f t="shared" si="19"/>
        <v>-6.9999999999998863</v>
      </c>
      <c r="R238">
        <v>237</v>
      </c>
      <c r="S238" s="4">
        <v>92.45</v>
      </c>
      <c r="T238">
        <f t="shared" si="20"/>
        <v>-6.9999999999998863</v>
      </c>
      <c r="AC238">
        <v>237</v>
      </c>
      <c r="AD238">
        <v>76.19</v>
      </c>
      <c r="AE238">
        <f t="shared" si="21"/>
        <v>-10</v>
      </c>
      <c r="AN238">
        <v>237</v>
      </c>
      <c r="AO238">
        <v>101.79</v>
      </c>
      <c r="AP238">
        <f t="shared" si="22"/>
        <v>-11.599999999999966</v>
      </c>
      <c r="AY238">
        <v>237</v>
      </c>
      <c r="AZ238">
        <v>161.77000000000001</v>
      </c>
      <c r="BA238">
        <f t="shared" si="23"/>
        <v>1.6000000000002501</v>
      </c>
    </row>
    <row r="239" spans="1:53" x14ac:dyDescent="0.25">
      <c r="A239">
        <v>239</v>
      </c>
      <c r="B239">
        <v>73.260000000000005</v>
      </c>
      <c r="C239">
        <f t="shared" si="18"/>
        <v>-7.5999999999999091</v>
      </c>
      <c r="H239">
        <v>239</v>
      </c>
      <c r="I239" s="4">
        <v>72.099999999999994</v>
      </c>
      <c r="J239">
        <f t="shared" si="19"/>
        <v>-5.4000000000002046</v>
      </c>
      <c r="R239">
        <v>238</v>
      </c>
      <c r="S239" s="4">
        <v>91.72</v>
      </c>
      <c r="T239">
        <f t="shared" si="20"/>
        <v>-14.60000000000008</v>
      </c>
      <c r="AC239">
        <v>238</v>
      </c>
      <c r="AD239">
        <v>75.69</v>
      </c>
      <c r="AE239">
        <f t="shared" si="21"/>
        <v>-10</v>
      </c>
      <c r="AN239">
        <v>238</v>
      </c>
      <c r="AO239">
        <v>101.29</v>
      </c>
      <c r="AP239">
        <f t="shared" si="22"/>
        <v>-10</v>
      </c>
      <c r="AY239">
        <v>238</v>
      </c>
      <c r="AZ239">
        <v>162.31</v>
      </c>
      <c r="BA239">
        <f t="shared" si="23"/>
        <v>10.799999999999841</v>
      </c>
    </row>
    <row r="240" spans="1:53" x14ac:dyDescent="0.25">
      <c r="A240">
        <v>240</v>
      </c>
      <c r="B240">
        <v>72.87</v>
      </c>
      <c r="C240">
        <f t="shared" si="18"/>
        <v>-7.8000000000000114</v>
      </c>
      <c r="H240">
        <v>240</v>
      </c>
      <c r="I240" s="4">
        <v>71.67</v>
      </c>
      <c r="J240">
        <f t="shared" si="19"/>
        <v>-8.5999999999998522</v>
      </c>
      <c r="R240">
        <v>239</v>
      </c>
      <c r="S240" s="4">
        <v>91.06</v>
      </c>
      <c r="T240">
        <f t="shared" si="20"/>
        <v>-13.199999999999932</v>
      </c>
      <c r="AC240">
        <v>239</v>
      </c>
      <c r="AD240">
        <v>75.150000000000006</v>
      </c>
      <c r="AE240">
        <f t="shared" si="21"/>
        <v>-10.799999999999841</v>
      </c>
      <c r="AN240">
        <v>239</v>
      </c>
      <c r="AO240">
        <v>100.94</v>
      </c>
      <c r="AP240">
        <f t="shared" si="22"/>
        <v>-7.0000000000001705</v>
      </c>
      <c r="AY240">
        <v>239</v>
      </c>
      <c r="AZ240" s="2">
        <v>162.69</v>
      </c>
      <c r="BA240">
        <f t="shared" si="23"/>
        <v>7.5999999999999091</v>
      </c>
    </row>
    <row r="241" spans="1:53" x14ac:dyDescent="0.25">
      <c r="A241">
        <v>241</v>
      </c>
      <c r="B241">
        <v>72.52</v>
      </c>
      <c r="C241">
        <f t="shared" si="18"/>
        <v>-7.0000000000001705</v>
      </c>
      <c r="H241">
        <v>241</v>
      </c>
      <c r="I241" s="4">
        <v>71.790000000000006</v>
      </c>
      <c r="J241">
        <f t="shared" si="19"/>
        <v>2.4000000000000909</v>
      </c>
      <c r="R241">
        <v>240</v>
      </c>
      <c r="S241" s="4">
        <v>90.4</v>
      </c>
      <c r="T241">
        <f t="shared" si="20"/>
        <v>-13.199999999999932</v>
      </c>
      <c r="AC241">
        <v>240</v>
      </c>
      <c r="AD241">
        <v>74.569999999999993</v>
      </c>
      <c r="AE241">
        <f t="shared" si="21"/>
        <v>-11.60000000000025</v>
      </c>
      <c r="AN241">
        <v>240</v>
      </c>
      <c r="AO241">
        <v>100.67</v>
      </c>
      <c r="AP241">
        <f t="shared" si="22"/>
        <v>-5.3999999999999204</v>
      </c>
      <c r="AY241">
        <v>240</v>
      </c>
      <c r="AZ241">
        <v>162.69</v>
      </c>
      <c r="BA241">
        <f t="shared" si="23"/>
        <v>0</v>
      </c>
    </row>
    <row r="242" spans="1:53" x14ac:dyDescent="0.25">
      <c r="A242">
        <v>242</v>
      </c>
      <c r="B242">
        <v>72.14</v>
      </c>
      <c r="C242">
        <f t="shared" si="18"/>
        <v>-7.5999999999999091</v>
      </c>
      <c r="H242">
        <v>242</v>
      </c>
      <c r="I242" s="4">
        <v>72.14</v>
      </c>
      <c r="J242">
        <f t="shared" si="19"/>
        <v>6.9999999999998863</v>
      </c>
      <c r="R242">
        <v>241</v>
      </c>
      <c r="S242" s="4">
        <v>89.75</v>
      </c>
      <c r="T242">
        <f t="shared" si="20"/>
        <v>-13.000000000000114</v>
      </c>
      <c r="AC242">
        <v>241</v>
      </c>
      <c r="AD242">
        <v>74.14</v>
      </c>
      <c r="AE242">
        <f t="shared" si="21"/>
        <v>-8.5999999999998522</v>
      </c>
      <c r="AN242">
        <v>241</v>
      </c>
      <c r="AO242">
        <v>100.33</v>
      </c>
      <c r="AP242">
        <f t="shared" si="22"/>
        <v>-6.8000000000000682</v>
      </c>
      <c r="AY242">
        <v>241</v>
      </c>
      <c r="AZ242">
        <v>162.31</v>
      </c>
      <c r="BA242">
        <f t="shared" si="23"/>
        <v>-7.5999999999999091</v>
      </c>
    </row>
    <row r="243" spans="1:53" x14ac:dyDescent="0.25">
      <c r="A243">
        <v>243</v>
      </c>
      <c r="B243">
        <v>71.67</v>
      </c>
      <c r="C243">
        <f t="shared" si="18"/>
        <v>-9.3999999999999773</v>
      </c>
      <c r="H243">
        <v>243</v>
      </c>
      <c r="I243" s="4">
        <v>72.17</v>
      </c>
      <c r="J243">
        <f t="shared" si="19"/>
        <v>0.60000000000002274</v>
      </c>
      <c r="R243">
        <v>242</v>
      </c>
      <c r="S243" s="4">
        <v>89.09</v>
      </c>
      <c r="T243">
        <f t="shared" si="20"/>
        <v>-13.199999999999932</v>
      </c>
      <c r="AC243">
        <v>242</v>
      </c>
      <c r="AD243">
        <v>73.599999999999994</v>
      </c>
      <c r="AE243">
        <f t="shared" si="21"/>
        <v>-10.800000000000125</v>
      </c>
      <c r="AN243">
        <v>242</v>
      </c>
      <c r="AO243">
        <v>100.87</v>
      </c>
      <c r="AP243">
        <f t="shared" si="22"/>
        <v>10.800000000000125</v>
      </c>
      <c r="AY243">
        <v>242</v>
      </c>
      <c r="AZ243">
        <v>161.80000000000001</v>
      </c>
      <c r="BA243">
        <f t="shared" si="23"/>
        <v>-10.199999999999818</v>
      </c>
    </row>
    <row r="244" spans="1:53" x14ac:dyDescent="0.25">
      <c r="A244">
        <v>244</v>
      </c>
      <c r="B244">
        <v>71.25</v>
      </c>
      <c r="C244">
        <f t="shared" si="18"/>
        <v>-8.4000000000000341</v>
      </c>
      <c r="H244">
        <v>244</v>
      </c>
      <c r="I244" s="4">
        <v>72.17</v>
      </c>
      <c r="J244">
        <f t="shared" si="19"/>
        <v>0</v>
      </c>
      <c r="R244">
        <v>243</v>
      </c>
      <c r="S244" s="4">
        <v>88.55</v>
      </c>
      <c r="T244">
        <f t="shared" si="20"/>
        <v>-10.800000000000125</v>
      </c>
      <c r="AC244">
        <v>243</v>
      </c>
      <c r="AD244">
        <v>73.180000000000007</v>
      </c>
      <c r="AE244">
        <f t="shared" si="21"/>
        <v>-8.3999999999997499</v>
      </c>
      <c r="AN244">
        <v>243</v>
      </c>
      <c r="AO244">
        <v>101.95</v>
      </c>
      <c r="AP244">
        <f t="shared" si="22"/>
        <v>21.599999999999966</v>
      </c>
      <c r="AY244">
        <v>243</v>
      </c>
      <c r="AZ244">
        <v>161.34</v>
      </c>
      <c r="BA244">
        <f t="shared" si="23"/>
        <v>-9.2000000000001592</v>
      </c>
    </row>
    <row r="245" spans="1:53" x14ac:dyDescent="0.25">
      <c r="A245">
        <v>245</v>
      </c>
      <c r="B245">
        <v>70.86</v>
      </c>
      <c r="C245">
        <f t="shared" si="18"/>
        <v>-7.8000000000000114</v>
      </c>
      <c r="H245">
        <v>245</v>
      </c>
      <c r="I245" s="4">
        <v>71.790000000000006</v>
      </c>
      <c r="J245">
        <f t="shared" si="19"/>
        <v>-7.5999999999999091</v>
      </c>
      <c r="R245">
        <v>244</v>
      </c>
      <c r="S245" s="4">
        <v>88.16</v>
      </c>
      <c r="T245">
        <f t="shared" si="20"/>
        <v>-7.8000000000000114</v>
      </c>
      <c r="AC245">
        <v>244</v>
      </c>
      <c r="AD245">
        <v>72.75</v>
      </c>
      <c r="AE245">
        <f t="shared" si="21"/>
        <v>-8.6000000000001364</v>
      </c>
      <c r="AN245">
        <v>244</v>
      </c>
      <c r="AO245">
        <v>102.3</v>
      </c>
      <c r="AP245">
        <f t="shared" si="22"/>
        <v>6.9999999999998863</v>
      </c>
      <c r="AY245">
        <v>244</v>
      </c>
      <c r="AZ245">
        <v>160.76</v>
      </c>
      <c r="BA245">
        <f t="shared" si="23"/>
        <v>-11.60000000000025</v>
      </c>
    </row>
    <row r="246" spans="1:53" x14ac:dyDescent="0.25">
      <c r="A246">
        <v>246</v>
      </c>
      <c r="B246">
        <v>70.44</v>
      </c>
      <c r="C246">
        <f t="shared" si="18"/>
        <v>-8.4000000000000341</v>
      </c>
      <c r="H246">
        <v>246</v>
      </c>
      <c r="I246" s="4">
        <v>71.44</v>
      </c>
      <c r="J246">
        <f t="shared" si="19"/>
        <v>-7.0000000000001705</v>
      </c>
      <c r="R246">
        <v>245</v>
      </c>
      <c r="S246" s="4">
        <v>87.89</v>
      </c>
      <c r="T246">
        <f t="shared" si="20"/>
        <v>-5.3999999999999204</v>
      </c>
      <c r="AC246">
        <v>245</v>
      </c>
      <c r="AD246">
        <v>72.33</v>
      </c>
      <c r="AE246">
        <f t="shared" si="21"/>
        <v>-8.4000000000000341</v>
      </c>
      <c r="AN246">
        <v>245</v>
      </c>
      <c r="AO246">
        <v>102.06</v>
      </c>
      <c r="AP246">
        <f t="shared" si="22"/>
        <v>-4.7999999999998977</v>
      </c>
      <c r="AY246">
        <v>245</v>
      </c>
      <c r="AZ246">
        <v>160.61000000000001</v>
      </c>
      <c r="BA246">
        <f t="shared" si="23"/>
        <v>-2.9999999999995453</v>
      </c>
    </row>
    <row r="247" spans="1:53" x14ac:dyDescent="0.25">
      <c r="A247">
        <v>247</v>
      </c>
      <c r="B247">
        <v>70.05</v>
      </c>
      <c r="C247">
        <f t="shared" si="18"/>
        <v>-7.8000000000000114</v>
      </c>
      <c r="H247">
        <v>247</v>
      </c>
      <c r="I247" s="4">
        <v>71.209999999999994</v>
      </c>
      <c r="J247">
        <f t="shared" si="19"/>
        <v>-4.6000000000000796</v>
      </c>
      <c r="R247">
        <v>246</v>
      </c>
      <c r="S247" s="4">
        <v>87.54</v>
      </c>
      <c r="T247">
        <f t="shared" si="20"/>
        <v>-6.9999999999998863</v>
      </c>
      <c r="AC247">
        <v>246</v>
      </c>
      <c r="AD247">
        <v>71.94</v>
      </c>
      <c r="AE247">
        <f t="shared" si="21"/>
        <v>-7.8000000000000114</v>
      </c>
      <c r="AN247">
        <v>246</v>
      </c>
      <c r="AO247">
        <v>101.45</v>
      </c>
      <c r="AP247">
        <f t="shared" si="22"/>
        <v>-12.199999999999989</v>
      </c>
      <c r="AY247">
        <v>246</v>
      </c>
      <c r="AZ247">
        <v>160.44999999999999</v>
      </c>
      <c r="BA247">
        <f t="shared" si="23"/>
        <v>-3.2000000000005002</v>
      </c>
    </row>
    <row r="248" spans="1:53" x14ac:dyDescent="0.25">
      <c r="A248">
        <v>248</v>
      </c>
      <c r="B248">
        <v>69.66</v>
      </c>
      <c r="C248">
        <f t="shared" si="18"/>
        <v>-7.8000000000000114</v>
      </c>
      <c r="H248">
        <v>248</v>
      </c>
      <c r="I248" s="4">
        <v>71.02</v>
      </c>
      <c r="J248">
        <f t="shared" si="19"/>
        <v>-3.7999999999999545</v>
      </c>
      <c r="R248">
        <v>247</v>
      </c>
      <c r="S248" s="6">
        <v>87.35</v>
      </c>
      <c r="T248">
        <f t="shared" si="20"/>
        <v>-3.8000000000002387</v>
      </c>
      <c r="AC248">
        <v>247</v>
      </c>
      <c r="AD248">
        <v>71.599999999999994</v>
      </c>
      <c r="AE248">
        <f t="shared" si="21"/>
        <v>-6.8000000000000682</v>
      </c>
      <c r="AN248">
        <v>247</v>
      </c>
      <c r="AO248">
        <v>100.79</v>
      </c>
      <c r="AP248">
        <f t="shared" si="22"/>
        <v>-13.199999999999932</v>
      </c>
      <c r="AY248">
        <v>247</v>
      </c>
      <c r="AZ248">
        <v>160.26</v>
      </c>
      <c r="BA248">
        <f t="shared" si="23"/>
        <v>-3.7999999999999545</v>
      </c>
    </row>
    <row r="249" spans="1:53" x14ac:dyDescent="0.25">
      <c r="A249">
        <v>249</v>
      </c>
      <c r="B249">
        <v>69.319999999999993</v>
      </c>
      <c r="C249">
        <f t="shared" si="18"/>
        <v>-6.8000000000000682</v>
      </c>
      <c r="H249">
        <v>249</v>
      </c>
      <c r="I249" s="4">
        <v>70.67</v>
      </c>
      <c r="J249">
        <f t="shared" si="19"/>
        <v>-6.9999999999998863</v>
      </c>
      <c r="R249">
        <v>248</v>
      </c>
      <c r="S249" s="6">
        <v>87.66</v>
      </c>
      <c r="T249">
        <f t="shared" si="20"/>
        <v>6.2000000000000455</v>
      </c>
      <c r="AC249">
        <v>248</v>
      </c>
      <c r="AD249">
        <v>72.209999999999994</v>
      </c>
      <c r="AE249">
        <f t="shared" si="21"/>
        <v>12.199999999999989</v>
      </c>
      <c r="AN249">
        <v>248</v>
      </c>
      <c r="AO249">
        <v>100.33</v>
      </c>
      <c r="AP249">
        <f t="shared" si="22"/>
        <v>-9.2000000000001592</v>
      </c>
      <c r="AY249">
        <v>248</v>
      </c>
      <c r="AZ249">
        <v>160.13999999999999</v>
      </c>
      <c r="BA249">
        <f t="shared" si="23"/>
        <v>-2.4000000000000909</v>
      </c>
    </row>
    <row r="250" spans="1:53" x14ac:dyDescent="0.25">
      <c r="A250">
        <v>250</v>
      </c>
      <c r="B250">
        <v>69.16</v>
      </c>
      <c r="C250">
        <f t="shared" si="18"/>
        <v>-3.1999999999999318</v>
      </c>
      <c r="H250">
        <v>250</v>
      </c>
      <c r="I250" s="4">
        <v>70.319999999999993</v>
      </c>
      <c r="J250">
        <f t="shared" si="19"/>
        <v>-7.0000000000001705</v>
      </c>
      <c r="R250">
        <v>249</v>
      </c>
      <c r="S250" s="6">
        <v>89.13</v>
      </c>
      <c r="T250">
        <f t="shared" si="20"/>
        <v>29.399999999999977</v>
      </c>
      <c r="AC250">
        <v>249</v>
      </c>
      <c r="AD250">
        <v>73.72</v>
      </c>
      <c r="AE250">
        <f t="shared" si="21"/>
        <v>30.200000000000102</v>
      </c>
      <c r="AN250">
        <v>249</v>
      </c>
      <c r="AO250">
        <v>99.82</v>
      </c>
      <c r="AP250">
        <f t="shared" si="22"/>
        <v>-10.200000000000102</v>
      </c>
      <c r="AY250">
        <v>249</v>
      </c>
      <c r="AZ250">
        <v>159.94999999999999</v>
      </c>
      <c r="BA250">
        <f t="shared" si="23"/>
        <v>-3.7999999999999545</v>
      </c>
    </row>
    <row r="251" spans="1:53" x14ac:dyDescent="0.25">
      <c r="A251">
        <v>251</v>
      </c>
      <c r="B251" s="2">
        <v>70.59</v>
      </c>
      <c r="C251">
        <f t="shared" si="18"/>
        <v>28.600000000000136</v>
      </c>
      <c r="H251">
        <v>251</v>
      </c>
      <c r="I251" s="4">
        <v>70.05</v>
      </c>
      <c r="J251">
        <f t="shared" si="19"/>
        <v>-5.3999999999999204</v>
      </c>
      <c r="R251">
        <v>250</v>
      </c>
      <c r="S251" s="6">
        <v>89.17</v>
      </c>
      <c r="T251">
        <f t="shared" si="20"/>
        <v>0.80000000000012506</v>
      </c>
      <c r="AC251">
        <v>250</v>
      </c>
      <c r="AD251">
        <v>74.34</v>
      </c>
      <c r="AE251">
        <f t="shared" si="21"/>
        <v>12.400000000000091</v>
      </c>
      <c r="AN251">
        <v>250</v>
      </c>
      <c r="AO251">
        <v>99.32</v>
      </c>
      <c r="AP251">
        <f t="shared" si="22"/>
        <v>-10</v>
      </c>
      <c r="AY251">
        <v>250</v>
      </c>
      <c r="AZ251">
        <v>159.63999999999999</v>
      </c>
      <c r="BA251">
        <f t="shared" si="23"/>
        <v>-6.2000000000000455</v>
      </c>
    </row>
    <row r="252" spans="1:53" x14ac:dyDescent="0.25">
      <c r="A252">
        <v>252</v>
      </c>
      <c r="B252" s="2">
        <v>70.94</v>
      </c>
      <c r="C252">
        <f t="shared" si="18"/>
        <v>6.9999999999998863</v>
      </c>
      <c r="H252">
        <v>252</v>
      </c>
      <c r="I252" s="4">
        <v>69.819999999999993</v>
      </c>
      <c r="J252">
        <f t="shared" si="19"/>
        <v>-4.6000000000000796</v>
      </c>
      <c r="R252">
        <v>251</v>
      </c>
      <c r="S252" s="4">
        <v>88.93</v>
      </c>
      <c r="T252">
        <f t="shared" si="20"/>
        <v>-4.7999999999998977</v>
      </c>
      <c r="AC252">
        <v>251</v>
      </c>
      <c r="AD252">
        <v>74.3</v>
      </c>
      <c r="AE252">
        <f t="shared" si="21"/>
        <v>-0.80000000000012506</v>
      </c>
      <c r="AN252">
        <v>251</v>
      </c>
      <c r="AO252">
        <v>98.86</v>
      </c>
      <c r="AP252">
        <f t="shared" si="22"/>
        <v>-9.1999999999998749</v>
      </c>
      <c r="AY252">
        <v>251</v>
      </c>
      <c r="AZ252">
        <v>159.37</v>
      </c>
      <c r="BA252">
        <f t="shared" si="23"/>
        <v>-5.3999999999996362</v>
      </c>
    </row>
    <row r="253" spans="1:53" x14ac:dyDescent="0.25">
      <c r="A253">
        <v>253</v>
      </c>
      <c r="B253">
        <v>70.75</v>
      </c>
      <c r="C253">
        <f t="shared" si="18"/>
        <v>-3.7999999999999545</v>
      </c>
      <c r="H253">
        <v>253</v>
      </c>
      <c r="I253" s="4">
        <v>69.63</v>
      </c>
      <c r="J253">
        <f t="shared" si="19"/>
        <v>-3.7999999999999545</v>
      </c>
      <c r="R253">
        <v>252</v>
      </c>
      <c r="S253" s="4">
        <v>88.51</v>
      </c>
      <c r="T253">
        <f t="shared" si="20"/>
        <v>-8.4000000000000341</v>
      </c>
      <c r="AC253">
        <v>252</v>
      </c>
      <c r="AD253">
        <v>74.03</v>
      </c>
      <c r="AE253">
        <f t="shared" si="21"/>
        <v>-5.3999999999999204</v>
      </c>
      <c r="AN253">
        <v>252</v>
      </c>
      <c r="AO253">
        <v>98.43</v>
      </c>
      <c r="AP253">
        <f t="shared" si="22"/>
        <v>-8.5999999999998522</v>
      </c>
      <c r="AY253">
        <v>252</v>
      </c>
      <c r="AZ253">
        <v>159.18</v>
      </c>
      <c r="BA253">
        <f t="shared" si="23"/>
        <v>-3.7999999999999545</v>
      </c>
    </row>
    <row r="254" spans="1:53" x14ac:dyDescent="0.25">
      <c r="A254">
        <v>254</v>
      </c>
      <c r="B254">
        <v>70.44</v>
      </c>
      <c r="C254">
        <f t="shared" si="18"/>
        <v>-6.2000000000000455</v>
      </c>
      <c r="H254">
        <v>254</v>
      </c>
      <c r="I254" s="4">
        <v>69.430000000000007</v>
      </c>
      <c r="J254">
        <f t="shared" si="19"/>
        <v>-3.9999999999997726</v>
      </c>
      <c r="R254">
        <v>253</v>
      </c>
      <c r="S254" s="4">
        <v>87.78</v>
      </c>
      <c r="T254">
        <f t="shared" si="20"/>
        <v>-14.60000000000008</v>
      </c>
      <c r="AC254">
        <v>253</v>
      </c>
      <c r="AD254">
        <v>73.489999999999995</v>
      </c>
      <c r="AE254">
        <f t="shared" si="21"/>
        <v>-10.800000000000125</v>
      </c>
      <c r="AN254">
        <v>253</v>
      </c>
      <c r="AO254">
        <v>98.16</v>
      </c>
      <c r="AP254">
        <f t="shared" si="22"/>
        <v>-5.4000000000002046</v>
      </c>
      <c r="AY254">
        <v>253</v>
      </c>
      <c r="AZ254">
        <v>159.1</v>
      </c>
      <c r="BA254">
        <f t="shared" si="23"/>
        <v>-1.6000000000002501</v>
      </c>
    </row>
    <row r="255" spans="1:53" x14ac:dyDescent="0.25">
      <c r="A255">
        <v>255</v>
      </c>
      <c r="B255">
        <v>69.86</v>
      </c>
      <c r="C255">
        <f t="shared" si="18"/>
        <v>-11.599999999999966</v>
      </c>
      <c r="H255">
        <v>255</v>
      </c>
      <c r="I255" s="4">
        <v>69.63</v>
      </c>
      <c r="J255">
        <f t="shared" si="19"/>
        <v>3.9999999999997726</v>
      </c>
      <c r="R255">
        <v>254</v>
      </c>
      <c r="S255" s="4">
        <v>87.31</v>
      </c>
      <c r="T255">
        <f t="shared" si="20"/>
        <v>-9.3999999999999773</v>
      </c>
      <c r="AC255">
        <v>254</v>
      </c>
      <c r="AD255">
        <v>73.02</v>
      </c>
      <c r="AE255">
        <f t="shared" si="21"/>
        <v>-9.3999999999999773</v>
      </c>
      <c r="AN255">
        <v>254</v>
      </c>
      <c r="AO255">
        <v>98.01</v>
      </c>
      <c r="AP255">
        <f t="shared" si="22"/>
        <v>-2.9999999999998295</v>
      </c>
      <c r="AY255">
        <v>254</v>
      </c>
      <c r="AZ255">
        <v>158.91</v>
      </c>
      <c r="BA255">
        <f t="shared" si="23"/>
        <v>-3.7999999999999545</v>
      </c>
    </row>
    <row r="256" spans="1:53" x14ac:dyDescent="0.25">
      <c r="A256">
        <v>256</v>
      </c>
      <c r="B256">
        <v>69.510000000000005</v>
      </c>
      <c r="C256">
        <f t="shared" si="18"/>
        <v>-6.9999999999998863</v>
      </c>
      <c r="H256">
        <v>256</v>
      </c>
      <c r="I256" s="4">
        <v>69.86</v>
      </c>
      <c r="J256">
        <f t="shared" si="19"/>
        <v>4.6000000000000796</v>
      </c>
      <c r="R256">
        <v>255</v>
      </c>
      <c r="S256" s="4">
        <v>86.81</v>
      </c>
      <c r="T256">
        <f t="shared" si="20"/>
        <v>-10</v>
      </c>
      <c r="AC256">
        <v>255</v>
      </c>
      <c r="AD256">
        <v>72.72</v>
      </c>
      <c r="AE256">
        <f t="shared" si="21"/>
        <v>-5.9999999999999432</v>
      </c>
      <c r="AN256">
        <v>255</v>
      </c>
      <c r="AO256">
        <v>98.94</v>
      </c>
      <c r="AP256">
        <f t="shared" si="22"/>
        <v>18.599999999999852</v>
      </c>
      <c r="AY256">
        <v>255</v>
      </c>
      <c r="AZ256">
        <v>158.83000000000001</v>
      </c>
      <c r="BA256">
        <f t="shared" si="23"/>
        <v>-1.5999999999996817</v>
      </c>
    </row>
    <row r="257" spans="1:53" x14ac:dyDescent="0.25">
      <c r="A257">
        <v>257</v>
      </c>
      <c r="B257">
        <v>69.319999999999993</v>
      </c>
      <c r="C257">
        <f t="shared" si="18"/>
        <v>-3.8000000000002387</v>
      </c>
      <c r="H257">
        <v>257</v>
      </c>
      <c r="I257" s="4">
        <v>69.819999999999993</v>
      </c>
      <c r="J257">
        <f t="shared" si="19"/>
        <v>-0.80000000000012506</v>
      </c>
      <c r="R257">
        <v>256</v>
      </c>
      <c r="S257" s="4">
        <v>86.23</v>
      </c>
      <c r="T257">
        <f t="shared" si="20"/>
        <v>-11.599999999999966</v>
      </c>
      <c r="AC257">
        <v>256</v>
      </c>
      <c r="AD257">
        <v>72.33</v>
      </c>
      <c r="AE257">
        <f t="shared" si="21"/>
        <v>-7.8000000000000114</v>
      </c>
      <c r="AN257">
        <v>256</v>
      </c>
      <c r="AO257">
        <v>99.71</v>
      </c>
      <c r="AP257">
        <f t="shared" si="22"/>
        <v>15.39999999999992</v>
      </c>
      <c r="AY257">
        <v>256</v>
      </c>
      <c r="AZ257">
        <v>158.68</v>
      </c>
      <c r="BA257">
        <f t="shared" si="23"/>
        <v>-3.0000000000001137</v>
      </c>
    </row>
    <row r="258" spans="1:53" x14ac:dyDescent="0.25">
      <c r="A258">
        <v>258</v>
      </c>
      <c r="B258">
        <v>69.09</v>
      </c>
      <c r="C258">
        <f t="shared" si="18"/>
        <v>-4.5999999999997954</v>
      </c>
      <c r="H258">
        <v>258</v>
      </c>
      <c r="I258" s="4">
        <v>69.739999999999995</v>
      </c>
      <c r="J258">
        <f t="shared" si="19"/>
        <v>-1.5999999999999659</v>
      </c>
      <c r="R258">
        <v>257</v>
      </c>
      <c r="S258" s="4">
        <v>85.58</v>
      </c>
      <c r="T258">
        <f t="shared" si="20"/>
        <v>-13.000000000000114</v>
      </c>
      <c r="AC258">
        <v>257</v>
      </c>
      <c r="AD258">
        <v>71.900000000000006</v>
      </c>
      <c r="AE258">
        <f t="shared" si="21"/>
        <v>-8.5999999999998522</v>
      </c>
      <c r="AN258">
        <v>257</v>
      </c>
      <c r="AO258">
        <v>99.67</v>
      </c>
      <c r="AP258">
        <f t="shared" si="22"/>
        <v>-0.79999999999984084</v>
      </c>
      <c r="AY258">
        <v>257</v>
      </c>
      <c r="AZ258" s="2">
        <v>158.52000000000001</v>
      </c>
      <c r="BA258">
        <f t="shared" si="23"/>
        <v>-3.1999999999999318</v>
      </c>
    </row>
    <row r="259" spans="1:53" x14ac:dyDescent="0.25">
      <c r="A259">
        <v>259</v>
      </c>
      <c r="B259">
        <v>68.78</v>
      </c>
      <c r="C259">
        <f t="shared" ref="C259:C322" si="24">(B259-B258)/0.05</f>
        <v>-6.2000000000000455</v>
      </c>
      <c r="H259">
        <v>259</v>
      </c>
      <c r="I259" s="4">
        <v>69.16</v>
      </c>
      <c r="J259">
        <f t="shared" ref="J259:J322" si="25">(I259-I258)/0.05</f>
        <v>-11.599999999999966</v>
      </c>
      <c r="R259">
        <v>258</v>
      </c>
      <c r="S259" s="4">
        <v>84.96</v>
      </c>
      <c r="T259">
        <f t="shared" si="20"/>
        <v>-12.400000000000091</v>
      </c>
      <c r="AC259">
        <v>258</v>
      </c>
      <c r="AD259">
        <v>71.48</v>
      </c>
      <c r="AE259">
        <f t="shared" si="21"/>
        <v>-8.4000000000000341</v>
      </c>
      <c r="AN259">
        <v>258</v>
      </c>
      <c r="AO259">
        <v>99.32</v>
      </c>
      <c r="AP259">
        <f t="shared" si="22"/>
        <v>-7.0000000000001705</v>
      </c>
      <c r="AY259">
        <v>258</v>
      </c>
      <c r="AZ259">
        <v>158.79</v>
      </c>
      <c r="BA259">
        <f t="shared" si="23"/>
        <v>5.3999999999996362</v>
      </c>
    </row>
    <row r="260" spans="1:53" x14ac:dyDescent="0.25">
      <c r="A260">
        <v>260</v>
      </c>
      <c r="B260">
        <v>68.39</v>
      </c>
      <c r="C260">
        <f t="shared" si="24"/>
        <v>-7.8000000000000114</v>
      </c>
      <c r="H260">
        <v>260</v>
      </c>
      <c r="I260" s="4">
        <v>68.58</v>
      </c>
      <c r="J260">
        <f t="shared" si="25"/>
        <v>-11.599999999999966</v>
      </c>
      <c r="R260">
        <v>259</v>
      </c>
      <c r="S260" s="4">
        <v>84.53</v>
      </c>
      <c r="T260">
        <f t="shared" ref="T260:T323" si="26">(S260-S259)/0.05</f>
        <v>-8.5999999999998522</v>
      </c>
      <c r="AC260">
        <v>259</v>
      </c>
      <c r="AD260">
        <v>71.06</v>
      </c>
      <c r="AE260">
        <f t="shared" ref="AE260:AE323" si="27">(AD260-AD259)/0.05</f>
        <v>-8.4000000000000341</v>
      </c>
      <c r="AN260">
        <v>259</v>
      </c>
      <c r="AO260">
        <v>98.7</v>
      </c>
      <c r="AP260">
        <f t="shared" ref="AP260:AP323" si="28">(AO260-AO259)/0.05</f>
        <v>-12.399999999999807</v>
      </c>
      <c r="AY260">
        <v>259</v>
      </c>
      <c r="AZ260">
        <v>159.37</v>
      </c>
      <c r="BA260">
        <f t="shared" ref="BA260:BA323" si="29">(AZ260-AZ259)/0.05</f>
        <v>11.60000000000025</v>
      </c>
    </row>
    <row r="261" spans="1:53" x14ac:dyDescent="0.25">
      <c r="A261">
        <v>261</v>
      </c>
      <c r="B261">
        <v>68.12</v>
      </c>
      <c r="C261">
        <f t="shared" si="24"/>
        <v>-5.3999999999999204</v>
      </c>
      <c r="H261">
        <v>261</v>
      </c>
      <c r="I261" s="4">
        <v>68.16</v>
      </c>
      <c r="J261">
        <f t="shared" si="25"/>
        <v>-8.4000000000000341</v>
      </c>
      <c r="R261">
        <v>260</v>
      </c>
      <c r="S261" s="4">
        <v>84.22</v>
      </c>
      <c r="T261">
        <f t="shared" si="26"/>
        <v>-6.2000000000000455</v>
      </c>
      <c r="AC261">
        <v>260</v>
      </c>
      <c r="AD261">
        <v>70.67</v>
      </c>
      <c r="AE261">
        <f t="shared" si="27"/>
        <v>-7.8000000000000114</v>
      </c>
      <c r="AN261">
        <v>260</v>
      </c>
      <c r="AO261">
        <v>98.28</v>
      </c>
      <c r="AP261">
        <f t="shared" si="28"/>
        <v>-8.4000000000000341</v>
      </c>
      <c r="AY261">
        <v>260</v>
      </c>
      <c r="AZ261" s="2">
        <v>159.53</v>
      </c>
      <c r="BA261">
        <f t="shared" si="29"/>
        <v>3.1999999999999318</v>
      </c>
    </row>
    <row r="262" spans="1:53" x14ac:dyDescent="0.25">
      <c r="A262">
        <v>262</v>
      </c>
      <c r="B262">
        <v>67.73</v>
      </c>
      <c r="C262">
        <f t="shared" si="24"/>
        <v>-7.8000000000000114</v>
      </c>
      <c r="H262">
        <v>262</v>
      </c>
      <c r="I262" s="4">
        <v>67.89</v>
      </c>
      <c r="J262">
        <f t="shared" si="25"/>
        <v>-5.3999999999999204</v>
      </c>
      <c r="R262">
        <v>261</v>
      </c>
      <c r="S262" s="4">
        <v>84.03</v>
      </c>
      <c r="T262">
        <f t="shared" si="26"/>
        <v>-3.7999999999999545</v>
      </c>
      <c r="AC262">
        <v>261</v>
      </c>
      <c r="AD262">
        <v>70.209999999999994</v>
      </c>
      <c r="AE262">
        <f t="shared" si="27"/>
        <v>-9.2000000000001592</v>
      </c>
      <c r="AN262">
        <v>261</v>
      </c>
      <c r="AO262">
        <v>97.93</v>
      </c>
      <c r="AP262">
        <f t="shared" si="28"/>
        <v>-6.9999999999998863</v>
      </c>
      <c r="AY262">
        <v>261</v>
      </c>
      <c r="AZ262">
        <v>159.44999999999999</v>
      </c>
      <c r="BA262">
        <f t="shared" si="29"/>
        <v>-1.6000000000002501</v>
      </c>
    </row>
    <row r="263" spans="1:53" x14ac:dyDescent="0.25">
      <c r="A263">
        <v>263</v>
      </c>
      <c r="B263">
        <v>67.459999999999994</v>
      </c>
      <c r="C263">
        <f t="shared" si="24"/>
        <v>-5.4000000000002046</v>
      </c>
      <c r="H263">
        <v>263</v>
      </c>
      <c r="I263" s="4">
        <v>67.7</v>
      </c>
      <c r="J263">
        <f t="shared" si="25"/>
        <v>-3.7999999999999545</v>
      </c>
      <c r="R263">
        <v>262</v>
      </c>
      <c r="S263" s="6">
        <v>83.84</v>
      </c>
      <c r="T263">
        <f t="shared" si="26"/>
        <v>-3.7999999999999545</v>
      </c>
      <c r="AC263">
        <v>262</v>
      </c>
      <c r="AD263">
        <v>69.78</v>
      </c>
      <c r="AE263">
        <f t="shared" si="27"/>
        <v>-8.5999999999998522</v>
      </c>
      <c r="AN263">
        <v>262</v>
      </c>
      <c r="AO263">
        <v>97.47</v>
      </c>
      <c r="AP263">
        <f t="shared" si="28"/>
        <v>-9.2000000000001592</v>
      </c>
      <c r="AY263">
        <v>262</v>
      </c>
      <c r="AZ263">
        <v>159.02000000000001</v>
      </c>
      <c r="BA263">
        <f t="shared" si="29"/>
        <v>-8.599999999999568</v>
      </c>
    </row>
    <row r="264" spans="1:53" x14ac:dyDescent="0.25">
      <c r="A264">
        <v>264</v>
      </c>
      <c r="B264">
        <v>67.040000000000006</v>
      </c>
      <c r="C264">
        <f t="shared" si="24"/>
        <v>-8.3999999999997499</v>
      </c>
      <c r="H264">
        <v>264</v>
      </c>
      <c r="I264" s="4">
        <v>67.5</v>
      </c>
      <c r="J264">
        <f t="shared" si="25"/>
        <v>-4.0000000000000568</v>
      </c>
      <c r="R264">
        <v>263</v>
      </c>
      <c r="S264" s="6">
        <v>85.42</v>
      </c>
      <c r="T264">
        <f t="shared" si="26"/>
        <v>31.599999999999966</v>
      </c>
      <c r="AC264">
        <v>263</v>
      </c>
      <c r="AD264">
        <v>69.39</v>
      </c>
      <c r="AE264">
        <f t="shared" si="27"/>
        <v>-7.8000000000000114</v>
      </c>
      <c r="AN264">
        <v>263</v>
      </c>
      <c r="AO264">
        <v>96.93</v>
      </c>
      <c r="AP264">
        <f t="shared" si="28"/>
        <v>-10.799999999999841</v>
      </c>
      <c r="AY264">
        <v>263</v>
      </c>
      <c r="AZ264">
        <v>158.52000000000001</v>
      </c>
      <c r="BA264">
        <f t="shared" si="29"/>
        <v>-10</v>
      </c>
    </row>
    <row r="265" spans="1:53" x14ac:dyDescent="0.25">
      <c r="A265">
        <v>265</v>
      </c>
      <c r="B265">
        <v>66.81</v>
      </c>
      <c r="C265">
        <f t="shared" si="24"/>
        <v>-4.6000000000000796</v>
      </c>
      <c r="H265">
        <v>265</v>
      </c>
      <c r="I265" s="4">
        <v>67.39</v>
      </c>
      <c r="J265">
        <f t="shared" si="25"/>
        <v>-2.1999999999999886</v>
      </c>
      <c r="R265">
        <v>264</v>
      </c>
      <c r="S265" s="6">
        <v>85.58</v>
      </c>
      <c r="T265">
        <f t="shared" si="26"/>
        <v>3.1999999999999318</v>
      </c>
      <c r="AC265">
        <v>264</v>
      </c>
      <c r="AD265">
        <v>69.09</v>
      </c>
      <c r="AE265">
        <f t="shared" si="27"/>
        <v>-5.9999999999999432</v>
      </c>
      <c r="AN265">
        <v>264</v>
      </c>
      <c r="AO265">
        <v>96.47</v>
      </c>
      <c r="AP265">
        <f t="shared" si="28"/>
        <v>-9.2000000000001592</v>
      </c>
      <c r="AY265">
        <v>264</v>
      </c>
      <c r="AZ265">
        <v>157.97999999999999</v>
      </c>
      <c r="BA265">
        <f t="shared" si="29"/>
        <v>-10.800000000000409</v>
      </c>
    </row>
    <row r="266" spans="1:53" x14ac:dyDescent="0.25">
      <c r="A266">
        <v>266</v>
      </c>
      <c r="B266">
        <v>66.42</v>
      </c>
      <c r="C266">
        <f t="shared" si="24"/>
        <v>-7.8000000000000114</v>
      </c>
      <c r="H266">
        <v>266</v>
      </c>
      <c r="I266" s="4">
        <v>67.150000000000006</v>
      </c>
      <c r="J266">
        <f t="shared" si="25"/>
        <v>-4.7999999999998977</v>
      </c>
      <c r="R266">
        <v>265</v>
      </c>
      <c r="S266" s="4">
        <v>85.5</v>
      </c>
      <c r="T266">
        <f t="shared" si="26"/>
        <v>-1.5999999999999659</v>
      </c>
      <c r="AC266">
        <v>265</v>
      </c>
      <c r="AD266">
        <v>68.540000000000006</v>
      </c>
      <c r="AE266">
        <f t="shared" si="27"/>
        <v>-10.999999999999943</v>
      </c>
      <c r="AN266">
        <v>265</v>
      </c>
      <c r="AO266">
        <v>95.96</v>
      </c>
      <c r="AP266">
        <f t="shared" si="28"/>
        <v>-10.200000000000102</v>
      </c>
      <c r="AY266">
        <v>265</v>
      </c>
      <c r="AZ266">
        <v>157.63</v>
      </c>
      <c r="BA266">
        <f t="shared" si="29"/>
        <v>-6.9999999999998863</v>
      </c>
    </row>
    <row r="267" spans="1:53" x14ac:dyDescent="0.25">
      <c r="A267">
        <v>267</v>
      </c>
      <c r="B267">
        <v>66.19</v>
      </c>
      <c r="C267">
        <f t="shared" si="24"/>
        <v>-4.6000000000000796</v>
      </c>
      <c r="H267">
        <v>267</v>
      </c>
      <c r="I267" s="4">
        <v>67.040000000000006</v>
      </c>
      <c r="J267">
        <f t="shared" si="25"/>
        <v>-2.1999999999999886</v>
      </c>
      <c r="R267">
        <v>266</v>
      </c>
      <c r="S267" s="4">
        <v>85.11</v>
      </c>
      <c r="T267">
        <f t="shared" si="26"/>
        <v>-7.8000000000000114</v>
      </c>
      <c r="AC267">
        <v>266</v>
      </c>
      <c r="AD267">
        <v>68.239999999999995</v>
      </c>
      <c r="AE267">
        <f t="shared" si="27"/>
        <v>-6.0000000000002274</v>
      </c>
      <c r="AN267">
        <v>266</v>
      </c>
      <c r="AO267">
        <v>95.69</v>
      </c>
      <c r="AP267">
        <f t="shared" si="28"/>
        <v>-5.3999999999999204</v>
      </c>
      <c r="AY267">
        <v>266</v>
      </c>
      <c r="AZ267">
        <v>157.52000000000001</v>
      </c>
      <c r="BA267">
        <f t="shared" si="29"/>
        <v>-2.1999999999997044</v>
      </c>
    </row>
    <row r="268" spans="1:53" x14ac:dyDescent="0.25">
      <c r="A268">
        <v>268</v>
      </c>
      <c r="B268">
        <v>65.88</v>
      </c>
      <c r="C268">
        <f t="shared" si="24"/>
        <v>-6.2000000000000455</v>
      </c>
      <c r="H268">
        <v>268</v>
      </c>
      <c r="I268" s="4">
        <v>66.959999999999994</v>
      </c>
      <c r="J268">
        <f t="shared" si="25"/>
        <v>-1.6000000000002501</v>
      </c>
      <c r="R268">
        <v>267</v>
      </c>
      <c r="S268" s="4">
        <v>84.49</v>
      </c>
      <c r="T268">
        <f t="shared" si="26"/>
        <v>-12.400000000000091</v>
      </c>
      <c r="AC268">
        <v>267</v>
      </c>
      <c r="AD268">
        <v>67.77</v>
      </c>
      <c r="AE268">
        <f t="shared" si="27"/>
        <v>-9.3999999999999773</v>
      </c>
      <c r="AN268">
        <v>267</v>
      </c>
      <c r="AO268">
        <v>95.96</v>
      </c>
      <c r="AP268">
        <f t="shared" si="28"/>
        <v>5.3999999999999204</v>
      </c>
      <c r="AY268">
        <v>267</v>
      </c>
      <c r="AZ268">
        <v>157.47999999999999</v>
      </c>
      <c r="BA268">
        <f t="shared" si="29"/>
        <v>-0.80000000000040927</v>
      </c>
    </row>
    <row r="269" spans="1:53" x14ac:dyDescent="0.25">
      <c r="A269">
        <v>269</v>
      </c>
      <c r="B269">
        <v>66.69</v>
      </c>
      <c r="C269">
        <f t="shared" si="24"/>
        <v>16.200000000000045</v>
      </c>
      <c r="H269">
        <v>269</v>
      </c>
      <c r="I269" s="5">
        <v>67.150000000000006</v>
      </c>
      <c r="J269">
        <f t="shared" si="25"/>
        <v>3.8000000000002387</v>
      </c>
      <c r="R269">
        <v>268</v>
      </c>
      <c r="S269" s="4">
        <v>84.03</v>
      </c>
      <c r="T269">
        <f t="shared" si="26"/>
        <v>-9.1999999999998749</v>
      </c>
      <c r="AC269">
        <v>268</v>
      </c>
      <c r="AD269">
        <v>67.459999999999994</v>
      </c>
      <c r="AE269">
        <f t="shared" si="27"/>
        <v>-6.2000000000000455</v>
      </c>
      <c r="AN269">
        <v>268</v>
      </c>
      <c r="AO269">
        <v>97.16</v>
      </c>
      <c r="AP269">
        <f t="shared" si="28"/>
        <v>24.000000000000057</v>
      </c>
      <c r="AY269">
        <v>268</v>
      </c>
      <c r="AZ269">
        <v>157.29</v>
      </c>
      <c r="BA269">
        <f t="shared" si="29"/>
        <v>-3.7999999999999545</v>
      </c>
    </row>
    <row r="270" spans="1:53" x14ac:dyDescent="0.25">
      <c r="A270">
        <v>270</v>
      </c>
      <c r="B270">
        <v>66.959999999999994</v>
      </c>
      <c r="C270">
        <f t="shared" si="24"/>
        <v>5.3999999999999204</v>
      </c>
      <c r="H270">
        <v>270</v>
      </c>
      <c r="I270" s="5">
        <v>67.430000000000007</v>
      </c>
      <c r="J270">
        <f t="shared" si="25"/>
        <v>5.6000000000000227</v>
      </c>
      <c r="R270">
        <v>269</v>
      </c>
      <c r="S270" s="4">
        <v>83.53</v>
      </c>
      <c r="T270">
        <f t="shared" si="26"/>
        <v>-10</v>
      </c>
      <c r="AC270">
        <v>269</v>
      </c>
      <c r="AD270">
        <v>68.16</v>
      </c>
      <c r="AE270">
        <f t="shared" si="27"/>
        <v>14.000000000000057</v>
      </c>
      <c r="AN270">
        <v>269</v>
      </c>
      <c r="AO270">
        <v>97.58</v>
      </c>
      <c r="AP270">
        <f t="shared" si="28"/>
        <v>8.4000000000000341</v>
      </c>
      <c r="AY270">
        <v>269</v>
      </c>
      <c r="AZ270">
        <v>157.05000000000001</v>
      </c>
      <c r="BA270">
        <f t="shared" si="29"/>
        <v>-4.7999999999996135</v>
      </c>
    </row>
    <row r="271" spans="1:53" x14ac:dyDescent="0.25">
      <c r="A271">
        <v>271</v>
      </c>
      <c r="B271">
        <v>66.73</v>
      </c>
      <c r="C271">
        <f t="shared" si="24"/>
        <v>-4.5999999999997954</v>
      </c>
      <c r="H271">
        <v>271</v>
      </c>
      <c r="I271" s="5">
        <v>67.58</v>
      </c>
      <c r="J271">
        <f t="shared" si="25"/>
        <v>2.9999999999998295</v>
      </c>
      <c r="R271">
        <v>270</v>
      </c>
      <c r="S271" s="4">
        <v>83.03</v>
      </c>
      <c r="T271">
        <f t="shared" si="26"/>
        <v>-10</v>
      </c>
      <c r="AC271">
        <v>270</v>
      </c>
      <c r="AD271">
        <v>69.430000000000007</v>
      </c>
      <c r="AE271">
        <f t="shared" si="27"/>
        <v>25.400000000000205</v>
      </c>
      <c r="AN271">
        <v>270</v>
      </c>
      <c r="AO271">
        <v>97.47</v>
      </c>
      <c r="AP271">
        <f t="shared" si="28"/>
        <v>-2.1999999999999886</v>
      </c>
      <c r="AY271">
        <v>270</v>
      </c>
      <c r="AZ271">
        <v>156.86000000000001</v>
      </c>
      <c r="BA271">
        <f t="shared" si="29"/>
        <v>-3.7999999999999545</v>
      </c>
    </row>
    <row r="272" spans="1:53" x14ac:dyDescent="0.25">
      <c r="A272">
        <v>272</v>
      </c>
      <c r="B272">
        <v>66.42</v>
      </c>
      <c r="C272">
        <f t="shared" si="24"/>
        <v>-6.2000000000000455</v>
      </c>
      <c r="H272">
        <v>272</v>
      </c>
      <c r="I272" s="5">
        <v>67.77</v>
      </c>
      <c r="J272">
        <f t="shared" si="25"/>
        <v>3.7999999999999545</v>
      </c>
      <c r="R272">
        <v>271</v>
      </c>
      <c r="S272" s="4">
        <v>82.56</v>
      </c>
      <c r="T272">
        <f t="shared" si="26"/>
        <v>-9.3999999999999773</v>
      </c>
      <c r="AC272">
        <v>271</v>
      </c>
      <c r="AD272">
        <v>69.59</v>
      </c>
      <c r="AE272">
        <f t="shared" si="27"/>
        <v>3.1999999999999318</v>
      </c>
      <c r="AN272">
        <v>271</v>
      </c>
      <c r="AO272">
        <v>96.93</v>
      </c>
      <c r="AP272">
        <f t="shared" si="28"/>
        <v>-10.799999999999841</v>
      </c>
      <c r="AY272">
        <v>271</v>
      </c>
      <c r="AZ272">
        <v>156.59</v>
      </c>
      <c r="BA272">
        <f t="shared" si="29"/>
        <v>-5.4000000000002046</v>
      </c>
    </row>
    <row r="273" spans="1:53" x14ac:dyDescent="0.25">
      <c r="A273">
        <v>273</v>
      </c>
      <c r="B273">
        <v>66.19</v>
      </c>
      <c r="C273">
        <f t="shared" si="24"/>
        <v>-4.6000000000000796</v>
      </c>
      <c r="H273">
        <v>273</v>
      </c>
      <c r="I273" s="4">
        <v>67.62</v>
      </c>
      <c r="J273">
        <f t="shared" si="25"/>
        <v>-2.9999999999998295</v>
      </c>
      <c r="R273">
        <v>272</v>
      </c>
      <c r="S273" s="4">
        <v>82.06</v>
      </c>
      <c r="T273">
        <f t="shared" si="26"/>
        <v>-10</v>
      </c>
      <c r="AC273">
        <v>272</v>
      </c>
      <c r="AD273">
        <v>69.430000000000007</v>
      </c>
      <c r="AE273">
        <f t="shared" si="27"/>
        <v>-3.1999999999999318</v>
      </c>
      <c r="AN273">
        <v>272</v>
      </c>
      <c r="AO273">
        <v>96.47</v>
      </c>
      <c r="AP273">
        <f t="shared" si="28"/>
        <v>-9.2000000000001592</v>
      </c>
      <c r="AY273">
        <v>272</v>
      </c>
      <c r="AZ273">
        <v>156.32</v>
      </c>
      <c r="BA273">
        <f t="shared" si="29"/>
        <v>-5.4000000000002046</v>
      </c>
    </row>
    <row r="274" spans="1:53" x14ac:dyDescent="0.25">
      <c r="A274">
        <v>274</v>
      </c>
      <c r="B274">
        <v>65.760000000000005</v>
      </c>
      <c r="C274">
        <f t="shared" si="24"/>
        <v>-8.5999999999998522</v>
      </c>
      <c r="H274">
        <v>274</v>
      </c>
      <c r="I274" s="4">
        <v>67.349999999999994</v>
      </c>
      <c r="J274">
        <f t="shared" si="25"/>
        <v>-5.4000000000002046</v>
      </c>
      <c r="R274">
        <v>273</v>
      </c>
      <c r="S274" s="4">
        <v>81.44</v>
      </c>
      <c r="T274">
        <f t="shared" si="26"/>
        <v>-12.400000000000091</v>
      </c>
      <c r="AC274">
        <v>273</v>
      </c>
      <c r="AD274">
        <v>69.12</v>
      </c>
      <c r="AE274">
        <f t="shared" si="27"/>
        <v>-6.2000000000000455</v>
      </c>
      <c r="AN274">
        <v>273</v>
      </c>
      <c r="AO274">
        <v>96.08</v>
      </c>
      <c r="AP274">
        <f t="shared" si="28"/>
        <v>-7.8000000000000114</v>
      </c>
      <c r="AY274">
        <v>273</v>
      </c>
      <c r="AZ274">
        <v>156.16999999999999</v>
      </c>
      <c r="BA274">
        <f t="shared" si="29"/>
        <v>-3.0000000000001137</v>
      </c>
    </row>
    <row r="275" spans="1:53" x14ac:dyDescent="0.25">
      <c r="A275">
        <v>275</v>
      </c>
      <c r="B275">
        <v>65.569999999999993</v>
      </c>
      <c r="C275">
        <f t="shared" si="24"/>
        <v>-3.8000000000002387</v>
      </c>
      <c r="H275">
        <v>275</v>
      </c>
      <c r="I275" s="4">
        <v>67.12</v>
      </c>
      <c r="J275">
        <f t="shared" si="25"/>
        <v>-4.5999999999997954</v>
      </c>
      <c r="R275">
        <v>274</v>
      </c>
      <c r="S275" s="4">
        <v>80.94</v>
      </c>
      <c r="T275">
        <f t="shared" si="26"/>
        <v>-10</v>
      </c>
      <c r="AC275">
        <v>274</v>
      </c>
      <c r="AD275">
        <v>68.58</v>
      </c>
      <c r="AE275">
        <f t="shared" si="27"/>
        <v>-10.800000000000125</v>
      </c>
      <c r="AN275">
        <v>274</v>
      </c>
      <c r="AO275">
        <v>95.69</v>
      </c>
      <c r="AP275">
        <f t="shared" si="28"/>
        <v>-7.8000000000000114</v>
      </c>
      <c r="AY275">
        <v>274</v>
      </c>
      <c r="AZ275">
        <v>156.05000000000001</v>
      </c>
      <c r="BA275">
        <f t="shared" si="29"/>
        <v>-2.3999999999995225</v>
      </c>
    </row>
    <row r="276" spans="1:53" x14ac:dyDescent="0.25">
      <c r="A276">
        <v>276</v>
      </c>
      <c r="B276">
        <v>65.459999999999994</v>
      </c>
      <c r="C276">
        <f t="shared" si="24"/>
        <v>-2.1999999999999886</v>
      </c>
      <c r="H276">
        <v>276</v>
      </c>
      <c r="I276" s="4">
        <v>66.73</v>
      </c>
      <c r="J276">
        <f t="shared" si="25"/>
        <v>-7.8000000000000114</v>
      </c>
      <c r="R276">
        <v>275</v>
      </c>
      <c r="S276" s="4">
        <v>80.63</v>
      </c>
      <c r="T276">
        <f t="shared" si="26"/>
        <v>-6.2000000000000455</v>
      </c>
      <c r="AC276">
        <v>275</v>
      </c>
      <c r="AD276">
        <v>68.27</v>
      </c>
      <c r="AE276">
        <f t="shared" si="27"/>
        <v>-6.2000000000000455</v>
      </c>
      <c r="AN276">
        <v>275</v>
      </c>
      <c r="AO276">
        <v>95.31</v>
      </c>
      <c r="AP276">
        <f t="shared" si="28"/>
        <v>-7.5999999999999091</v>
      </c>
      <c r="AY276">
        <v>275</v>
      </c>
      <c r="AZ276">
        <v>155.9</v>
      </c>
      <c r="BA276">
        <f t="shared" si="29"/>
        <v>-3.0000000000001137</v>
      </c>
    </row>
    <row r="277" spans="1:53" x14ac:dyDescent="0.25">
      <c r="A277">
        <v>277</v>
      </c>
      <c r="B277">
        <v>65.11</v>
      </c>
      <c r="C277">
        <f t="shared" si="24"/>
        <v>-6.9999999999998863</v>
      </c>
      <c r="H277">
        <v>277</v>
      </c>
      <c r="I277" s="4">
        <v>66.5</v>
      </c>
      <c r="J277">
        <f t="shared" si="25"/>
        <v>-4.6000000000000796</v>
      </c>
      <c r="R277">
        <v>276</v>
      </c>
      <c r="S277" s="6">
        <v>80.48</v>
      </c>
      <c r="T277">
        <f t="shared" si="26"/>
        <v>-2.9999999999998295</v>
      </c>
      <c r="AC277">
        <v>276</v>
      </c>
      <c r="AD277">
        <v>68</v>
      </c>
      <c r="AE277">
        <f t="shared" si="27"/>
        <v>-5.3999999999999204</v>
      </c>
      <c r="AN277">
        <v>276</v>
      </c>
      <c r="AO277">
        <v>94.84</v>
      </c>
      <c r="AP277">
        <f t="shared" si="28"/>
        <v>-9.3999999999999773</v>
      </c>
      <c r="AY277">
        <v>276</v>
      </c>
      <c r="AZ277">
        <v>155.66</v>
      </c>
      <c r="BA277">
        <f t="shared" si="29"/>
        <v>-4.8000000000001819</v>
      </c>
    </row>
    <row r="278" spans="1:53" x14ac:dyDescent="0.25">
      <c r="A278">
        <v>278</v>
      </c>
      <c r="B278">
        <v>64.84</v>
      </c>
      <c r="C278">
        <f t="shared" si="24"/>
        <v>-5.3999999999999204</v>
      </c>
      <c r="H278">
        <v>278</v>
      </c>
      <c r="I278" s="4">
        <v>66.31</v>
      </c>
      <c r="J278">
        <f t="shared" si="25"/>
        <v>-3.7999999999999545</v>
      </c>
      <c r="R278">
        <v>277</v>
      </c>
      <c r="S278" s="6">
        <v>82.06</v>
      </c>
      <c r="T278">
        <f t="shared" si="26"/>
        <v>31.599999999999966</v>
      </c>
      <c r="AC278">
        <v>277</v>
      </c>
      <c r="AD278">
        <v>67.73</v>
      </c>
      <c r="AE278">
        <f t="shared" si="27"/>
        <v>-5.3999999999999204</v>
      </c>
      <c r="AN278">
        <v>277</v>
      </c>
      <c r="AO278">
        <v>94.3</v>
      </c>
      <c r="AP278">
        <f t="shared" si="28"/>
        <v>-10.800000000000125</v>
      </c>
      <c r="AY278">
        <v>277</v>
      </c>
      <c r="AZ278" s="2">
        <v>155.55000000000001</v>
      </c>
      <c r="BA278">
        <f t="shared" si="29"/>
        <v>-2.1999999999997044</v>
      </c>
    </row>
    <row r="279" spans="1:53" x14ac:dyDescent="0.25">
      <c r="A279">
        <v>279</v>
      </c>
      <c r="B279">
        <v>64.53</v>
      </c>
      <c r="C279">
        <f t="shared" si="24"/>
        <v>-6.2000000000000455</v>
      </c>
      <c r="H279">
        <v>279</v>
      </c>
      <c r="I279" s="4">
        <v>66.150000000000006</v>
      </c>
      <c r="J279">
        <f t="shared" si="25"/>
        <v>-3.1999999999999318</v>
      </c>
      <c r="R279">
        <v>278</v>
      </c>
      <c r="S279" s="6">
        <v>82.22</v>
      </c>
      <c r="T279">
        <f t="shared" si="26"/>
        <v>3.1999999999999318</v>
      </c>
      <c r="AC279">
        <v>278</v>
      </c>
      <c r="AD279">
        <v>67.39</v>
      </c>
      <c r="AE279">
        <f t="shared" si="27"/>
        <v>-6.8000000000000682</v>
      </c>
      <c r="AN279">
        <v>278</v>
      </c>
      <c r="AO279">
        <v>93.84</v>
      </c>
      <c r="AP279">
        <f t="shared" si="28"/>
        <v>-9.1999999999998749</v>
      </c>
      <c r="AY279">
        <v>278</v>
      </c>
      <c r="AZ279" s="2">
        <v>155.69999999999999</v>
      </c>
      <c r="BA279">
        <f t="shared" si="29"/>
        <v>2.9999999999995453</v>
      </c>
    </row>
    <row r="280" spans="1:53" x14ac:dyDescent="0.25">
      <c r="A280">
        <v>280</v>
      </c>
      <c r="B280">
        <v>64.3</v>
      </c>
      <c r="C280">
        <f t="shared" si="24"/>
        <v>-4.6000000000000796</v>
      </c>
      <c r="H280">
        <v>280</v>
      </c>
      <c r="I280" s="4">
        <v>65.88</v>
      </c>
      <c r="J280">
        <f t="shared" si="25"/>
        <v>-5.4000000000002046</v>
      </c>
      <c r="R280">
        <v>279</v>
      </c>
      <c r="S280" s="4">
        <v>82.18</v>
      </c>
      <c r="T280">
        <f t="shared" si="26"/>
        <v>-0.79999999999984084</v>
      </c>
      <c r="AC280">
        <v>279</v>
      </c>
      <c r="AD280">
        <v>67</v>
      </c>
      <c r="AE280">
        <f t="shared" si="27"/>
        <v>-7.8000000000000114</v>
      </c>
      <c r="AN280">
        <v>279</v>
      </c>
      <c r="AO280">
        <v>93.45</v>
      </c>
      <c r="AP280">
        <f t="shared" si="28"/>
        <v>-7.8000000000000114</v>
      </c>
      <c r="AY280">
        <v>279</v>
      </c>
      <c r="AZ280" s="2">
        <v>156.28</v>
      </c>
      <c r="BA280">
        <f t="shared" si="29"/>
        <v>11.60000000000025</v>
      </c>
    </row>
    <row r="281" spans="1:53" x14ac:dyDescent="0.25">
      <c r="A281">
        <v>281</v>
      </c>
      <c r="B281">
        <v>64.03</v>
      </c>
      <c r="C281">
        <f t="shared" si="24"/>
        <v>-5.3999999999999204</v>
      </c>
      <c r="H281">
        <v>281</v>
      </c>
      <c r="I281" s="4">
        <v>65.69</v>
      </c>
      <c r="J281">
        <f t="shared" si="25"/>
        <v>-3.7999999999999545</v>
      </c>
      <c r="R281">
        <v>280</v>
      </c>
      <c r="S281" s="4">
        <v>81.790000000000006</v>
      </c>
      <c r="T281">
        <f t="shared" si="26"/>
        <v>-7.8000000000000114</v>
      </c>
      <c r="AC281">
        <v>280</v>
      </c>
      <c r="AD281">
        <v>66.650000000000006</v>
      </c>
      <c r="AE281">
        <f t="shared" si="27"/>
        <v>-6.9999999999998863</v>
      </c>
      <c r="AN281">
        <v>280</v>
      </c>
      <c r="AO281">
        <v>94.03</v>
      </c>
      <c r="AP281">
        <f t="shared" si="28"/>
        <v>11.599999999999966</v>
      </c>
      <c r="AY281">
        <v>280</v>
      </c>
      <c r="AZ281" s="2">
        <v>156.75</v>
      </c>
      <c r="BA281">
        <f t="shared" si="29"/>
        <v>9.3999999999999773</v>
      </c>
    </row>
    <row r="282" spans="1:53" x14ac:dyDescent="0.25">
      <c r="A282">
        <v>282</v>
      </c>
      <c r="B282">
        <v>63.68</v>
      </c>
      <c r="C282">
        <f t="shared" si="24"/>
        <v>-7.0000000000000284</v>
      </c>
      <c r="H282">
        <v>282</v>
      </c>
      <c r="I282" s="4">
        <v>65.34</v>
      </c>
      <c r="J282">
        <f t="shared" si="25"/>
        <v>-6.9999999999998863</v>
      </c>
      <c r="R282">
        <v>281</v>
      </c>
      <c r="S282" s="4">
        <v>81.290000000000006</v>
      </c>
      <c r="T282">
        <f t="shared" si="26"/>
        <v>-10</v>
      </c>
      <c r="AC282">
        <v>281</v>
      </c>
      <c r="AD282">
        <v>66.31</v>
      </c>
      <c r="AE282">
        <f t="shared" si="27"/>
        <v>-6.8000000000000682</v>
      </c>
      <c r="AN282">
        <v>281</v>
      </c>
      <c r="AO282">
        <v>95.11</v>
      </c>
      <c r="AP282">
        <f t="shared" si="28"/>
        <v>21.599999999999966</v>
      </c>
      <c r="AY282">
        <v>281</v>
      </c>
      <c r="AZ282">
        <v>156.75</v>
      </c>
      <c r="BA282">
        <f t="shared" si="29"/>
        <v>0</v>
      </c>
    </row>
    <row r="283" spans="1:53" x14ac:dyDescent="0.25">
      <c r="A283">
        <v>283</v>
      </c>
      <c r="B283">
        <v>63.49</v>
      </c>
      <c r="C283">
        <f t="shared" si="24"/>
        <v>-3.7999999999999545</v>
      </c>
      <c r="H283">
        <v>283</v>
      </c>
      <c r="I283" s="4">
        <v>65.22</v>
      </c>
      <c r="J283">
        <f t="shared" si="25"/>
        <v>-2.4000000000000909</v>
      </c>
      <c r="R283">
        <v>282</v>
      </c>
      <c r="S283" s="4">
        <v>80.790000000000006</v>
      </c>
      <c r="T283">
        <f t="shared" si="26"/>
        <v>-10</v>
      </c>
      <c r="AC283">
        <v>282</v>
      </c>
      <c r="AD283">
        <v>66</v>
      </c>
      <c r="AE283">
        <f t="shared" si="27"/>
        <v>-6.2000000000000455</v>
      </c>
      <c r="AN283">
        <v>282</v>
      </c>
      <c r="AO283">
        <v>95.19</v>
      </c>
      <c r="AP283">
        <f t="shared" si="28"/>
        <v>1.5999999999999659</v>
      </c>
      <c r="AY283">
        <v>282</v>
      </c>
      <c r="AZ283">
        <v>156.51</v>
      </c>
      <c r="BA283">
        <f t="shared" si="29"/>
        <v>-4.8000000000001819</v>
      </c>
    </row>
    <row r="284" spans="1:53" x14ac:dyDescent="0.25">
      <c r="A284">
        <v>284</v>
      </c>
      <c r="B284">
        <v>63.18</v>
      </c>
      <c r="C284">
        <f t="shared" si="24"/>
        <v>-6.2000000000000455</v>
      </c>
      <c r="H284">
        <v>284</v>
      </c>
      <c r="I284" s="4">
        <v>65.260000000000005</v>
      </c>
      <c r="J284">
        <f t="shared" si="25"/>
        <v>0.80000000000012506</v>
      </c>
      <c r="R284">
        <v>283</v>
      </c>
      <c r="S284" s="4">
        <v>80.400000000000006</v>
      </c>
      <c r="T284">
        <f t="shared" si="26"/>
        <v>-7.8000000000000114</v>
      </c>
      <c r="AC284">
        <v>283</v>
      </c>
      <c r="AD284">
        <v>65.69</v>
      </c>
      <c r="AE284">
        <f t="shared" si="27"/>
        <v>-6.2000000000000455</v>
      </c>
      <c r="AN284">
        <v>283</v>
      </c>
      <c r="AO284">
        <v>94.92</v>
      </c>
      <c r="AP284">
        <f t="shared" si="28"/>
        <v>-5.3999999999999204</v>
      </c>
      <c r="AY284">
        <v>283</v>
      </c>
      <c r="AZ284">
        <v>156.01</v>
      </c>
      <c r="BA284">
        <f t="shared" si="29"/>
        <v>-10</v>
      </c>
    </row>
    <row r="285" spans="1:53" x14ac:dyDescent="0.25">
      <c r="A285">
        <v>285</v>
      </c>
      <c r="B285">
        <v>62.95</v>
      </c>
      <c r="C285">
        <f t="shared" si="24"/>
        <v>-4.5999999999999375</v>
      </c>
      <c r="H285">
        <v>285</v>
      </c>
      <c r="I285" s="4">
        <v>65.069999999999993</v>
      </c>
      <c r="J285">
        <f t="shared" si="25"/>
        <v>-3.8000000000002387</v>
      </c>
      <c r="R285">
        <v>284</v>
      </c>
      <c r="S285" s="4">
        <v>80.010000000000005</v>
      </c>
      <c r="T285">
        <f t="shared" si="26"/>
        <v>-7.8000000000000114</v>
      </c>
      <c r="AC285">
        <v>284</v>
      </c>
      <c r="AD285">
        <v>65.34</v>
      </c>
      <c r="AE285">
        <f t="shared" si="27"/>
        <v>-6.9999999999998863</v>
      </c>
      <c r="AN285">
        <v>284</v>
      </c>
      <c r="AO285">
        <v>94.42</v>
      </c>
      <c r="AP285">
        <f t="shared" si="28"/>
        <v>-10</v>
      </c>
      <c r="AY285">
        <v>284</v>
      </c>
      <c r="AZ285">
        <v>155.38999999999999</v>
      </c>
      <c r="BA285">
        <f t="shared" si="29"/>
        <v>-12.400000000000091</v>
      </c>
    </row>
    <row r="286" spans="1:53" x14ac:dyDescent="0.25">
      <c r="A286">
        <v>286</v>
      </c>
      <c r="B286">
        <v>62.68</v>
      </c>
      <c r="C286">
        <f t="shared" si="24"/>
        <v>-5.4000000000000625</v>
      </c>
      <c r="H286">
        <v>286</v>
      </c>
      <c r="I286" s="4">
        <v>64.95</v>
      </c>
      <c r="J286">
        <f t="shared" si="25"/>
        <v>-2.3999999999998067</v>
      </c>
      <c r="R286">
        <v>285</v>
      </c>
      <c r="S286" s="4">
        <v>79.59</v>
      </c>
      <c r="T286">
        <f t="shared" si="26"/>
        <v>-8.4000000000000341</v>
      </c>
      <c r="AC286">
        <v>285</v>
      </c>
      <c r="AD286">
        <v>64.989999999999995</v>
      </c>
      <c r="AE286">
        <f t="shared" si="27"/>
        <v>-7.0000000000001705</v>
      </c>
      <c r="AN286">
        <v>285</v>
      </c>
      <c r="AO286">
        <v>94.11</v>
      </c>
      <c r="AP286">
        <f t="shared" si="28"/>
        <v>-6.2000000000000455</v>
      </c>
      <c r="AY286">
        <v>285</v>
      </c>
      <c r="AZ286">
        <v>154.82</v>
      </c>
      <c r="BA286">
        <f t="shared" si="29"/>
        <v>-11.399999999999864</v>
      </c>
    </row>
    <row r="287" spans="1:53" x14ac:dyDescent="0.25">
      <c r="A287">
        <v>287</v>
      </c>
      <c r="B287">
        <v>62.37</v>
      </c>
      <c r="C287">
        <f t="shared" si="24"/>
        <v>-6.2000000000000455</v>
      </c>
      <c r="H287">
        <v>287</v>
      </c>
      <c r="I287" s="4">
        <v>64.64</v>
      </c>
      <c r="J287">
        <f t="shared" si="25"/>
        <v>-6.2000000000000455</v>
      </c>
      <c r="R287">
        <v>286</v>
      </c>
      <c r="S287" s="4">
        <v>79.13</v>
      </c>
      <c r="T287">
        <f t="shared" si="26"/>
        <v>-9.2000000000001592</v>
      </c>
      <c r="AC287">
        <v>286</v>
      </c>
      <c r="AD287">
        <v>64.64</v>
      </c>
      <c r="AE287">
        <f t="shared" si="27"/>
        <v>-6.9999999999998863</v>
      </c>
      <c r="AN287">
        <v>286</v>
      </c>
      <c r="AO287">
        <v>93.72</v>
      </c>
      <c r="AP287">
        <f t="shared" si="28"/>
        <v>-7.8000000000000114</v>
      </c>
      <c r="AY287">
        <v>286</v>
      </c>
      <c r="AZ287">
        <v>154.54</v>
      </c>
      <c r="BA287">
        <f t="shared" si="29"/>
        <v>-5.6000000000000227</v>
      </c>
    </row>
    <row r="288" spans="1:53" x14ac:dyDescent="0.25">
      <c r="A288">
        <v>288</v>
      </c>
      <c r="B288">
        <v>62.79</v>
      </c>
      <c r="C288">
        <f t="shared" si="24"/>
        <v>8.4000000000000341</v>
      </c>
      <c r="H288">
        <v>288</v>
      </c>
      <c r="I288" s="4">
        <v>64.45</v>
      </c>
      <c r="J288">
        <f t="shared" si="25"/>
        <v>-3.7999999999999545</v>
      </c>
      <c r="R288">
        <v>287</v>
      </c>
      <c r="S288" s="4">
        <v>78.62</v>
      </c>
      <c r="T288">
        <f t="shared" si="26"/>
        <v>-10.199999999999818</v>
      </c>
      <c r="AC288">
        <v>287</v>
      </c>
      <c r="AD288">
        <v>64.3</v>
      </c>
      <c r="AE288">
        <f t="shared" si="27"/>
        <v>-6.8000000000000682</v>
      </c>
      <c r="AN288">
        <v>287</v>
      </c>
      <c r="AO288">
        <v>93.45</v>
      </c>
      <c r="AP288">
        <f t="shared" si="28"/>
        <v>-5.3999999999999204</v>
      </c>
      <c r="AY288">
        <v>287</v>
      </c>
      <c r="AZ288">
        <v>154.43</v>
      </c>
      <c r="BA288">
        <f t="shared" si="29"/>
        <v>-2.1999999999997044</v>
      </c>
    </row>
    <row r="289" spans="1:53" x14ac:dyDescent="0.25">
      <c r="A289">
        <v>289</v>
      </c>
      <c r="B289">
        <v>63.14</v>
      </c>
      <c r="C289">
        <f t="shared" si="24"/>
        <v>7.0000000000000284</v>
      </c>
      <c r="H289">
        <v>289</v>
      </c>
      <c r="I289" s="4">
        <v>64.34</v>
      </c>
      <c r="J289">
        <f t="shared" si="25"/>
        <v>-2.1999999999999886</v>
      </c>
      <c r="R289">
        <v>288</v>
      </c>
      <c r="S289" s="4">
        <v>78.12</v>
      </c>
      <c r="T289">
        <f t="shared" si="26"/>
        <v>-10</v>
      </c>
      <c r="AC289">
        <v>288</v>
      </c>
      <c r="AD289">
        <v>63.91</v>
      </c>
      <c r="AE289">
        <f t="shared" si="27"/>
        <v>-7.8000000000000114</v>
      </c>
      <c r="AN289">
        <v>288</v>
      </c>
      <c r="AO289">
        <v>92.99</v>
      </c>
      <c r="AP289">
        <f t="shared" si="28"/>
        <v>-9.2000000000001592</v>
      </c>
      <c r="AY289">
        <v>288</v>
      </c>
      <c r="AZ289">
        <v>154.24</v>
      </c>
      <c r="BA289">
        <f t="shared" si="29"/>
        <v>-3.7999999999999545</v>
      </c>
    </row>
    <row r="290" spans="1:53" x14ac:dyDescent="0.25">
      <c r="A290">
        <v>290</v>
      </c>
      <c r="B290">
        <v>63.06</v>
      </c>
      <c r="C290">
        <f t="shared" si="24"/>
        <v>-1.5999999999999659</v>
      </c>
      <c r="H290">
        <v>290</v>
      </c>
      <c r="I290" s="4">
        <v>64.03</v>
      </c>
      <c r="J290">
        <f t="shared" si="25"/>
        <v>-6.2000000000000455</v>
      </c>
      <c r="R290">
        <v>289</v>
      </c>
      <c r="S290" s="4">
        <v>77.66</v>
      </c>
      <c r="T290">
        <f t="shared" si="26"/>
        <v>-9.2000000000001592</v>
      </c>
      <c r="AC290">
        <v>289</v>
      </c>
      <c r="AD290" s="2">
        <v>64.45</v>
      </c>
      <c r="AE290">
        <f t="shared" si="27"/>
        <v>10.800000000000125</v>
      </c>
      <c r="AN290">
        <v>289</v>
      </c>
      <c r="AO290">
        <v>92.49</v>
      </c>
      <c r="AP290">
        <f t="shared" si="28"/>
        <v>-10</v>
      </c>
      <c r="AY290">
        <v>289</v>
      </c>
      <c r="AZ290">
        <v>154.16</v>
      </c>
      <c r="BA290">
        <f t="shared" si="29"/>
        <v>-1.6000000000002501</v>
      </c>
    </row>
    <row r="291" spans="1:53" x14ac:dyDescent="0.25">
      <c r="A291">
        <v>291</v>
      </c>
      <c r="B291">
        <v>62.87</v>
      </c>
      <c r="C291">
        <f t="shared" si="24"/>
        <v>-3.8000000000000966</v>
      </c>
      <c r="H291">
        <v>291</v>
      </c>
      <c r="I291" s="4">
        <v>63.72</v>
      </c>
      <c r="J291">
        <f t="shared" si="25"/>
        <v>-6.2000000000000455</v>
      </c>
      <c r="R291">
        <v>290</v>
      </c>
      <c r="S291" s="6">
        <v>77.27</v>
      </c>
      <c r="T291">
        <f t="shared" si="26"/>
        <v>-7.8000000000000114</v>
      </c>
      <c r="AC291">
        <v>290</v>
      </c>
      <c r="AD291" s="2">
        <v>65.34</v>
      </c>
      <c r="AE291">
        <f t="shared" si="27"/>
        <v>17.800000000000011</v>
      </c>
      <c r="AN291">
        <v>290</v>
      </c>
      <c r="AO291">
        <v>92.06</v>
      </c>
      <c r="AP291">
        <f t="shared" si="28"/>
        <v>-8.5999999999998522</v>
      </c>
      <c r="AY291">
        <v>290</v>
      </c>
      <c r="AZ291">
        <v>153.93</v>
      </c>
      <c r="BA291">
        <f t="shared" si="29"/>
        <v>-4.5999999999997954</v>
      </c>
    </row>
    <row r="292" spans="1:53" x14ac:dyDescent="0.25">
      <c r="A292">
        <v>292</v>
      </c>
      <c r="B292">
        <v>62.68</v>
      </c>
      <c r="C292">
        <f t="shared" si="24"/>
        <v>-3.7999999999999545</v>
      </c>
      <c r="H292">
        <v>292</v>
      </c>
      <c r="I292" s="4">
        <v>63.49</v>
      </c>
      <c r="J292">
        <f t="shared" si="25"/>
        <v>-4.5999999999999375</v>
      </c>
      <c r="R292">
        <v>291</v>
      </c>
      <c r="S292" s="6">
        <v>77.81</v>
      </c>
      <c r="T292">
        <f t="shared" si="26"/>
        <v>10.800000000000125</v>
      </c>
      <c r="AC292">
        <v>291</v>
      </c>
      <c r="AD292" s="2">
        <v>65.38</v>
      </c>
      <c r="AE292">
        <f t="shared" si="27"/>
        <v>0.79999999999984084</v>
      </c>
      <c r="AN292">
        <v>291</v>
      </c>
      <c r="AO292">
        <v>91.64</v>
      </c>
      <c r="AP292">
        <f t="shared" si="28"/>
        <v>-8.4000000000000341</v>
      </c>
      <c r="AY292">
        <v>291</v>
      </c>
      <c r="AZ292">
        <v>153.69999999999999</v>
      </c>
      <c r="BA292">
        <f t="shared" si="29"/>
        <v>-4.6000000000003638</v>
      </c>
    </row>
    <row r="293" spans="1:53" x14ac:dyDescent="0.25">
      <c r="A293">
        <v>293</v>
      </c>
      <c r="B293">
        <v>62.29</v>
      </c>
      <c r="C293">
        <f t="shared" si="24"/>
        <v>-7.8000000000000114</v>
      </c>
      <c r="H293">
        <v>293</v>
      </c>
      <c r="I293" s="4">
        <v>63.29</v>
      </c>
      <c r="J293">
        <f t="shared" si="25"/>
        <v>-4.0000000000000568</v>
      </c>
      <c r="R293">
        <v>292</v>
      </c>
      <c r="S293" s="6">
        <v>79.09</v>
      </c>
      <c r="T293">
        <f t="shared" si="26"/>
        <v>25.600000000000023</v>
      </c>
      <c r="AC293">
        <v>292</v>
      </c>
      <c r="AD293">
        <v>65.19</v>
      </c>
      <c r="AE293">
        <f t="shared" si="27"/>
        <v>-3.7999999999999545</v>
      </c>
      <c r="AN293">
        <v>292</v>
      </c>
      <c r="AO293">
        <v>91.44</v>
      </c>
      <c r="AP293">
        <f t="shared" si="28"/>
        <v>-4.0000000000000568</v>
      </c>
      <c r="AY293">
        <v>292</v>
      </c>
      <c r="AZ293">
        <v>153.5</v>
      </c>
      <c r="BA293">
        <f t="shared" si="29"/>
        <v>-3.9999999999997726</v>
      </c>
    </row>
    <row r="294" spans="1:53" x14ac:dyDescent="0.25">
      <c r="A294">
        <v>294</v>
      </c>
      <c r="B294">
        <v>62.1</v>
      </c>
      <c r="C294">
        <f t="shared" si="24"/>
        <v>-3.7999999999999545</v>
      </c>
      <c r="H294">
        <v>294</v>
      </c>
      <c r="I294" s="4">
        <v>63.1</v>
      </c>
      <c r="J294">
        <f t="shared" si="25"/>
        <v>-3.7999999999999545</v>
      </c>
      <c r="R294">
        <v>293</v>
      </c>
      <c r="S294" s="6">
        <v>79.239999999999995</v>
      </c>
      <c r="T294">
        <f t="shared" si="26"/>
        <v>2.9999999999998295</v>
      </c>
      <c r="AC294">
        <v>293</v>
      </c>
      <c r="AD294">
        <v>64.92</v>
      </c>
      <c r="AE294">
        <f t="shared" si="27"/>
        <v>-5.3999999999999204</v>
      </c>
      <c r="AN294">
        <v>293</v>
      </c>
      <c r="AO294">
        <v>92.22</v>
      </c>
      <c r="AP294">
        <f t="shared" si="28"/>
        <v>15.600000000000023</v>
      </c>
      <c r="AY294">
        <v>293</v>
      </c>
      <c r="AZ294">
        <v>153.22999999999999</v>
      </c>
      <c r="BA294">
        <f t="shared" si="29"/>
        <v>-5.4000000000002046</v>
      </c>
    </row>
    <row r="295" spans="1:53" x14ac:dyDescent="0.25">
      <c r="A295">
        <v>295</v>
      </c>
      <c r="B295">
        <v>61.86</v>
      </c>
      <c r="C295">
        <f t="shared" si="24"/>
        <v>-4.8000000000000398</v>
      </c>
      <c r="H295">
        <v>295</v>
      </c>
      <c r="I295" s="4">
        <v>62.95</v>
      </c>
      <c r="J295">
        <f t="shared" si="25"/>
        <v>-2.9999999999999716</v>
      </c>
      <c r="R295">
        <v>294</v>
      </c>
      <c r="S295" s="4">
        <v>79.010000000000005</v>
      </c>
      <c r="T295">
        <f t="shared" si="26"/>
        <v>-4.5999999999997954</v>
      </c>
      <c r="AC295">
        <v>294</v>
      </c>
      <c r="AD295">
        <v>64.45</v>
      </c>
      <c r="AE295">
        <f t="shared" si="27"/>
        <v>-9.3999999999999773</v>
      </c>
      <c r="AN295">
        <v>294</v>
      </c>
      <c r="AO295">
        <v>92.84</v>
      </c>
      <c r="AP295">
        <f t="shared" si="28"/>
        <v>12.400000000000091</v>
      </c>
      <c r="AY295">
        <v>294</v>
      </c>
      <c r="AZ295">
        <v>152.96</v>
      </c>
      <c r="BA295">
        <f t="shared" si="29"/>
        <v>-5.3999999999996362</v>
      </c>
    </row>
    <row r="296" spans="1:53" x14ac:dyDescent="0.25">
      <c r="A296">
        <v>296</v>
      </c>
      <c r="B296">
        <v>61.67</v>
      </c>
      <c r="C296">
        <f t="shared" si="24"/>
        <v>-3.7999999999999545</v>
      </c>
      <c r="H296">
        <v>296</v>
      </c>
      <c r="I296" s="4">
        <v>62.75</v>
      </c>
      <c r="J296">
        <f t="shared" si="25"/>
        <v>-4.0000000000000568</v>
      </c>
      <c r="R296">
        <v>295</v>
      </c>
      <c r="S296" s="4">
        <v>78.66</v>
      </c>
      <c r="T296">
        <f t="shared" si="26"/>
        <v>-7.0000000000001705</v>
      </c>
      <c r="AC296">
        <v>295</v>
      </c>
      <c r="AD296">
        <v>64.14</v>
      </c>
      <c r="AE296">
        <f t="shared" si="27"/>
        <v>-6.2000000000000455</v>
      </c>
      <c r="AN296">
        <v>295</v>
      </c>
      <c r="AO296">
        <v>92.87</v>
      </c>
      <c r="AP296">
        <f t="shared" si="28"/>
        <v>0.60000000000002274</v>
      </c>
      <c r="AY296">
        <v>295</v>
      </c>
      <c r="AZ296">
        <v>152.81</v>
      </c>
      <c r="BA296">
        <f t="shared" si="29"/>
        <v>-3.0000000000001137</v>
      </c>
    </row>
    <row r="297" spans="1:53" x14ac:dyDescent="0.25">
      <c r="A297">
        <v>297</v>
      </c>
      <c r="B297">
        <v>61.48</v>
      </c>
      <c r="C297">
        <f t="shared" si="24"/>
        <v>-3.8000000000000966</v>
      </c>
      <c r="H297">
        <v>297</v>
      </c>
      <c r="I297" s="4">
        <v>62.75</v>
      </c>
      <c r="J297">
        <f t="shared" si="25"/>
        <v>0</v>
      </c>
      <c r="R297">
        <v>296</v>
      </c>
      <c r="S297" s="4">
        <v>78.010000000000005</v>
      </c>
      <c r="T297">
        <f t="shared" si="26"/>
        <v>-12.999999999999829</v>
      </c>
      <c r="AC297">
        <v>296</v>
      </c>
      <c r="AD297">
        <v>64.03</v>
      </c>
      <c r="AE297">
        <f t="shared" si="27"/>
        <v>-2.1999999999999886</v>
      </c>
      <c r="AN297">
        <v>296</v>
      </c>
      <c r="AO297">
        <v>92.56</v>
      </c>
      <c r="AP297">
        <f t="shared" si="28"/>
        <v>-6.2000000000000455</v>
      </c>
      <c r="AY297">
        <v>296</v>
      </c>
      <c r="AZ297">
        <v>152.69</v>
      </c>
      <c r="BA297">
        <f t="shared" si="29"/>
        <v>-2.4000000000000909</v>
      </c>
    </row>
    <row r="298" spans="1:53" x14ac:dyDescent="0.25">
      <c r="A298">
        <v>298</v>
      </c>
      <c r="B298">
        <v>61.13</v>
      </c>
      <c r="C298">
        <f t="shared" si="24"/>
        <v>-6.9999999999998863</v>
      </c>
      <c r="H298">
        <v>298</v>
      </c>
      <c r="I298" s="4">
        <v>62.95</v>
      </c>
      <c r="J298">
        <f t="shared" si="25"/>
        <v>4.0000000000000568</v>
      </c>
      <c r="R298">
        <v>297</v>
      </c>
      <c r="S298" s="4">
        <v>77.7</v>
      </c>
      <c r="T298">
        <f t="shared" si="26"/>
        <v>-6.2000000000000455</v>
      </c>
      <c r="AC298">
        <v>297</v>
      </c>
      <c r="AD298">
        <v>63.6</v>
      </c>
      <c r="AE298">
        <f t="shared" si="27"/>
        <v>-8.5999999999999943</v>
      </c>
      <c r="AN298">
        <v>297</v>
      </c>
      <c r="AO298">
        <v>92.1</v>
      </c>
      <c r="AP298">
        <f t="shared" si="28"/>
        <v>-9.2000000000001592</v>
      </c>
      <c r="AY298">
        <v>297</v>
      </c>
      <c r="AZ298" s="2">
        <v>152.5</v>
      </c>
      <c r="BA298">
        <f t="shared" si="29"/>
        <v>-3.7999999999999545</v>
      </c>
    </row>
    <row r="299" spans="1:53" x14ac:dyDescent="0.25">
      <c r="A299">
        <v>299</v>
      </c>
      <c r="B299">
        <v>60.9</v>
      </c>
      <c r="C299">
        <f t="shared" si="24"/>
        <v>-4.6000000000000796</v>
      </c>
      <c r="H299">
        <v>299</v>
      </c>
      <c r="I299" s="4">
        <v>62.95</v>
      </c>
      <c r="J299">
        <f t="shared" si="25"/>
        <v>0</v>
      </c>
      <c r="R299">
        <v>298</v>
      </c>
      <c r="S299" s="4">
        <v>77.27</v>
      </c>
      <c r="T299">
        <f t="shared" si="26"/>
        <v>-8.6000000000001364</v>
      </c>
      <c r="AC299">
        <v>298</v>
      </c>
      <c r="AD299">
        <v>63.37</v>
      </c>
      <c r="AE299">
        <f t="shared" si="27"/>
        <v>-4.6000000000000796</v>
      </c>
      <c r="AN299">
        <v>298</v>
      </c>
      <c r="AO299">
        <v>91.79</v>
      </c>
      <c r="AP299">
        <f t="shared" si="28"/>
        <v>-6.1999999999997613</v>
      </c>
      <c r="AY299">
        <v>298</v>
      </c>
      <c r="AZ299" s="2">
        <v>152.65</v>
      </c>
      <c r="BA299">
        <f t="shared" si="29"/>
        <v>3.0000000000001137</v>
      </c>
    </row>
    <row r="300" spans="1:53" x14ac:dyDescent="0.25">
      <c r="A300">
        <v>300</v>
      </c>
      <c r="B300">
        <v>60.71</v>
      </c>
      <c r="C300">
        <f t="shared" si="24"/>
        <v>-3.7999999999999545</v>
      </c>
      <c r="H300">
        <v>300</v>
      </c>
      <c r="I300" s="4">
        <v>62.95</v>
      </c>
      <c r="J300">
        <f t="shared" si="25"/>
        <v>0</v>
      </c>
      <c r="R300">
        <v>299</v>
      </c>
      <c r="S300" s="4">
        <v>76.92</v>
      </c>
      <c r="T300">
        <f t="shared" si="26"/>
        <v>-6.9999999999998863</v>
      </c>
      <c r="AC300">
        <v>299</v>
      </c>
      <c r="AD300">
        <v>63.06</v>
      </c>
      <c r="AE300">
        <f t="shared" si="27"/>
        <v>-6.1999999999999034</v>
      </c>
      <c r="AN300">
        <v>299</v>
      </c>
      <c r="AO300">
        <v>91.56</v>
      </c>
      <c r="AP300">
        <f t="shared" si="28"/>
        <v>-4.6000000000000796</v>
      </c>
      <c r="AY300">
        <v>299</v>
      </c>
      <c r="AZ300" s="2">
        <v>153.22999999999999</v>
      </c>
      <c r="BA300">
        <f t="shared" si="29"/>
        <v>11.599999999999682</v>
      </c>
    </row>
    <row r="301" spans="1:53" x14ac:dyDescent="0.25">
      <c r="A301">
        <v>301</v>
      </c>
      <c r="B301">
        <v>60.51</v>
      </c>
      <c r="C301">
        <f t="shared" si="24"/>
        <v>-4.0000000000000568</v>
      </c>
      <c r="H301">
        <v>301</v>
      </c>
      <c r="I301" s="4">
        <v>62.79</v>
      </c>
      <c r="J301">
        <f t="shared" si="25"/>
        <v>-3.2000000000000739</v>
      </c>
      <c r="R301">
        <v>300</v>
      </c>
      <c r="S301" s="4">
        <v>76.5</v>
      </c>
      <c r="T301">
        <f t="shared" si="26"/>
        <v>-8.4000000000000341</v>
      </c>
      <c r="AC301">
        <v>300</v>
      </c>
      <c r="AD301">
        <v>62.79</v>
      </c>
      <c r="AE301">
        <f t="shared" si="27"/>
        <v>-5.4000000000000625</v>
      </c>
      <c r="AN301">
        <v>300</v>
      </c>
      <c r="AO301">
        <v>91.17</v>
      </c>
      <c r="AP301">
        <f t="shared" si="28"/>
        <v>-7.8000000000000114</v>
      </c>
      <c r="AY301">
        <v>300</v>
      </c>
      <c r="AZ301" s="2">
        <v>153.69999999999999</v>
      </c>
      <c r="BA301">
        <f t="shared" si="29"/>
        <v>9.3999999999999773</v>
      </c>
    </row>
    <row r="302" spans="1:53" x14ac:dyDescent="0.25">
      <c r="A302">
        <v>302</v>
      </c>
      <c r="B302">
        <v>60.24</v>
      </c>
      <c r="C302">
        <f t="shared" si="24"/>
        <v>-5.3999999999999204</v>
      </c>
      <c r="H302">
        <v>302</v>
      </c>
      <c r="I302" s="4">
        <v>62.56</v>
      </c>
      <c r="J302">
        <f t="shared" si="25"/>
        <v>-4.5999999999999375</v>
      </c>
      <c r="R302">
        <v>301</v>
      </c>
      <c r="S302" s="4">
        <v>76.08</v>
      </c>
      <c r="T302">
        <f t="shared" si="26"/>
        <v>-8.4000000000000341</v>
      </c>
      <c r="AC302">
        <v>301</v>
      </c>
      <c r="AD302">
        <v>62.52</v>
      </c>
      <c r="AE302">
        <f t="shared" si="27"/>
        <v>-5.3999999999999204</v>
      </c>
      <c r="AN302">
        <v>301</v>
      </c>
      <c r="AO302">
        <v>90.83</v>
      </c>
      <c r="AP302">
        <f t="shared" si="28"/>
        <v>-6.8000000000000682</v>
      </c>
      <c r="AY302">
        <v>301</v>
      </c>
      <c r="AZ302" s="2">
        <v>153.81</v>
      </c>
      <c r="BA302">
        <f t="shared" si="29"/>
        <v>2.2000000000002728</v>
      </c>
    </row>
    <row r="303" spans="1:53" x14ac:dyDescent="0.25">
      <c r="A303">
        <v>303</v>
      </c>
      <c r="B303">
        <v>60.09</v>
      </c>
      <c r="C303">
        <f t="shared" si="24"/>
        <v>-2.9999999999999716</v>
      </c>
      <c r="H303">
        <v>303</v>
      </c>
      <c r="I303" s="4">
        <v>62.29</v>
      </c>
      <c r="J303">
        <f t="shared" si="25"/>
        <v>-5.4000000000000625</v>
      </c>
      <c r="R303">
        <v>302</v>
      </c>
      <c r="S303" s="4">
        <v>75.650000000000006</v>
      </c>
      <c r="T303">
        <f t="shared" si="26"/>
        <v>-8.5999999999998522</v>
      </c>
      <c r="AC303">
        <v>302</v>
      </c>
      <c r="AD303">
        <v>62.21</v>
      </c>
      <c r="AE303">
        <f t="shared" si="27"/>
        <v>-6.2000000000000455</v>
      </c>
      <c r="AN303">
        <v>302</v>
      </c>
      <c r="AO303">
        <v>90.44</v>
      </c>
      <c r="AP303">
        <f t="shared" si="28"/>
        <v>-7.8000000000000114</v>
      </c>
      <c r="AY303">
        <v>302</v>
      </c>
      <c r="AZ303">
        <v>153.58000000000001</v>
      </c>
      <c r="BA303">
        <f t="shared" si="29"/>
        <v>-4.5999999999997954</v>
      </c>
    </row>
    <row r="304" spans="1:53" x14ac:dyDescent="0.25">
      <c r="A304">
        <v>304</v>
      </c>
      <c r="B304">
        <v>59.78</v>
      </c>
      <c r="C304">
        <f t="shared" si="24"/>
        <v>-6.2000000000000455</v>
      </c>
      <c r="H304">
        <v>304</v>
      </c>
      <c r="I304" s="4">
        <v>62.1</v>
      </c>
      <c r="J304">
        <f t="shared" si="25"/>
        <v>-3.7999999999999545</v>
      </c>
      <c r="R304">
        <v>303</v>
      </c>
      <c r="S304" s="4">
        <v>75.23</v>
      </c>
      <c r="T304">
        <f t="shared" si="26"/>
        <v>-8.4000000000000341</v>
      </c>
      <c r="AC304">
        <v>303</v>
      </c>
      <c r="AD304">
        <v>61.86</v>
      </c>
      <c r="AE304">
        <f t="shared" si="27"/>
        <v>-7.0000000000000284</v>
      </c>
      <c r="AN304">
        <v>303</v>
      </c>
      <c r="AO304">
        <v>90.13</v>
      </c>
      <c r="AP304">
        <f t="shared" si="28"/>
        <v>-6.2000000000000455</v>
      </c>
      <c r="AY304">
        <v>303</v>
      </c>
      <c r="AZ304">
        <v>153</v>
      </c>
      <c r="BA304">
        <f t="shared" si="29"/>
        <v>-11.60000000000025</v>
      </c>
    </row>
    <row r="305" spans="1:53" x14ac:dyDescent="0.25">
      <c r="A305">
        <v>305</v>
      </c>
      <c r="B305">
        <v>59.59</v>
      </c>
      <c r="C305">
        <f t="shared" si="24"/>
        <v>-3.7999999999999545</v>
      </c>
      <c r="H305">
        <v>305</v>
      </c>
      <c r="I305" s="4">
        <v>61.75</v>
      </c>
      <c r="J305">
        <f t="shared" si="25"/>
        <v>-7.0000000000000284</v>
      </c>
      <c r="R305">
        <v>304</v>
      </c>
      <c r="S305" s="4">
        <v>74.760000000000005</v>
      </c>
      <c r="T305">
        <f t="shared" si="26"/>
        <v>-9.3999999999999773</v>
      </c>
      <c r="AC305">
        <v>304</v>
      </c>
      <c r="AD305">
        <v>61.67</v>
      </c>
      <c r="AE305">
        <f t="shared" si="27"/>
        <v>-3.7999999999999545</v>
      </c>
      <c r="AN305">
        <v>304</v>
      </c>
      <c r="AO305">
        <v>89.67</v>
      </c>
      <c r="AP305">
        <f t="shared" si="28"/>
        <v>-9.1999999999998749</v>
      </c>
      <c r="AY305">
        <v>304</v>
      </c>
      <c r="AZ305">
        <v>152.41999999999999</v>
      </c>
      <c r="BA305">
        <f t="shared" si="29"/>
        <v>-11.60000000000025</v>
      </c>
    </row>
    <row r="306" spans="1:53" x14ac:dyDescent="0.25">
      <c r="A306">
        <v>306</v>
      </c>
      <c r="B306">
        <v>59.39</v>
      </c>
      <c r="C306">
        <f t="shared" si="24"/>
        <v>-4.0000000000000568</v>
      </c>
      <c r="H306">
        <v>306</v>
      </c>
      <c r="I306" s="4">
        <v>61.56</v>
      </c>
      <c r="J306">
        <f t="shared" si="25"/>
        <v>-3.7999999999999545</v>
      </c>
      <c r="R306">
        <v>305</v>
      </c>
      <c r="S306" s="6">
        <v>74.38</v>
      </c>
      <c r="T306">
        <f t="shared" si="26"/>
        <v>-7.6000000000001933</v>
      </c>
      <c r="AC306">
        <v>305</v>
      </c>
      <c r="AD306">
        <v>61.44</v>
      </c>
      <c r="AE306">
        <f t="shared" si="27"/>
        <v>-4.6000000000000796</v>
      </c>
      <c r="AN306">
        <v>305</v>
      </c>
      <c r="AO306">
        <v>89.9</v>
      </c>
      <c r="AP306">
        <f t="shared" si="28"/>
        <v>4.6000000000000796</v>
      </c>
      <c r="AY306">
        <v>305</v>
      </c>
      <c r="AZ306">
        <v>151.76</v>
      </c>
      <c r="BA306">
        <f t="shared" si="29"/>
        <v>-13.199999999999932</v>
      </c>
    </row>
    <row r="307" spans="1:53" x14ac:dyDescent="0.25">
      <c r="A307">
        <v>307</v>
      </c>
      <c r="B307">
        <v>59.16</v>
      </c>
      <c r="C307">
        <f t="shared" si="24"/>
        <v>-4.6000000000000796</v>
      </c>
      <c r="H307">
        <v>307</v>
      </c>
      <c r="I307" s="4">
        <v>61.36</v>
      </c>
      <c r="J307">
        <f t="shared" si="25"/>
        <v>-4.0000000000000568</v>
      </c>
      <c r="R307">
        <v>306</v>
      </c>
      <c r="S307" s="6">
        <v>75.5</v>
      </c>
      <c r="T307">
        <f t="shared" si="26"/>
        <v>22.400000000000091</v>
      </c>
      <c r="AC307">
        <v>306</v>
      </c>
      <c r="AD307">
        <v>60.98</v>
      </c>
      <c r="AE307">
        <f t="shared" si="27"/>
        <v>-9.2000000000000171</v>
      </c>
      <c r="AN307">
        <v>306</v>
      </c>
      <c r="AO307">
        <v>90.75</v>
      </c>
      <c r="AP307">
        <f t="shared" si="28"/>
        <v>16.999999999999886</v>
      </c>
      <c r="AY307">
        <v>306</v>
      </c>
      <c r="AZ307">
        <v>151.46</v>
      </c>
      <c r="BA307">
        <f t="shared" si="29"/>
        <v>-5.9999999999996589</v>
      </c>
    </row>
    <row r="308" spans="1:53" x14ac:dyDescent="0.25">
      <c r="A308">
        <v>308</v>
      </c>
      <c r="B308">
        <v>58.85</v>
      </c>
      <c r="C308">
        <f t="shared" si="24"/>
        <v>-6.1999999999999034</v>
      </c>
      <c r="H308">
        <v>308</v>
      </c>
      <c r="I308" s="4">
        <v>61.09</v>
      </c>
      <c r="J308">
        <f t="shared" si="25"/>
        <v>-5.3999999999999204</v>
      </c>
      <c r="R308">
        <v>307</v>
      </c>
      <c r="S308" s="6">
        <v>75.959999999999994</v>
      </c>
      <c r="T308">
        <f t="shared" si="26"/>
        <v>9.1999999999998749</v>
      </c>
      <c r="AC308">
        <v>307</v>
      </c>
      <c r="AD308">
        <v>60.9</v>
      </c>
      <c r="AE308">
        <f t="shared" si="27"/>
        <v>-1.5999999999999659</v>
      </c>
      <c r="AN308">
        <v>307</v>
      </c>
      <c r="AO308">
        <v>90.87</v>
      </c>
      <c r="AP308">
        <f t="shared" si="28"/>
        <v>2.4000000000000909</v>
      </c>
      <c r="AY308">
        <v>307</v>
      </c>
      <c r="AZ308">
        <v>151.30000000000001</v>
      </c>
      <c r="BA308">
        <f t="shared" si="29"/>
        <v>-3.1999999999999318</v>
      </c>
    </row>
    <row r="309" spans="1:53" x14ac:dyDescent="0.25">
      <c r="A309">
        <v>309</v>
      </c>
      <c r="B309">
        <v>59.39</v>
      </c>
      <c r="C309">
        <f t="shared" si="24"/>
        <v>10.799999999999983</v>
      </c>
      <c r="H309">
        <v>309</v>
      </c>
      <c r="I309" s="4">
        <v>60.9</v>
      </c>
      <c r="J309">
        <f t="shared" si="25"/>
        <v>-3.8000000000000966</v>
      </c>
      <c r="R309">
        <v>308</v>
      </c>
      <c r="S309" s="4">
        <v>75.959999999999994</v>
      </c>
      <c r="T309">
        <f t="shared" si="26"/>
        <v>0</v>
      </c>
      <c r="AC309">
        <v>308</v>
      </c>
      <c r="AD309">
        <v>61.63</v>
      </c>
      <c r="AE309">
        <f t="shared" si="27"/>
        <v>14.60000000000008</v>
      </c>
      <c r="AN309">
        <v>308</v>
      </c>
      <c r="AO309">
        <v>90.75</v>
      </c>
      <c r="AP309">
        <f t="shared" si="28"/>
        <v>-2.4000000000000909</v>
      </c>
      <c r="AY309">
        <v>308</v>
      </c>
      <c r="AZ309">
        <v>151.15</v>
      </c>
      <c r="BA309">
        <f t="shared" si="29"/>
        <v>-3.0000000000001137</v>
      </c>
    </row>
    <row r="310" spans="1:53" x14ac:dyDescent="0.25">
      <c r="A310">
        <v>310</v>
      </c>
      <c r="B310">
        <v>59.59</v>
      </c>
      <c r="C310">
        <f t="shared" si="24"/>
        <v>4.0000000000000568</v>
      </c>
      <c r="H310">
        <v>310</v>
      </c>
      <c r="I310" s="4">
        <v>60.59</v>
      </c>
      <c r="J310">
        <f t="shared" si="25"/>
        <v>-6.1999999999999034</v>
      </c>
      <c r="R310">
        <v>309</v>
      </c>
      <c r="S310" s="4">
        <v>75.69</v>
      </c>
      <c r="T310">
        <f t="shared" si="26"/>
        <v>-5.3999999999999204</v>
      </c>
      <c r="AC310">
        <v>309</v>
      </c>
      <c r="AD310">
        <v>61.79</v>
      </c>
      <c r="AE310">
        <f t="shared" si="27"/>
        <v>3.1999999999999318</v>
      </c>
      <c r="AN310">
        <v>309</v>
      </c>
      <c r="AO310">
        <v>90.29</v>
      </c>
      <c r="AP310">
        <f t="shared" si="28"/>
        <v>-9.1999999999998749</v>
      </c>
      <c r="AY310">
        <v>309</v>
      </c>
      <c r="AZ310">
        <v>151.03</v>
      </c>
      <c r="BA310">
        <f t="shared" si="29"/>
        <v>-2.4000000000000909</v>
      </c>
    </row>
    <row r="311" spans="1:53" x14ac:dyDescent="0.25">
      <c r="A311">
        <v>311</v>
      </c>
      <c r="B311">
        <v>59.51</v>
      </c>
      <c r="C311">
        <f t="shared" si="24"/>
        <v>-1.600000000000108</v>
      </c>
      <c r="H311">
        <v>311</v>
      </c>
      <c r="I311" s="4">
        <v>60.32</v>
      </c>
      <c r="J311">
        <f t="shared" si="25"/>
        <v>-5.4000000000000625</v>
      </c>
      <c r="R311">
        <v>310</v>
      </c>
      <c r="S311" s="4">
        <v>75.23</v>
      </c>
      <c r="T311">
        <f t="shared" si="26"/>
        <v>-9.1999999999998749</v>
      </c>
      <c r="AC311">
        <v>310</v>
      </c>
      <c r="AD311">
        <v>61.63</v>
      </c>
      <c r="AE311">
        <f t="shared" si="27"/>
        <v>-3.1999999999999318</v>
      </c>
      <c r="AN311">
        <v>310</v>
      </c>
      <c r="AO311">
        <v>89.94</v>
      </c>
      <c r="AP311">
        <f t="shared" si="28"/>
        <v>-7.0000000000001705</v>
      </c>
      <c r="AY311">
        <v>310</v>
      </c>
      <c r="AZ311">
        <v>150.84</v>
      </c>
      <c r="BA311">
        <f t="shared" si="29"/>
        <v>-3.7999999999999545</v>
      </c>
    </row>
    <row r="312" spans="1:53" x14ac:dyDescent="0.25">
      <c r="A312">
        <v>312</v>
      </c>
      <c r="B312">
        <v>59.28</v>
      </c>
      <c r="C312">
        <f t="shared" si="24"/>
        <v>-4.5999999999999375</v>
      </c>
      <c r="H312">
        <v>312</v>
      </c>
      <c r="I312" s="4">
        <v>57.58</v>
      </c>
      <c r="J312">
        <f t="shared" si="25"/>
        <v>-54.80000000000004</v>
      </c>
      <c r="R312">
        <v>311</v>
      </c>
      <c r="S312" s="4">
        <v>74.760000000000005</v>
      </c>
      <c r="T312">
        <f t="shared" si="26"/>
        <v>-9.3999999999999773</v>
      </c>
      <c r="AC312">
        <v>311</v>
      </c>
      <c r="AD312">
        <v>61.48</v>
      </c>
      <c r="AE312">
        <f t="shared" si="27"/>
        <v>-3.0000000000001137</v>
      </c>
      <c r="AN312">
        <v>311</v>
      </c>
      <c r="AO312">
        <v>89.71</v>
      </c>
      <c r="AP312">
        <f t="shared" si="28"/>
        <v>-4.6000000000000796</v>
      </c>
      <c r="AY312">
        <v>311</v>
      </c>
      <c r="AZ312">
        <v>150.53</v>
      </c>
      <c r="BA312">
        <f t="shared" si="29"/>
        <v>-6.2000000000000455</v>
      </c>
    </row>
    <row r="313" spans="1:53" x14ac:dyDescent="0.25">
      <c r="A313">
        <v>313</v>
      </c>
      <c r="B313">
        <v>59.08</v>
      </c>
      <c r="C313">
        <f t="shared" si="24"/>
        <v>-4.0000000000000568</v>
      </c>
      <c r="H313">
        <v>313</v>
      </c>
      <c r="I313" s="4">
        <v>49.55</v>
      </c>
      <c r="J313">
        <f t="shared" si="25"/>
        <v>-160.60000000000002</v>
      </c>
      <c r="R313">
        <v>312</v>
      </c>
      <c r="S313" s="4">
        <v>74.489999999999995</v>
      </c>
      <c r="T313">
        <f t="shared" si="26"/>
        <v>-5.4000000000002046</v>
      </c>
      <c r="AC313">
        <v>312</v>
      </c>
      <c r="AD313">
        <v>61.01</v>
      </c>
      <c r="AE313">
        <f t="shared" si="27"/>
        <v>-9.3999999999999773</v>
      </c>
      <c r="AN313">
        <v>312</v>
      </c>
      <c r="AO313">
        <v>89.51</v>
      </c>
      <c r="AP313">
        <f t="shared" si="28"/>
        <v>-3.9999999999997726</v>
      </c>
      <c r="AY313">
        <v>312</v>
      </c>
      <c r="AZ313">
        <v>150.26</v>
      </c>
      <c r="BA313">
        <f t="shared" si="29"/>
        <v>-5.4000000000002046</v>
      </c>
    </row>
    <row r="314" spans="1:53" x14ac:dyDescent="0.25">
      <c r="A314">
        <v>314</v>
      </c>
      <c r="B314">
        <v>58.81</v>
      </c>
      <c r="C314">
        <f t="shared" si="24"/>
        <v>-5.3999999999999204</v>
      </c>
      <c r="H314">
        <v>314</v>
      </c>
      <c r="I314" s="4">
        <v>43.83</v>
      </c>
      <c r="J314">
        <f t="shared" si="25"/>
        <v>-114.39999999999998</v>
      </c>
      <c r="R314">
        <v>313</v>
      </c>
      <c r="S314" s="4">
        <v>74.11</v>
      </c>
      <c r="T314">
        <f t="shared" si="26"/>
        <v>-7.5999999999999091</v>
      </c>
      <c r="AC314">
        <v>313</v>
      </c>
      <c r="AD314">
        <v>60.82</v>
      </c>
      <c r="AE314">
        <f t="shared" si="27"/>
        <v>-3.7999999999999545</v>
      </c>
      <c r="AN314">
        <v>313</v>
      </c>
      <c r="AO314">
        <v>89.13</v>
      </c>
      <c r="AP314">
        <f t="shared" si="28"/>
        <v>-7.6000000000001933</v>
      </c>
      <c r="AY314">
        <v>313</v>
      </c>
      <c r="AZ314">
        <v>150.07</v>
      </c>
      <c r="BA314">
        <f t="shared" si="29"/>
        <v>-3.7999999999999545</v>
      </c>
    </row>
    <row r="315" spans="1:53" x14ac:dyDescent="0.25">
      <c r="A315">
        <v>315</v>
      </c>
      <c r="B315">
        <v>58.66</v>
      </c>
      <c r="C315">
        <f t="shared" si="24"/>
        <v>-3.0000000000001137</v>
      </c>
      <c r="H315">
        <v>315</v>
      </c>
      <c r="I315" s="4">
        <v>39.200000000000003</v>
      </c>
      <c r="J315">
        <f t="shared" si="25"/>
        <v>-92.599999999999909</v>
      </c>
      <c r="R315">
        <v>314</v>
      </c>
      <c r="S315" s="4">
        <v>73.760000000000005</v>
      </c>
      <c r="T315">
        <f t="shared" si="26"/>
        <v>-6.9999999999998863</v>
      </c>
      <c r="AC315">
        <v>314</v>
      </c>
      <c r="AD315">
        <v>60.59</v>
      </c>
      <c r="AE315">
        <f t="shared" si="27"/>
        <v>-4.5999999999999375</v>
      </c>
      <c r="AN315">
        <v>314</v>
      </c>
      <c r="AO315">
        <v>88.78</v>
      </c>
      <c r="AP315">
        <f t="shared" si="28"/>
        <v>-6.9999999999998863</v>
      </c>
      <c r="AY315">
        <v>314</v>
      </c>
      <c r="AZ315">
        <v>149.87</v>
      </c>
      <c r="BA315">
        <f t="shared" si="29"/>
        <v>-3.9999999999997726</v>
      </c>
    </row>
    <row r="316" spans="1:53" x14ac:dyDescent="0.25">
      <c r="A316">
        <v>316</v>
      </c>
      <c r="B316">
        <v>58.39</v>
      </c>
      <c r="C316">
        <f t="shared" si="24"/>
        <v>-5.3999999999999204</v>
      </c>
      <c r="H316">
        <v>316</v>
      </c>
      <c r="I316" s="4">
        <v>35.03</v>
      </c>
      <c r="J316">
        <f t="shared" si="25"/>
        <v>-83.400000000000034</v>
      </c>
      <c r="R316">
        <v>315</v>
      </c>
      <c r="S316" s="4">
        <v>73.41</v>
      </c>
      <c r="T316">
        <f t="shared" si="26"/>
        <v>-7.0000000000001705</v>
      </c>
      <c r="AC316">
        <v>315</v>
      </c>
      <c r="AD316">
        <v>60.36</v>
      </c>
      <c r="AE316">
        <f t="shared" si="27"/>
        <v>-4.6000000000000796</v>
      </c>
      <c r="AN316">
        <v>315</v>
      </c>
      <c r="AO316">
        <v>88.39</v>
      </c>
      <c r="AP316">
        <f t="shared" si="28"/>
        <v>-7.8000000000000114</v>
      </c>
      <c r="AY316">
        <v>315</v>
      </c>
      <c r="AZ316">
        <v>149.72</v>
      </c>
      <c r="BA316">
        <f t="shared" si="29"/>
        <v>-3.0000000000001137</v>
      </c>
    </row>
    <row r="317" spans="1:53" x14ac:dyDescent="0.25">
      <c r="A317">
        <v>317</v>
      </c>
      <c r="B317">
        <v>58.23</v>
      </c>
      <c r="C317">
        <f t="shared" si="24"/>
        <v>-3.2000000000000739</v>
      </c>
      <c r="H317">
        <v>317</v>
      </c>
      <c r="I317" s="4">
        <v>31.55</v>
      </c>
      <c r="J317">
        <f t="shared" si="25"/>
        <v>-69.600000000000009</v>
      </c>
      <c r="R317">
        <v>316</v>
      </c>
      <c r="S317" s="4">
        <v>72.989999999999995</v>
      </c>
      <c r="T317">
        <f t="shared" si="26"/>
        <v>-8.4000000000000341</v>
      </c>
      <c r="AC317">
        <v>316</v>
      </c>
      <c r="AD317">
        <v>60.17</v>
      </c>
      <c r="AE317">
        <f t="shared" si="27"/>
        <v>-3.7999999999999545</v>
      </c>
      <c r="AN317">
        <v>316</v>
      </c>
      <c r="AO317">
        <v>88.01</v>
      </c>
      <c r="AP317">
        <f t="shared" si="28"/>
        <v>-7.5999999999999091</v>
      </c>
      <c r="AY317">
        <v>316</v>
      </c>
      <c r="AZ317">
        <v>149.6</v>
      </c>
      <c r="BA317">
        <f t="shared" si="29"/>
        <v>-2.4000000000000909</v>
      </c>
    </row>
    <row r="318" spans="1:53" x14ac:dyDescent="0.25">
      <c r="A318">
        <v>318</v>
      </c>
      <c r="B318">
        <v>58.08</v>
      </c>
      <c r="C318">
        <f t="shared" si="24"/>
        <v>-2.9999999999999716</v>
      </c>
      <c r="H318">
        <v>318</v>
      </c>
      <c r="I318" s="4">
        <v>28.5</v>
      </c>
      <c r="J318">
        <f t="shared" si="25"/>
        <v>-61.000000000000014</v>
      </c>
      <c r="R318">
        <v>317</v>
      </c>
      <c r="S318" s="4">
        <v>72.599999999999994</v>
      </c>
      <c r="T318">
        <f t="shared" si="26"/>
        <v>-7.8000000000000114</v>
      </c>
      <c r="AC318">
        <v>317</v>
      </c>
      <c r="AD318">
        <v>59.82</v>
      </c>
      <c r="AE318">
        <f t="shared" si="27"/>
        <v>-7.0000000000000284</v>
      </c>
      <c r="AN318">
        <v>317</v>
      </c>
      <c r="AO318">
        <v>87.78</v>
      </c>
      <c r="AP318">
        <f t="shared" si="28"/>
        <v>-4.6000000000000796</v>
      </c>
      <c r="AY318">
        <v>317</v>
      </c>
      <c r="AZ318">
        <v>149.49</v>
      </c>
      <c r="BA318">
        <f t="shared" si="29"/>
        <v>-2.1999999999997044</v>
      </c>
    </row>
    <row r="319" spans="1:53" x14ac:dyDescent="0.25">
      <c r="A319">
        <v>319</v>
      </c>
      <c r="B319">
        <v>57.85</v>
      </c>
      <c r="C319">
        <f t="shared" si="24"/>
        <v>-4.5999999999999375</v>
      </c>
      <c r="H319">
        <v>319</v>
      </c>
      <c r="I319" s="4">
        <v>25.87</v>
      </c>
      <c r="J319">
        <f t="shared" si="25"/>
        <v>-52.59999999999998</v>
      </c>
      <c r="R319">
        <v>318</v>
      </c>
      <c r="S319" s="4">
        <v>72.290000000000006</v>
      </c>
      <c r="T319">
        <f t="shared" si="26"/>
        <v>-6.1999999999997613</v>
      </c>
      <c r="AC319">
        <v>318</v>
      </c>
      <c r="AD319">
        <v>59.51</v>
      </c>
      <c r="AE319">
        <f t="shared" si="27"/>
        <v>-6.2000000000000455</v>
      </c>
      <c r="AN319">
        <v>318</v>
      </c>
      <c r="AO319">
        <v>88.28</v>
      </c>
      <c r="AP319">
        <f t="shared" si="28"/>
        <v>10</v>
      </c>
      <c r="AY319">
        <v>318</v>
      </c>
      <c r="AZ319" s="2">
        <v>149.33000000000001</v>
      </c>
      <c r="BA319">
        <f t="shared" si="29"/>
        <v>-3.1999999999999318</v>
      </c>
    </row>
    <row r="320" spans="1:53" x14ac:dyDescent="0.25">
      <c r="A320">
        <v>320</v>
      </c>
      <c r="B320">
        <v>57.66</v>
      </c>
      <c r="C320">
        <f t="shared" si="24"/>
        <v>-3.8000000000000966</v>
      </c>
      <c r="H320">
        <v>320</v>
      </c>
      <c r="I320" s="4">
        <v>23.56</v>
      </c>
      <c r="J320">
        <f t="shared" si="25"/>
        <v>-46.200000000000045</v>
      </c>
      <c r="R320">
        <v>319</v>
      </c>
      <c r="S320" s="6">
        <v>71.900000000000006</v>
      </c>
      <c r="T320">
        <f t="shared" si="26"/>
        <v>-7.8000000000000114</v>
      </c>
      <c r="AC320">
        <v>319</v>
      </c>
      <c r="AD320">
        <v>59.28</v>
      </c>
      <c r="AE320">
        <f t="shared" si="27"/>
        <v>-4.5999999999999375</v>
      </c>
      <c r="AN320">
        <v>319</v>
      </c>
      <c r="AO320">
        <v>88.78</v>
      </c>
      <c r="AP320">
        <f t="shared" si="28"/>
        <v>10</v>
      </c>
      <c r="AY320">
        <v>319</v>
      </c>
      <c r="AZ320" s="2">
        <v>149.72</v>
      </c>
      <c r="BA320">
        <f t="shared" si="29"/>
        <v>7.7999999999997272</v>
      </c>
    </row>
    <row r="321" spans="1:53" x14ac:dyDescent="0.25">
      <c r="A321">
        <v>321</v>
      </c>
      <c r="B321">
        <v>57.46</v>
      </c>
      <c r="C321">
        <f t="shared" si="24"/>
        <v>-3.9999999999999147</v>
      </c>
      <c r="H321">
        <v>321</v>
      </c>
      <c r="I321" s="4">
        <v>21.47</v>
      </c>
      <c r="J321">
        <f t="shared" si="25"/>
        <v>-41.8</v>
      </c>
      <c r="R321">
        <v>320</v>
      </c>
      <c r="S321" s="6">
        <v>72.099999999999994</v>
      </c>
      <c r="T321">
        <f t="shared" si="26"/>
        <v>3.9999999999997726</v>
      </c>
      <c r="AC321">
        <v>320</v>
      </c>
      <c r="AD321">
        <v>59.05</v>
      </c>
      <c r="AE321">
        <f t="shared" si="27"/>
        <v>-4.6000000000000796</v>
      </c>
      <c r="AN321">
        <v>320</v>
      </c>
      <c r="AO321">
        <v>88.9</v>
      </c>
      <c r="AP321">
        <f t="shared" si="28"/>
        <v>2.4000000000000909</v>
      </c>
      <c r="AY321">
        <v>320</v>
      </c>
      <c r="AZ321" s="2">
        <v>150.37</v>
      </c>
      <c r="BA321">
        <f t="shared" si="29"/>
        <v>13.000000000000114</v>
      </c>
    </row>
    <row r="322" spans="1:53" x14ac:dyDescent="0.25">
      <c r="A322">
        <v>322</v>
      </c>
      <c r="B322">
        <v>57.23</v>
      </c>
      <c r="C322">
        <f t="shared" si="24"/>
        <v>-4.6000000000000796</v>
      </c>
      <c r="H322">
        <v>322</v>
      </c>
      <c r="I322" s="4">
        <v>19.5</v>
      </c>
      <c r="J322">
        <f t="shared" si="25"/>
        <v>-39.399999999999977</v>
      </c>
      <c r="R322">
        <v>321</v>
      </c>
      <c r="S322" s="6">
        <v>72.87</v>
      </c>
      <c r="T322">
        <f t="shared" si="26"/>
        <v>15.400000000000205</v>
      </c>
      <c r="AC322">
        <v>321</v>
      </c>
      <c r="AD322">
        <v>58.81</v>
      </c>
      <c r="AE322">
        <f t="shared" si="27"/>
        <v>-4.7999999999998977</v>
      </c>
      <c r="AN322">
        <v>321</v>
      </c>
      <c r="AO322">
        <v>88.63</v>
      </c>
      <c r="AP322">
        <f t="shared" si="28"/>
        <v>-5.4000000000002046</v>
      </c>
      <c r="AY322">
        <v>321</v>
      </c>
      <c r="AZ322" s="2">
        <v>150.80000000000001</v>
      </c>
      <c r="BA322">
        <f t="shared" si="29"/>
        <v>8.6000000000001364</v>
      </c>
    </row>
    <row r="323" spans="1:53" x14ac:dyDescent="0.25">
      <c r="A323">
        <v>323</v>
      </c>
      <c r="B323">
        <v>51.44</v>
      </c>
      <c r="C323">
        <f t="shared" ref="C323:C386" si="30">(B323-B322)/0.05</f>
        <v>-115.79999999999998</v>
      </c>
      <c r="H323">
        <v>323</v>
      </c>
      <c r="I323" s="4">
        <v>17.84</v>
      </c>
      <c r="J323">
        <f t="shared" ref="J323:J343" si="31">(I323-I322)/0.05</f>
        <v>-33.200000000000003</v>
      </c>
      <c r="R323">
        <v>322</v>
      </c>
      <c r="S323" s="6">
        <v>73.06</v>
      </c>
      <c r="T323">
        <f t="shared" si="26"/>
        <v>3.7999999999999545</v>
      </c>
      <c r="AC323">
        <v>322</v>
      </c>
      <c r="AD323">
        <v>58.54</v>
      </c>
      <c r="AE323">
        <f t="shared" si="27"/>
        <v>-5.4000000000000625</v>
      </c>
      <c r="AN323">
        <v>322</v>
      </c>
      <c r="AO323">
        <v>88.16</v>
      </c>
      <c r="AP323">
        <f t="shared" si="28"/>
        <v>-9.3999999999999773</v>
      </c>
      <c r="AY323">
        <v>322</v>
      </c>
      <c r="AZ323">
        <v>150.72</v>
      </c>
      <c r="BA323">
        <f t="shared" si="29"/>
        <v>-1.6000000000002501</v>
      </c>
    </row>
    <row r="324" spans="1:53" x14ac:dyDescent="0.25">
      <c r="A324">
        <v>324</v>
      </c>
      <c r="B324">
        <v>44.64</v>
      </c>
      <c r="C324">
        <f t="shared" si="30"/>
        <v>-135.99999999999994</v>
      </c>
      <c r="H324">
        <v>324</v>
      </c>
      <c r="I324" s="4">
        <v>16.45</v>
      </c>
      <c r="J324">
        <f t="shared" si="31"/>
        <v>-27.800000000000011</v>
      </c>
      <c r="R324">
        <v>323</v>
      </c>
      <c r="S324" s="4">
        <v>72.87</v>
      </c>
      <c r="T324">
        <f t="shared" ref="T324:T387" si="32">(S324-S323)/0.05</f>
        <v>-3.7999999999999545</v>
      </c>
      <c r="AC324">
        <v>323</v>
      </c>
      <c r="AD324">
        <v>58.27</v>
      </c>
      <c r="AE324">
        <f t="shared" ref="AE324:AE387" si="33">(AD324-AD323)/0.05</f>
        <v>-5.3999999999999204</v>
      </c>
      <c r="AN324">
        <v>323</v>
      </c>
      <c r="AO324">
        <v>87.97</v>
      </c>
      <c r="AP324">
        <f t="shared" ref="AP324:AP387" si="34">(AO324-AO323)/0.05</f>
        <v>-3.7999999999999545</v>
      </c>
      <c r="AY324">
        <v>323</v>
      </c>
      <c r="AZ324">
        <v>150.26</v>
      </c>
      <c r="BA324">
        <f t="shared" ref="BA324:BA387" si="35">(AZ324-AZ323)/0.05</f>
        <v>-9.2000000000001592</v>
      </c>
    </row>
    <row r="325" spans="1:53" x14ac:dyDescent="0.25">
      <c r="A325">
        <v>325</v>
      </c>
      <c r="B325">
        <v>39.659999999999997</v>
      </c>
      <c r="C325">
        <f t="shared" si="30"/>
        <v>-99.60000000000008</v>
      </c>
      <c r="H325">
        <v>325</v>
      </c>
      <c r="I325" s="4">
        <v>15.22</v>
      </c>
      <c r="J325">
        <f t="shared" si="31"/>
        <v>-24.599999999999973</v>
      </c>
      <c r="R325">
        <v>324</v>
      </c>
      <c r="S325" s="4">
        <v>72.599999999999994</v>
      </c>
      <c r="T325">
        <f t="shared" si="32"/>
        <v>-5.4000000000002046</v>
      </c>
      <c r="AC325">
        <v>324</v>
      </c>
      <c r="AD325">
        <v>58.08</v>
      </c>
      <c r="AE325">
        <f t="shared" si="33"/>
        <v>-3.8000000000000966</v>
      </c>
      <c r="AN325">
        <v>324</v>
      </c>
      <c r="AO325">
        <v>87.74</v>
      </c>
      <c r="AP325">
        <f t="shared" si="34"/>
        <v>-4.6000000000000796</v>
      </c>
      <c r="AY325">
        <v>324</v>
      </c>
      <c r="AZ325">
        <v>149.72</v>
      </c>
      <c r="BA325">
        <f t="shared" si="35"/>
        <v>-10.799999999999841</v>
      </c>
    </row>
    <row r="326" spans="1:53" x14ac:dyDescent="0.25">
      <c r="A326">
        <v>326</v>
      </c>
      <c r="B326">
        <v>35.450000000000003</v>
      </c>
      <c r="C326">
        <f t="shared" si="30"/>
        <v>-84.199999999999875</v>
      </c>
      <c r="H326">
        <v>326</v>
      </c>
      <c r="I326" s="4">
        <v>14.25</v>
      </c>
      <c r="J326">
        <f t="shared" si="31"/>
        <v>-19.400000000000013</v>
      </c>
      <c r="R326">
        <v>325</v>
      </c>
      <c r="S326" s="4">
        <v>72.17</v>
      </c>
      <c r="T326">
        <f t="shared" si="32"/>
        <v>-8.5999999999998522</v>
      </c>
      <c r="AC326">
        <v>325</v>
      </c>
      <c r="AD326">
        <v>57.77</v>
      </c>
      <c r="AE326">
        <f t="shared" si="33"/>
        <v>-6.1999999999999034</v>
      </c>
      <c r="AN326">
        <v>325</v>
      </c>
      <c r="AO326">
        <v>87.39</v>
      </c>
      <c r="AP326">
        <f t="shared" si="34"/>
        <v>-6.9999999999998863</v>
      </c>
      <c r="AY326">
        <v>325</v>
      </c>
      <c r="AZ326">
        <v>148.94999999999999</v>
      </c>
      <c r="BA326">
        <f t="shared" si="35"/>
        <v>-15.400000000000205</v>
      </c>
    </row>
    <row r="327" spans="1:53" x14ac:dyDescent="0.25">
      <c r="A327">
        <v>327</v>
      </c>
      <c r="B327">
        <v>31.94</v>
      </c>
      <c r="C327">
        <f t="shared" si="30"/>
        <v>-70.200000000000031</v>
      </c>
      <c r="H327">
        <v>327</v>
      </c>
      <c r="I327" s="4">
        <v>13.32</v>
      </c>
      <c r="J327">
        <f t="shared" si="31"/>
        <v>-18.599999999999994</v>
      </c>
      <c r="R327">
        <v>326</v>
      </c>
      <c r="S327" s="4">
        <v>71.790000000000006</v>
      </c>
      <c r="T327">
        <f t="shared" si="32"/>
        <v>-7.5999999999999091</v>
      </c>
      <c r="AC327">
        <v>326</v>
      </c>
      <c r="AD327">
        <v>57.66</v>
      </c>
      <c r="AE327">
        <f t="shared" si="33"/>
        <v>-2.2000000000001307</v>
      </c>
      <c r="AN327">
        <v>326</v>
      </c>
      <c r="AO327">
        <v>87.04</v>
      </c>
      <c r="AP327">
        <f t="shared" si="34"/>
        <v>-6.9999999999998863</v>
      </c>
      <c r="AY327">
        <v>326</v>
      </c>
      <c r="AZ327">
        <v>148.47999999999999</v>
      </c>
      <c r="BA327">
        <f t="shared" si="35"/>
        <v>-9.3999999999999773</v>
      </c>
    </row>
    <row r="328" spans="1:53" x14ac:dyDescent="0.25">
      <c r="A328">
        <v>328</v>
      </c>
      <c r="B328">
        <v>28.92</v>
      </c>
      <c r="C328">
        <f t="shared" si="30"/>
        <v>-60.399999999999991</v>
      </c>
      <c r="H328">
        <v>328</v>
      </c>
      <c r="I328" s="4">
        <v>12.4</v>
      </c>
      <c r="J328">
        <f t="shared" si="31"/>
        <v>-18.399999999999999</v>
      </c>
      <c r="R328">
        <v>327</v>
      </c>
      <c r="S328" s="4">
        <v>71.44</v>
      </c>
      <c r="T328">
        <f t="shared" si="32"/>
        <v>-7.0000000000001705</v>
      </c>
      <c r="AC328">
        <v>327</v>
      </c>
      <c r="AD328">
        <v>58.23</v>
      </c>
      <c r="AE328">
        <f t="shared" si="33"/>
        <v>11.400000000000006</v>
      </c>
      <c r="AN328">
        <v>327</v>
      </c>
      <c r="AO328">
        <v>86.81</v>
      </c>
      <c r="AP328">
        <f t="shared" si="34"/>
        <v>-4.6000000000000796</v>
      </c>
      <c r="AY328">
        <v>327</v>
      </c>
      <c r="AZ328">
        <v>148.33000000000001</v>
      </c>
      <c r="BA328">
        <f t="shared" si="35"/>
        <v>-2.9999999999995453</v>
      </c>
    </row>
    <row r="329" spans="1:53" x14ac:dyDescent="0.25">
      <c r="A329">
        <v>329</v>
      </c>
      <c r="B329">
        <v>26.41</v>
      </c>
      <c r="C329">
        <f t="shared" si="30"/>
        <v>-50.200000000000031</v>
      </c>
      <c r="H329">
        <v>329</v>
      </c>
      <c r="I329" s="4">
        <v>11.7</v>
      </c>
      <c r="J329">
        <f t="shared" si="31"/>
        <v>-14.000000000000021</v>
      </c>
      <c r="R329">
        <v>328</v>
      </c>
      <c r="S329" s="4">
        <v>71.13</v>
      </c>
      <c r="T329">
        <f t="shared" si="32"/>
        <v>-6.2000000000000455</v>
      </c>
      <c r="AC329">
        <v>328</v>
      </c>
      <c r="AD329">
        <v>58.39</v>
      </c>
      <c r="AE329">
        <f t="shared" si="33"/>
        <v>3.2000000000000739</v>
      </c>
      <c r="AN329">
        <v>328</v>
      </c>
      <c r="AO329">
        <v>86.39</v>
      </c>
      <c r="AP329">
        <f t="shared" si="34"/>
        <v>-8.4000000000000341</v>
      </c>
      <c r="AY329">
        <v>328</v>
      </c>
      <c r="AZ329">
        <v>148.33000000000001</v>
      </c>
      <c r="BA329">
        <f t="shared" si="35"/>
        <v>0</v>
      </c>
    </row>
    <row r="330" spans="1:53" x14ac:dyDescent="0.25">
      <c r="A330">
        <v>330</v>
      </c>
      <c r="B330">
        <v>23.9</v>
      </c>
      <c r="C330">
        <f t="shared" si="30"/>
        <v>-50.200000000000031</v>
      </c>
      <c r="H330">
        <v>330</v>
      </c>
      <c r="I330" s="4">
        <v>11.01</v>
      </c>
      <c r="J330">
        <f t="shared" si="31"/>
        <v>-13.79999999999999</v>
      </c>
      <c r="R330">
        <v>329</v>
      </c>
      <c r="S330" s="4">
        <v>70.75</v>
      </c>
      <c r="T330">
        <f t="shared" si="32"/>
        <v>-7.5999999999999091</v>
      </c>
      <c r="AC330">
        <v>329</v>
      </c>
      <c r="AD330">
        <v>58.31</v>
      </c>
      <c r="AE330">
        <f t="shared" si="33"/>
        <v>-1.5999999999999659</v>
      </c>
      <c r="AN330">
        <v>329</v>
      </c>
      <c r="AO330">
        <v>86.04</v>
      </c>
      <c r="AP330">
        <f t="shared" si="34"/>
        <v>-6.9999999999998863</v>
      </c>
      <c r="AY330">
        <v>329</v>
      </c>
      <c r="AZ330">
        <v>148.21</v>
      </c>
      <c r="BA330">
        <f t="shared" si="35"/>
        <v>-2.4000000000000909</v>
      </c>
    </row>
    <row r="331" spans="1:53" x14ac:dyDescent="0.25">
      <c r="A331">
        <v>331</v>
      </c>
      <c r="B331">
        <v>21.82</v>
      </c>
      <c r="C331">
        <f t="shared" si="30"/>
        <v>-41.599999999999966</v>
      </c>
      <c r="H331">
        <v>331</v>
      </c>
      <c r="I331" s="4">
        <v>10.39</v>
      </c>
      <c r="J331">
        <f t="shared" si="31"/>
        <v>-12.399999999999984</v>
      </c>
      <c r="R331">
        <v>330</v>
      </c>
      <c r="S331" s="4">
        <v>70.44</v>
      </c>
      <c r="T331">
        <f t="shared" si="32"/>
        <v>-6.2000000000000455</v>
      </c>
      <c r="AC331">
        <v>330</v>
      </c>
      <c r="AD331">
        <v>58.16</v>
      </c>
      <c r="AE331">
        <f t="shared" si="33"/>
        <v>-3.0000000000001137</v>
      </c>
      <c r="AN331">
        <v>330</v>
      </c>
      <c r="AO331">
        <v>85.77</v>
      </c>
      <c r="AP331">
        <f t="shared" si="34"/>
        <v>-5.4000000000002046</v>
      </c>
      <c r="AY331">
        <v>330</v>
      </c>
      <c r="AZ331">
        <v>147.9</v>
      </c>
      <c r="BA331">
        <f t="shared" si="35"/>
        <v>-6.2000000000000455</v>
      </c>
    </row>
    <row r="332" spans="1:53" x14ac:dyDescent="0.25">
      <c r="A332">
        <v>332</v>
      </c>
      <c r="B332">
        <v>19.93</v>
      </c>
      <c r="C332">
        <f t="shared" si="30"/>
        <v>-37.800000000000011</v>
      </c>
      <c r="H332">
        <v>332</v>
      </c>
      <c r="I332" s="4">
        <v>9.81</v>
      </c>
      <c r="J332">
        <f t="shared" si="31"/>
        <v>-11.600000000000001</v>
      </c>
      <c r="R332">
        <v>331</v>
      </c>
      <c r="S332" s="4">
        <v>70.05</v>
      </c>
      <c r="T332">
        <f t="shared" si="32"/>
        <v>-7.8000000000000114</v>
      </c>
      <c r="AC332">
        <v>331</v>
      </c>
      <c r="AD332">
        <v>57.89</v>
      </c>
      <c r="AE332">
        <f t="shared" si="33"/>
        <v>-5.3999999999999204</v>
      </c>
      <c r="AN332">
        <v>331</v>
      </c>
      <c r="AO332">
        <v>86.46</v>
      </c>
      <c r="AP332">
        <f t="shared" si="34"/>
        <v>13.799999999999955</v>
      </c>
      <c r="AY332">
        <v>331</v>
      </c>
      <c r="AZ332">
        <v>147.75</v>
      </c>
      <c r="BA332">
        <f t="shared" si="35"/>
        <v>-3.0000000000001137</v>
      </c>
    </row>
    <row r="333" spans="1:53" x14ac:dyDescent="0.25">
      <c r="A333">
        <v>333</v>
      </c>
      <c r="B333">
        <v>18.23</v>
      </c>
      <c r="C333">
        <f t="shared" si="30"/>
        <v>-33.999999999999986</v>
      </c>
      <c r="H333">
        <v>333</v>
      </c>
      <c r="I333" s="4">
        <v>9.27</v>
      </c>
      <c r="J333">
        <f t="shared" si="31"/>
        <v>-10.800000000000018</v>
      </c>
      <c r="R333">
        <v>332</v>
      </c>
      <c r="S333" s="4">
        <v>69.739999999999995</v>
      </c>
      <c r="T333">
        <f t="shared" si="32"/>
        <v>-6.2000000000000455</v>
      </c>
      <c r="AC333">
        <v>332</v>
      </c>
      <c r="AD333">
        <v>57.62</v>
      </c>
      <c r="AE333">
        <f t="shared" si="33"/>
        <v>-5.4000000000000625</v>
      </c>
      <c r="AN333">
        <v>332</v>
      </c>
      <c r="AO333">
        <v>86.81</v>
      </c>
      <c r="AP333">
        <f t="shared" si="34"/>
        <v>7.0000000000001705</v>
      </c>
      <c r="AY333">
        <v>332</v>
      </c>
      <c r="AZ333">
        <v>147.59</v>
      </c>
      <c r="BA333">
        <f t="shared" si="35"/>
        <v>-3.1999999999999318</v>
      </c>
    </row>
    <row r="334" spans="1:53" x14ac:dyDescent="0.25">
      <c r="A334">
        <v>334</v>
      </c>
      <c r="B334">
        <v>16.64</v>
      </c>
      <c r="C334">
        <f t="shared" si="30"/>
        <v>-31.799999999999997</v>
      </c>
      <c r="H334">
        <v>334</v>
      </c>
      <c r="I334" s="4">
        <v>8.8000000000000007</v>
      </c>
      <c r="J334">
        <f t="shared" si="31"/>
        <v>-9.3999999999999773</v>
      </c>
      <c r="R334">
        <v>333</v>
      </c>
      <c r="S334" s="4">
        <v>69.39</v>
      </c>
      <c r="T334">
        <f t="shared" si="32"/>
        <v>-6.9999999999998863</v>
      </c>
      <c r="AC334">
        <v>333</v>
      </c>
      <c r="AD334">
        <v>57.42</v>
      </c>
      <c r="AE334">
        <f t="shared" si="33"/>
        <v>-3.9999999999999147</v>
      </c>
      <c r="AN334">
        <v>333</v>
      </c>
      <c r="AO334">
        <v>86.77</v>
      </c>
      <c r="AP334">
        <f t="shared" si="34"/>
        <v>-0.80000000000012506</v>
      </c>
      <c r="AY334">
        <v>333</v>
      </c>
      <c r="AZ334">
        <v>147.32</v>
      </c>
      <c r="BA334">
        <f t="shared" si="35"/>
        <v>-5.4000000000002046</v>
      </c>
    </row>
    <row r="335" spans="1:53" x14ac:dyDescent="0.25">
      <c r="A335">
        <v>335</v>
      </c>
      <c r="B335">
        <v>15.33</v>
      </c>
      <c r="C335">
        <f t="shared" si="30"/>
        <v>-26.20000000000001</v>
      </c>
      <c r="H335">
        <v>335</v>
      </c>
      <c r="I335" s="4">
        <v>8.3000000000000007</v>
      </c>
      <c r="J335">
        <f t="shared" si="31"/>
        <v>-10</v>
      </c>
      <c r="R335">
        <v>334</v>
      </c>
      <c r="S335" s="6">
        <v>69.09</v>
      </c>
      <c r="T335">
        <f t="shared" si="32"/>
        <v>-5.9999999999999432</v>
      </c>
      <c r="AC335">
        <v>334</v>
      </c>
      <c r="AD335">
        <v>57.15</v>
      </c>
      <c r="AE335">
        <f t="shared" si="33"/>
        <v>-5.4000000000000625</v>
      </c>
      <c r="AN335">
        <v>334</v>
      </c>
      <c r="AO335">
        <v>86.5</v>
      </c>
      <c r="AP335">
        <f t="shared" si="34"/>
        <v>-5.3999999999999204</v>
      </c>
      <c r="AY335">
        <v>334</v>
      </c>
      <c r="AZ335">
        <v>147.13</v>
      </c>
      <c r="BA335">
        <f t="shared" si="35"/>
        <v>-3.7999999999999545</v>
      </c>
    </row>
    <row r="336" spans="1:53" x14ac:dyDescent="0.25">
      <c r="A336">
        <v>336</v>
      </c>
      <c r="B336">
        <v>14.13</v>
      </c>
      <c r="C336">
        <f t="shared" si="30"/>
        <v>-23.999999999999986</v>
      </c>
      <c r="H336">
        <v>336</v>
      </c>
      <c r="I336" s="4">
        <v>7.96</v>
      </c>
      <c r="J336">
        <f t="shared" si="31"/>
        <v>-6.8000000000000149</v>
      </c>
      <c r="R336">
        <v>335</v>
      </c>
      <c r="S336" s="6">
        <v>69.97</v>
      </c>
      <c r="T336">
        <f t="shared" si="32"/>
        <v>17.599999999999909</v>
      </c>
      <c r="AC336">
        <v>335</v>
      </c>
      <c r="AD336">
        <v>56.92</v>
      </c>
      <c r="AE336">
        <f t="shared" si="33"/>
        <v>-4.5999999999999375</v>
      </c>
      <c r="AN336">
        <v>335</v>
      </c>
      <c r="AO336">
        <v>86.12</v>
      </c>
      <c r="AP336">
        <f t="shared" si="34"/>
        <v>-7.5999999999999091</v>
      </c>
      <c r="AY336">
        <v>335</v>
      </c>
      <c r="AZ336">
        <v>146.97999999999999</v>
      </c>
      <c r="BA336">
        <f t="shared" si="35"/>
        <v>-3.0000000000001137</v>
      </c>
    </row>
    <row r="337" spans="1:53" x14ac:dyDescent="0.25">
      <c r="A337">
        <v>337</v>
      </c>
      <c r="B337">
        <v>13.05</v>
      </c>
      <c r="C337">
        <f t="shared" si="30"/>
        <v>-21.6</v>
      </c>
      <c r="H337">
        <v>337</v>
      </c>
      <c r="I337" s="4">
        <v>7.61</v>
      </c>
      <c r="J337">
        <f t="shared" si="31"/>
        <v>-6.9999999999999929</v>
      </c>
      <c r="R337">
        <v>336</v>
      </c>
      <c r="S337" s="6">
        <v>70.209999999999994</v>
      </c>
      <c r="T337">
        <f t="shared" si="32"/>
        <v>4.7999999999998977</v>
      </c>
      <c r="AC337">
        <v>336</v>
      </c>
      <c r="AD337">
        <v>56.73</v>
      </c>
      <c r="AE337">
        <f t="shared" si="33"/>
        <v>-3.8000000000000966</v>
      </c>
      <c r="AN337">
        <v>336</v>
      </c>
      <c r="AO337">
        <v>85.88</v>
      </c>
      <c r="AP337">
        <f t="shared" si="34"/>
        <v>-4.8000000000001819</v>
      </c>
      <c r="AY337">
        <v>336</v>
      </c>
      <c r="AZ337">
        <v>146.74</v>
      </c>
      <c r="BA337">
        <f t="shared" si="35"/>
        <v>-4.7999999999996135</v>
      </c>
    </row>
    <row r="338" spans="1:53" x14ac:dyDescent="0.25">
      <c r="A338">
        <v>338</v>
      </c>
      <c r="B338">
        <v>12.13</v>
      </c>
      <c r="C338">
        <f t="shared" si="30"/>
        <v>-18.399999999999999</v>
      </c>
      <c r="H338">
        <v>338</v>
      </c>
      <c r="I338" s="4">
        <v>7.22</v>
      </c>
      <c r="J338">
        <f t="shared" si="31"/>
        <v>-7.8000000000000114</v>
      </c>
      <c r="R338">
        <v>337</v>
      </c>
      <c r="S338" s="4">
        <v>70.17</v>
      </c>
      <c r="T338">
        <f t="shared" si="32"/>
        <v>-0.79999999999984084</v>
      </c>
      <c r="AC338">
        <v>337</v>
      </c>
      <c r="AD338">
        <v>56.5</v>
      </c>
      <c r="AE338">
        <f t="shared" si="33"/>
        <v>-4.5999999999999375</v>
      </c>
      <c r="AN338">
        <v>337</v>
      </c>
      <c r="AO338">
        <v>85.61</v>
      </c>
      <c r="AP338">
        <f t="shared" si="34"/>
        <v>-5.3999999999999204</v>
      </c>
      <c r="AY338">
        <v>337</v>
      </c>
      <c r="AZ338">
        <v>146.55000000000001</v>
      </c>
      <c r="BA338">
        <f t="shared" si="35"/>
        <v>-3.7999999999999545</v>
      </c>
    </row>
    <row r="339" spans="1:53" x14ac:dyDescent="0.25">
      <c r="A339">
        <v>339</v>
      </c>
      <c r="B339">
        <v>11.28</v>
      </c>
      <c r="C339">
        <f t="shared" si="30"/>
        <v>-17.000000000000028</v>
      </c>
      <c r="H339">
        <v>339</v>
      </c>
      <c r="I339" s="4">
        <v>6.84</v>
      </c>
      <c r="J339">
        <f t="shared" si="31"/>
        <v>-7.5999999999999979</v>
      </c>
      <c r="R339">
        <v>338</v>
      </c>
      <c r="S339" s="4">
        <v>70.010000000000005</v>
      </c>
      <c r="T339">
        <f t="shared" si="32"/>
        <v>-3.1999999999999318</v>
      </c>
      <c r="AC339">
        <v>338</v>
      </c>
      <c r="AD339">
        <v>56.26</v>
      </c>
      <c r="AE339">
        <f t="shared" si="33"/>
        <v>-4.8000000000000398</v>
      </c>
      <c r="AN339">
        <v>338</v>
      </c>
      <c r="AO339">
        <v>85.34</v>
      </c>
      <c r="AP339">
        <f t="shared" si="34"/>
        <v>-5.3999999999999204</v>
      </c>
      <c r="AY339">
        <v>338</v>
      </c>
      <c r="AZ339" s="2">
        <v>146.44</v>
      </c>
      <c r="BA339">
        <f t="shared" si="35"/>
        <v>-2.2000000000002728</v>
      </c>
    </row>
    <row r="340" spans="1:53" x14ac:dyDescent="0.25">
      <c r="A340">
        <v>340</v>
      </c>
      <c r="B340">
        <v>10.43</v>
      </c>
      <c r="C340">
        <f t="shared" si="30"/>
        <v>-16.999999999999993</v>
      </c>
      <c r="H340">
        <v>340</v>
      </c>
      <c r="I340" s="4">
        <v>6.6</v>
      </c>
      <c r="J340">
        <f t="shared" si="31"/>
        <v>-4.8000000000000043</v>
      </c>
      <c r="R340">
        <v>339</v>
      </c>
      <c r="S340" s="4">
        <v>69.66</v>
      </c>
      <c r="T340">
        <f t="shared" si="32"/>
        <v>-7.0000000000001705</v>
      </c>
      <c r="AC340">
        <v>339</v>
      </c>
      <c r="AD340">
        <v>56.03</v>
      </c>
      <c r="AE340">
        <f t="shared" si="33"/>
        <v>-4.5999999999999375</v>
      </c>
      <c r="AN340">
        <v>339</v>
      </c>
      <c r="AO340">
        <v>85</v>
      </c>
      <c r="AP340">
        <f t="shared" si="34"/>
        <v>-6.8000000000000682</v>
      </c>
      <c r="AY340">
        <v>339</v>
      </c>
      <c r="AZ340" s="2">
        <v>146.86000000000001</v>
      </c>
      <c r="BA340">
        <f t="shared" si="35"/>
        <v>8.4000000000003183</v>
      </c>
    </row>
    <row r="341" spans="1:53" x14ac:dyDescent="0.25">
      <c r="A341">
        <v>341</v>
      </c>
      <c r="B341">
        <v>9.77</v>
      </c>
      <c r="C341">
        <f t="shared" si="30"/>
        <v>-13.200000000000003</v>
      </c>
      <c r="H341">
        <v>341</v>
      </c>
      <c r="I341" s="4">
        <v>6.37</v>
      </c>
      <c r="J341">
        <f t="shared" si="31"/>
        <v>-4.5999999999999908</v>
      </c>
      <c r="R341">
        <v>340</v>
      </c>
      <c r="S341" s="4">
        <v>69.319999999999993</v>
      </c>
      <c r="T341">
        <f t="shared" si="32"/>
        <v>-6.8000000000000682</v>
      </c>
      <c r="AC341">
        <v>340</v>
      </c>
      <c r="AD341">
        <v>55.8</v>
      </c>
      <c r="AE341">
        <f t="shared" si="33"/>
        <v>-4.6000000000000796</v>
      </c>
      <c r="AN341">
        <v>340</v>
      </c>
      <c r="AO341">
        <v>84.57</v>
      </c>
      <c r="AP341">
        <f t="shared" si="34"/>
        <v>-8.6000000000001364</v>
      </c>
      <c r="AY341">
        <v>340</v>
      </c>
      <c r="AZ341" s="2">
        <v>147.59</v>
      </c>
      <c r="BA341">
        <f t="shared" si="35"/>
        <v>14.599999999999795</v>
      </c>
    </row>
    <row r="342" spans="1:53" x14ac:dyDescent="0.25">
      <c r="A342">
        <v>342</v>
      </c>
      <c r="B342">
        <v>9.11</v>
      </c>
      <c r="C342">
        <f t="shared" si="30"/>
        <v>-13.200000000000003</v>
      </c>
      <c r="H342">
        <v>342</v>
      </c>
      <c r="I342" s="4">
        <v>6.18</v>
      </c>
      <c r="J342">
        <f t="shared" si="31"/>
        <v>-3.8000000000000078</v>
      </c>
      <c r="R342">
        <v>341</v>
      </c>
      <c r="S342" s="4">
        <v>69.09</v>
      </c>
      <c r="T342">
        <f t="shared" si="32"/>
        <v>-4.5999999999997954</v>
      </c>
      <c r="AC342">
        <v>341</v>
      </c>
      <c r="AD342">
        <v>55.57</v>
      </c>
      <c r="AE342">
        <f t="shared" si="33"/>
        <v>-4.5999999999999375</v>
      </c>
      <c r="AN342">
        <v>341</v>
      </c>
      <c r="AO342">
        <v>84.26</v>
      </c>
      <c r="AP342">
        <f t="shared" si="34"/>
        <v>-6.1999999999997613</v>
      </c>
      <c r="AY342">
        <v>341</v>
      </c>
      <c r="AZ342" s="2">
        <v>147.9</v>
      </c>
      <c r="BA342">
        <f t="shared" si="35"/>
        <v>6.2000000000000455</v>
      </c>
    </row>
    <row r="343" spans="1:53" x14ac:dyDescent="0.25">
      <c r="A343">
        <v>343</v>
      </c>
      <c r="B343">
        <v>8.61</v>
      </c>
      <c r="C343">
        <f t="shared" si="30"/>
        <v>-10</v>
      </c>
      <c r="H343">
        <v>343</v>
      </c>
      <c r="I343" s="4">
        <v>5.87</v>
      </c>
      <c r="J343">
        <f t="shared" si="31"/>
        <v>-6.1999999999999922</v>
      </c>
      <c r="R343">
        <v>342</v>
      </c>
      <c r="S343" s="4">
        <v>68.819999999999993</v>
      </c>
      <c r="T343">
        <f t="shared" si="32"/>
        <v>-5.4000000000002046</v>
      </c>
      <c r="AC343">
        <v>342</v>
      </c>
      <c r="AD343">
        <v>55.34</v>
      </c>
      <c r="AE343">
        <f t="shared" si="33"/>
        <v>-4.5999999999999375</v>
      </c>
      <c r="AN343">
        <v>342</v>
      </c>
      <c r="AO343">
        <v>84.03</v>
      </c>
      <c r="AP343">
        <f t="shared" si="34"/>
        <v>-4.6000000000000796</v>
      </c>
      <c r="AY343">
        <v>342</v>
      </c>
      <c r="AZ343" s="2">
        <v>148.1</v>
      </c>
      <c r="BA343">
        <f t="shared" si="35"/>
        <v>3.9999999999997726</v>
      </c>
    </row>
    <row r="344" spans="1:53" x14ac:dyDescent="0.25">
      <c r="A344">
        <v>344</v>
      </c>
      <c r="B344">
        <v>8.19</v>
      </c>
      <c r="C344">
        <f t="shared" si="30"/>
        <v>-8.3999999999999986</v>
      </c>
      <c r="J344">
        <f>MAX(J27:J343)</f>
        <v>10.800000000000125</v>
      </c>
      <c r="R344">
        <v>343</v>
      </c>
      <c r="S344" s="4">
        <v>68.540000000000006</v>
      </c>
      <c r="T344">
        <f t="shared" si="32"/>
        <v>-5.5999999999997385</v>
      </c>
      <c r="AC344">
        <v>343</v>
      </c>
      <c r="AD344">
        <v>55.11</v>
      </c>
      <c r="AE344">
        <f t="shared" si="33"/>
        <v>-4.6000000000000796</v>
      </c>
      <c r="AN344">
        <v>343</v>
      </c>
      <c r="AO344">
        <v>83.61</v>
      </c>
      <c r="AP344">
        <f t="shared" si="34"/>
        <v>-8.4000000000000341</v>
      </c>
      <c r="AY344">
        <v>343</v>
      </c>
      <c r="AZ344">
        <v>147.75</v>
      </c>
      <c r="BA344">
        <f t="shared" si="35"/>
        <v>-6.9999999999998863</v>
      </c>
    </row>
    <row r="345" spans="1:53" x14ac:dyDescent="0.25">
      <c r="A345">
        <v>345</v>
      </c>
      <c r="B345">
        <v>7.61</v>
      </c>
      <c r="C345">
        <f t="shared" si="30"/>
        <v>-11.599999999999984</v>
      </c>
      <c r="R345">
        <v>344</v>
      </c>
      <c r="S345" s="4">
        <v>68.239999999999995</v>
      </c>
      <c r="T345">
        <f t="shared" si="32"/>
        <v>-6.0000000000002274</v>
      </c>
      <c r="AC345">
        <v>344</v>
      </c>
      <c r="AD345">
        <v>54.84</v>
      </c>
      <c r="AE345">
        <f t="shared" si="33"/>
        <v>-5.3999999999999204</v>
      </c>
      <c r="AN345">
        <v>344</v>
      </c>
      <c r="AO345">
        <v>84.11</v>
      </c>
      <c r="AP345">
        <f t="shared" si="34"/>
        <v>10</v>
      </c>
      <c r="AY345">
        <v>344</v>
      </c>
      <c r="AZ345">
        <v>147.36000000000001</v>
      </c>
      <c r="BA345">
        <f t="shared" si="35"/>
        <v>-7.7999999999997272</v>
      </c>
    </row>
    <row r="346" spans="1:53" x14ac:dyDescent="0.25">
      <c r="A346">
        <v>346</v>
      </c>
      <c r="B346">
        <v>7.18</v>
      </c>
      <c r="C346">
        <f t="shared" si="30"/>
        <v>-8.6000000000000121</v>
      </c>
      <c r="R346">
        <v>345</v>
      </c>
      <c r="S346" s="4">
        <v>67.849999999999994</v>
      </c>
      <c r="T346">
        <f t="shared" si="32"/>
        <v>-7.8000000000000114</v>
      </c>
      <c r="AC346">
        <v>345</v>
      </c>
      <c r="AD346">
        <v>54.68</v>
      </c>
      <c r="AE346">
        <f t="shared" si="33"/>
        <v>-3.2000000000000739</v>
      </c>
      <c r="AN346">
        <v>345</v>
      </c>
      <c r="AO346">
        <v>84.57</v>
      </c>
      <c r="AP346">
        <f t="shared" si="34"/>
        <v>9.1999999999998749</v>
      </c>
      <c r="AY346">
        <v>345</v>
      </c>
      <c r="AZ346">
        <v>146.55000000000001</v>
      </c>
      <c r="BA346">
        <f t="shared" si="35"/>
        <v>-16.200000000000045</v>
      </c>
    </row>
    <row r="347" spans="1:53" x14ac:dyDescent="0.25">
      <c r="A347">
        <v>347</v>
      </c>
      <c r="B347">
        <v>6.76</v>
      </c>
      <c r="C347">
        <f t="shared" si="30"/>
        <v>-8.3999999999999986</v>
      </c>
      <c r="R347">
        <v>346</v>
      </c>
      <c r="S347" s="4">
        <v>67.540000000000006</v>
      </c>
      <c r="T347">
        <f t="shared" si="32"/>
        <v>-6.1999999999997613</v>
      </c>
      <c r="AC347">
        <v>346</v>
      </c>
      <c r="AD347">
        <v>54.41</v>
      </c>
      <c r="AE347">
        <f t="shared" si="33"/>
        <v>-5.4000000000000625</v>
      </c>
      <c r="AN347">
        <v>346</v>
      </c>
      <c r="AO347">
        <v>84.57</v>
      </c>
      <c r="AP347">
        <f t="shared" si="34"/>
        <v>0</v>
      </c>
      <c r="AY347">
        <v>346</v>
      </c>
      <c r="AZ347">
        <v>146.01</v>
      </c>
      <c r="BA347">
        <f t="shared" si="35"/>
        <v>-10.800000000000409</v>
      </c>
    </row>
    <row r="348" spans="1:53" x14ac:dyDescent="0.25">
      <c r="A348">
        <v>348</v>
      </c>
      <c r="B348">
        <v>6.41</v>
      </c>
      <c r="C348">
        <f t="shared" si="30"/>
        <v>-6.9999999999999929</v>
      </c>
      <c r="R348">
        <v>347</v>
      </c>
      <c r="S348" s="4">
        <v>67.23</v>
      </c>
      <c r="T348">
        <f t="shared" si="32"/>
        <v>-6.2000000000000455</v>
      </c>
      <c r="AC348">
        <v>347</v>
      </c>
      <c r="AD348">
        <v>54.14</v>
      </c>
      <c r="AE348">
        <f t="shared" si="33"/>
        <v>-5.3999999999999204</v>
      </c>
      <c r="AN348">
        <v>347</v>
      </c>
      <c r="AO348">
        <v>84.42</v>
      </c>
      <c r="AP348">
        <f t="shared" si="34"/>
        <v>-2.9999999999998295</v>
      </c>
      <c r="AY348">
        <v>347</v>
      </c>
      <c r="AZ348">
        <v>145.74</v>
      </c>
      <c r="BA348">
        <f t="shared" si="35"/>
        <v>-5.3999999999996362</v>
      </c>
    </row>
    <row r="349" spans="1:53" x14ac:dyDescent="0.25">
      <c r="A349">
        <v>349</v>
      </c>
      <c r="B349">
        <v>6.18</v>
      </c>
      <c r="C349">
        <f t="shared" si="30"/>
        <v>-4.6000000000000085</v>
      </c>
      <c r="R349">
        <v>348</v>
      </c>
      <c r="S349" s="4">
        <v>66.849999999999994</v>
      </c>
      <c r="T349">
        <f t="shared" si="32"/>
        <v>-7.6000000000001933</v>
      </c>
      <c r="AC349">
        <v>348</v>
      </c>
      <c r="AD349">
        <v>54.53</v>
      </c>
      <c r="AE349">
        <f t="shared" si="33"/>
        <v>7.8000000000000114</v>
      </c>
      <c r="AN349">
        <v>348</v>
      </c>
      <c r="AO349">
        <v>84.07</v>
      </c>
      <c r="AP349">
        <f t="shared" si="34"/>
        <v>-7.0000000000001705</v>
      </c>
      <c r="AY349">
        <v>348</v>
      </c>
      <c r="AZ349">
        <v>145.66</v>
      </c>
      <c r="BA349">
        <f t="shared" si="35"/>
        <v>-1.6000000000002501</v>
      </c>
    </row>
    <row r="350" spans="1:53" x14ac:dyDescent="0.25">
      <c r="A350">
        <v>350</v>
      </c>
      <c r="B350">
        <v>5.95</v>
      </c>
      <c r="C350">
        <f t="shared" si="30"/>
        <v>-4.5999999999999908</v>
      </c>
      <c r="R350">
        <v>349</v>
      </c>
      <c r="S350" s="5">
        <v>66.77</v>
      </c>
      <c r="T350">
        <f t="shared" si="32"/>
        <v>-1.5999999999999659</v>
      </c>
      <c r="AC350">
        <v>349</v>
      </c>
      <c r="AD350">
        <v>54.95</v>
      </c>
      <c r="AE350">
        <f t="shared" si="33"/>
        <v>8.4000000000000341</v>
      </c>
      <c r="AN350">
        <v>349</v>
      </c>
      <c r="AO350">
        <v>83.84</v>
      </c>
      <c r="AP350">
        <f t="shared" si="34"/>
        <v>-4.5999999999997954</v>
      </c>
      <c r="AY350">
        <v>349</v>
      </c>
      <c r="AZ350">
        <v>145.51</v>
      </c>
      <c r="BA350">
        <f t="shared" si="35"/>
        <v>-3.0000000000001137</v>
      </c>
    </row>
    <row r="351" spans="1:53" x14ac:dyDescent="0.25">
      <c r="A351">
        <v>351</v>
      </c>
      <c r="B351">
        <v>5.64</v>
      </c>
      <c r="C351">
        <f t="shared" si="30"/>
        <v>-6.2000000000000099</v>
      </c>
      <c r="R351">
        <v>350</v>
      </c>
      <c r="S351" s="5">
        <v>67.58</v>
      </c>
      <c r="T351">
        <f t="shared" si="32"/>
        <v>16.200000000000045</v>
      </c>
      <c r="AC351">
        <v>350</v>
      </c>
      <c r="AD351">
        <v>54.95</v>
      </c>
      <c r="AE351">
        <f t="shared" si="33"/>
        <v>0</v>
      </c>
      <c r="AN351">
        <v>350</v>
      </c>
      <c r="AO351">
        <v>83.68</v>
      </c>
      <c r="AP351">
        <f t="shared" si="34"/>
        <v>-3.1999999999999318</v>
      </c>
      <c r="AY351">
        <v>350</v>
      </c>
      <c r="AZ351">
        <v>145.32</v>
      </c>
      <c r="BA351">
        <f t="shared" si="35"/>
        <v>-3.7999999999999545</v>
      </c>
    </row>
    <row r="352" spans="1:53" x14ac:dyDescent="0.25">
      <c r="A352">
        <v>352</v>
      </c>
      <c r="B352">
        <v>5.41</v>
      </c>
      <c r="C352">
        <f t="shared" si="30"/>
        <v>-4.5999999999999908</v>
      </c>
      <c r="R352">
        <v>351</v>
      </c>
      <c r="S352" s="5">
        <v>67.73</v>
      </c>
      <c r="T352">
        <f t="shared" si="32"/>
        <v>3.0000000000001137</v>
      </c>
      <c r="AC352">
        <v>351</v>
      </c>
      <c r="AD352">
        <v>54.72</v>
      </c>
      <c r="AE352">
        <f t="shared" si="33"/>
        <v>-4.6000000000000796</v>
      </c>
      <c r="AN352">
        <v>351</v>
      </c>
      <c r="AO352">
        <v>83.41</v>
      </c>
      <c r="AP352">
        <f t="shared" si="34"/>
        <v>-5.4000000000002046</v>
      </c>
      <c r="AY352">
        <v>351</v>
      </c>
      <c r="AZ352">
        <v>145.16</v>
      </c>
      <c r="BA352">
        <f t="shared" si="35"/>
        <v>-3.1999999999999318</v>
      </c>
    </row>
    <row r="353" spans="1:53" x14ac:dyDescent="0.25">
      <c r="A353">
        <v>353</v>
      </c>
      <c r="B353">
        <v>5.0999999999999996</v>
      </c>
      <c r="C353">
        <f t="shared" si="30"/>
        <v>-6.2000000000000099</v>
      </c>
      <c r="R353">
        <v>352</v>
      </c>
      <c r="S353" s="4">
        <v>67.7</v>
      </c>
      <c r="T353">
        <f t="shared" si="32"/>
        <v>-0.60000000000002274</v>
      </c>
      <c r="AC353">
        <v>352</v>
      </c>
      <c r="AD353">
        <v>54.64</v>
      </c>
      <c r="AE353">
        <f t="shared" si="33"/>
        <v>-1.5999999999999659</v>
      </c>
      <c r="AN353">
        <v>352</v>
      </c>
      <c r="AO353">
        <v>83.1</v>
      </c>
      <c r="AP353">
        <f t="shared" si="34"/>
        <v>-6.2000000000000455</v>
      </c>
      <c r="AY353">
        <v>352</v>
      </c>
      <c r="AZ353">
        <v>144.97</v>
      </c>
      <c r="BA353">
        <f t="shared" si="35"/>
        <v>-3.7999999999999545</v>
      </c>
    </row>
    <row r="354" spans="1:53" x14ac:dyDescent="0.25">
      <c r="A354">
        <v>354</v>
      </c>
      <c r="B354">
        <v>4.83</v>
      </c>
      <c r="C354">
        <f t="shared" si="30"/>
        <v>-5.3999999999999915</v>
      </c>
      <c r="R354">
        <v>353</v>
      </c>
      <c r="S354" s="4">
        <v>67.459999999999994</v>
      </c>
      <c r="T354">
        <f t="shared" si="32"/>
        <v>-4.8000000000001819</v>
      </c>
      <c r="AC354">
        <v>353</v>
      </c>
      <c r="AD354">
        <v>54.37</v>
      </c>
      <c r="AE354">
        <f t="shared" si="33"/>
        <v>-5.4000000000000625</v>
      </c>
      <c r="AN354">
        <v>353</v>
      </c>
      <c r="AO354">
        <v>82.83</v>
      </c>
      <c r="AP354">
        <f t="shared" si="34"/>
        <v>-5.3999999999999204</v>
      </c>
      <c r="AY354">
        <v>353</v>
      </c>
      <c r="AZ354">
        <v>144.69999999999999</v>
      </c>
      <c r="BA354">
        <f t="shared" si="35"/>
        <v>-5.4000000000002046</v>
      </c>
    </row>
    <row r="355" spans="1:53" x14ac:dyDescent="0.25">
      <c r="A355">
        <v>355</v>
      </c>
      <c r="B355">
        <v>4.75</v>
      </c>
      <c r="C355">
        <f t="shared" si="30"/>
        <v>-1.6000000000000014</v>
      </c>
      <c r="R355">
        <v>354</v>
      </c>
      <c r="S355" s="4">
        <v>67</v>
      </c>
      <c r="T355">
        <f t="shared" si="32"/>
        <v>-9.1999999999998749</v>
      </c>
      <c r="AC355">
        <v>354</v>
      </c>
      <c r="AD355">
        <v>54.14</v>
      </c>
      <c r="AE355">
        <f t="shared" si="33"/>
        <v>-4.5999999999999375</v>
      </c>
      <c r="AN355">
        <v>354</v>
      </c>
      <c r="AO355">
        <v>82.64</v>
      </c>
      <c r="AP355">
        <f t="shared" si="34"/>
        <v>-3.7999999999999545</v>
      </c>
      <c r="AY355">
        <v>354</v>
      </c>
      <c r="AZ355">
        <v>144.5</v>
      </c>
      <c r="BA355">
        <f t="shared" si="35"/>
        <v>-3.9999999999997726</v>
      </c>
    </row>
    <row r="356" spans="1:53" x14ac:dyDescent="0.25">
      <c r="A356">
        <v>356</v>
      </c>
      <c r="B356">
        <v>4.5199999999999996</v>
      </c>
      <c r="C356">
        <f t="shared" si="30"/>
        <v>-4.6000000000000085</v>
      </c>
      <c r="R356">
        <v>355</v>
      </c>
      <c r="S356" s="4">
        <v>66.650000000000006</v>
      </c>
      <c r="T356">
        <f t="shared" si="32"/>
        <v>-6.9999999999998863</v>
      </c>
      <c r="AC356">
        <v>355</v>
      </c>
      <c r="AD356">
        <v>53.99</v>
      </c>
      <c r="AE356">
        <f t="shared" si="33"/>
        <v>-2.9999999999999716</v>
      </c>
      <c r="AN356">
        <v>355</v>
      </c>
      <c r="AO356">
        <v>82.33</v>
      </c>
      <c r="AP356">
        <f t="shared" si="34"/>
        <v>-6.2000000000000455</v>
      </c>
      <c r="AY356">
        <v>355</v>
      </c>
      <c r="AZ356">
        <v>144.31</v>
      </c>
      <c r="BA356">
        <f t="shared" si="35"/>
        <v>-3.7999999999999545</v>
      </c>
    </row>
    <row r="357" spans="1:53" x14ac:dyDescent="0.25">
      <c r="A357">
        <v>357</v>
      </c>
      <c r="B357">
        <v>4.25</v>
      </c>
      <c r="C357">
        <f t="shared" si="30"/>
        <v>-5.3999999999999915</v>
      </c>
      <c r="R357">
        <v>356</v>
      </c>
      <c r="S357" s="4">
        <v>66.34</v>
      </c>
      <c r="T357">
        <f t="shared" si="32"/>
        <v>-6.2000000000000455</v>
      </c>
      <c r="AC357">
        <v>356</v>
      </c>
      <c r="AD357">
        <v>53.83</v>
      </c>
      <c r="AE357">
        <f t="shared" si="33"/>
        <v>-3.2000000000000739</v>
      </c>
      <c r="AN357">
        <v>356</v>
      </c>
      <c r="AO357">
        <v>82.18</v>
      </c>
      <c r="AP357">
        <f t="shared" si="34"/>
        <v>-2.9999999999998295</v>
      </c>
      <c r="AY357">
        <v>356</v>
      </c>
      <c r="AZ357">
        <v>144.16</v>
      </c>
      <c r="BA357">
        <f t="shared" si="35"/>
        <v>-3.0000000000001137</v>
      </c>
    </row>
    <row r="358" spans="1:53" x14ac:dyDescent="0.25">
      <c r="A358">
        <v>358</v>
      </c>
      <c r="B358">
        <v>4.09</v>
      </c>
      <c r="C358">
        <f t="shared" si="30"/>
        <v>-3.2000000000000028</v>
      </c>
      <c r="R358">
        <v>357</v>
      </c>
      <c r="S358" s="4">
        <v>66.069999999999993</v>
      </c>
      <c r="T358">
        <f t="shared" si="32"/>
        <v>-5.4000000000002046</v>
      </c>
      <c r="AC358">
        <v>357</v>
      </c>
      <c r="AD358">
        <v>53.52</v>
      </c>
      <c r="AE358">
        <f t="shared" si="33"/>
        <v>-6.1999999999999034</v>
      </c>
      <c r="AN358">
        <v>357</v>
      </c>
      <c r="AO358">
        <v>82.41</v>
      </c>
      <c r="AP358">
        <f t="shared" si="34"/>
        <v>4.5999999999997954</v>
      </c>
      <c r="AY358">
        <v>357</v>
      </c>
      <c r="AZ358">
        <v>144</v>
      </c>
      <c r="BA358">
        <f t="shared" si="35"/>
        <v>-3.1999999999999318</v>
      </c>
    </row>
    <row r="359" spans="1:53" x14ac:dyDescent="0.25">
      <c r="A359">
        <v>359</v>
      </c>
      <c r="B359">
        <v>3.9</v>
      </c>
      <c r="C359">
        <f t="shared" si="30"/>
        <v>-3.7999999999999989</v>
      </c>
      <c r="R359">
        <v>358</v>
      </c>
      <c r="S359" s="4">
        <v>65.73</v>
      </c>
      <c r="T359">
        <f t="shared" si="32"/>
        <v>-6.799999999999784</v>
      </c>
      <c r="AC359">
        <v>358</v>
      </c>
      <c r="AD359">
        <v>53.37</v>
      </c>
      <c r="AE359">
        <f t="shared" si="33"/>
        <v>-3.0000000000001137</v>
      </c>
      <c r="AN359">
        <v>358</v>
      </c>
      <c r="AO359">
        <v>74.180000000000007</v>
      </c>
      <c r="AP359">
        <f t="shared" si="34"/>
        <v>-164.5999999999998</v>
      </c>
      <c r="AY359">
        <v>358</v>
      </c>
      <c r="AZ359">
        <v>143.85</v>
      </c>
      <c r="BA359">
        <f t="shared" si="35"/>
        <v>-3.0000000000001137</v>
      </c>
    </row>
    <row r="360" spans="1:53" x14ac:dyDescent="0.25">
      <c r="A360">
        <v>360</v>
      </c>
      <c r="B360">
        <v>3.71</v>
      </c>
      <c r="C360">
        <f t="shared" si="30"/>
        <v>-3.7999999999999989</v>
      </c>
      <c r="R360">
        <v>359</v>
      </c>
      <c r="S360" s="4">
        <v>65.459999999999994</v>
      </c>
      <c r="T360">
        <f t="shared" si="32"/>
        <v>-5.4000000000002046</v>
      </c>
      <c r="AC360">
        <v>359</v>
      </c>
      <c r="AD360">
        <v>53.14</v>
      </c>
      <c r="AE360">
        <f t="shared" si="33"/>
        <v>-4.5999999999999375</v>
      </c>
      <c r="AN360">
        <v>359</v>
      </c>
      <c r="AO360">
        <v>67.89</v>
      </c>
      <c r="AP360">
        <f t="shared" si="34"/>
        <v>-125.80000000000013</v>
      </c>
      <c r="AY360">
        <v>359</v>
      </c>
      <c r="AZ360">
        <v>144.19999999999999</v>
      </c>
      <c r="BA360">
        <f t="shared" si="35"/>
        <v>6.9999999999998863</v>
      </c>
    </row>
    <row r="361" spans="1:53" x14ac:dyDescent="0.25">
      <c r="A361">
        <v>361</v>
      </c>
      <c r="B361">
        <v>3.51</v>
      </c>
      <c r="C361">
        <f t="shared" si="30"/>
        <v>-4.0000000000000036</v>
      </c>
      <c r="R361">
        <v>360</v>
      </c>
      <c r="S361" s="4">
        <v>65.11</v>
      </c>
      <c r="T361">
        <f t="shared" si="32"/>
        <v>-6.9999999999998863</v>
      </c>
      <c r="AC361">
        <v>360</v>
      </c>
      <c r="AD361">
        <v>52.91</v>
      </c>
      <c r="AE361">
        <f t="shared" si="33"/>
        <v>-4.6000000000000796</v>
      </c>
      <c r="AN361">
        <v>360</v>
      </c>
      <c r="AO361">
        <v>62.48</v>
      </c>
      <c r="AP361">
        <f t="shared" si="34"/>
        <v>-108.20000000000007</v>
      </c>
      <c r="AY361">
        <v>360</v>
      </c>
      <c r="AZ361">
        <v>145.01</v>
      </c>
      <c r="BA361">
        <f t="shared" si="35"/>
        <v>16.200000000000045</v>
      </c>
    </row>
    <row r="362" spans="1:53" x14ac:dyDescent="0.25">
      <c r="A362">
        <v>362</v>
      </c>
      <c r="B362">
        <v>3.36</v>
      </c>
      <c r="C362">
        <f t="shared" si="30"/>
        <v>-2.9999999999999982</v>
      </c>
      <c r="R362">
        <v>361</v>
      </c>
      <c r="S362" s="4">
        <v>64.84</v>
      </c>
      <c r="T362">
        <f t="shared" si="32"/>
        <v>-5.3999999999999204</v>
      </c>
      <c r="AC362">
        <v>361</v>
      </c>
      <c r="AD362">
        <v>52.75</v>
      </c>
      <c r="AE362">
        <f t="shared" si="33"/>
        <v>-3.1999999999999318</v>
      </c>
      <c r="AN362">
        <v>361</v>
      </c>
      <c r="AO362">
        <v>57.85</v>
      </c>
      <c r="AP362">
        <f t="shared" si="34"/>
        <v>-92.599999999999909</v>
      </c>
      <c r="AY362">
        <v>361</v>
      </c>
      <c r="AZ362">
        <v>145.59</v>
      </c>
      <c r="BA362">
        <f t="shared" si="35"/>
        <v>11.60000000000025</v>
      </c>
    </row>
    <row r="363" spans="1:53" x14ac:dyDescent="0.25">
      <c r="A363">
        <v>363</v>
      </c>
      <c r="B363">
        <v>3.28</v>
      </c>
      <c r="C363">
        <f t="shared" si="30"/>
        <v>-1.6000000000000014</v>
      </c>
      <c r="R363">
        <v>362</v>
      </c>
      <c r="S363" s="4">
        <v>64.64</v>
      </c>
      <c r="T363">
        <f t="shared" si="32"/>
        <v>-4.0000000000000568</v>
      </c>
      <c r="AC363">
        <v>362</v>
      </c>
      <c r="AD363">
        <v>52.56</v>
      </c>
      <c r="AE363">
        <f t="shared" si="33"/>
        <v>-3.7999999999999545</v>
      </c>
      <c r="AN363">
        <v>362</v>
      </c>
      <c r="AO363">
        <v>53.75</v>
      </c>
      <c r="AP363">
        <f t="shared" si="34"/>
        <v>-82.000000000000028</v>
      </c>
      <c r="AY363">
        <v>362</v>
      </c>
      <c r="AZ363">
        <v>145.62</v>
      </c>
      <c r="BA363">
        <f t="shared" si="35"/>
        <v>0.60000000000002274</v>
      </c>
    </row>
    <row r="364" spans="1:53" x14ac:dyDescent="0.25">
      <c r="A364">
        <v>364</v>
      </c>
      <c r="B364">
        <v>3.09</v>
      </c>
      <c r="C364">
        <f t="shared" si="30"/>
        <v>-3.7999999999999989</v>
      </c>
      <c r="R364">
        <v>363</v>
      </c>
      <c r="S364" s="5">
        <v>64.37</v>
      </c>
      <c r="T364">
        <f t="shared" si="32"/>
        <v>-5.3999999999999204</v>
      </c>
      <c r="AC364">
        <v>363</v>
      </c>
      <c r="AD364">
        <v>52.25</v>
      </c>
      <c r="AE364">
        <f t="shared" si="33"/>
        <v>-6.2000000000000455</v>
      </c>
      <c r="AN364">
        <v>363</v>
      </c>
      <c r="AO364">
        <v>50.01</v>
      </c>
      <c r="AP364">
        <f t="shared" si="34"/>
        <v>-74.80000000000004</v>
      </c>
      <c r="AY364">
        <v>363</v>
      </c>
      <c r="AZ364">
        <v>145.32</v>
      </c>
      <c r="BA364">
        <f t="shared" si="35"/>
        <v>-6.0000000000002274</v>
      </c>
    </row>
    <row r="365" spans="1:53" x14ac:dyDescent="0.25">
      <c r="A365">
        <v>365</v>
      </c>
      <c r="B365">
        <v>2.97</v>
      </c>
      <c r="C365">
        <f t="shared" si="30"/>
        <v>-2.3999999999999932</v>
      </c>
      <c r="R365">
        <v>364</v>
      </c>
      <c r="S365" s="5">
        <v>64.989999999999995</v>
      </c>
      <c r="T365">
        <f t="shared" si="32"/>
        <v>12.399999999999807</v>
      </c>
      <c r="AC365">
        <v>364</v>
      </c>
      <c r="AD365">
        <v>48.7</v>
      </c>
      <c r="AE365">
        <f t="shared" si="33"/>
        <v>-70.999999999999943</v>
      </c>
      <c r="AN365">
        <v>364</v>
      </c>
      <c r="AO365">
        <v>46.61</v>
      </c>
      <c r="AP365">
        <f t="shared" si="34"/>
        <v>-67.999999999999972</v>
      </c>
      <c r="AY365">
        <v>364</v>
      </c>
      <c r="AZ365">
        <v>144.97</v>
      </c>
      <c r="BA365">
        <f t="shared" si="35"/>
        <v>-6.9999999999998863</v>
      </c>
    </row>
    <row r="366" spans="1:53" x14ac:dyDescent="0.25">
      <c r="A366">
        <v>366</v>
      </c>
      <c r="B366">
        <v>2.86</v>
      </c>
      <c r="C366">
        <f t="shared" si="30"/>
        <v>-2.2000000000000064</v>
      </c>
      <c r="R366">
        <v>365</v>
      </c>
      <c r="S366" s="5">
        <v>65.22</v>
      </c>
      <c r="T366">
        <f t="shared" si="32"/>
        <v>4.6000000000000796</v>
      </c>
      <c r="AC366">
        <v>365</v>
      </c>
      <c r="AD366">
        <v>41.78</v>
      </c>
      <c r="AE366">
        <f t="shared" si="33"/>
        <v>-138.40000000000003</v>
      </c>
      <c r="AN366">
        <v>365</v>
      </c>
      <c r="AO366">
        <v>43.44</v>
      </c>
      <c r="AP366">
        <f t="shared" si="34"/>
        <v>-63.400000000000034</v>
      </c>
      <c r="AY366">
        <v>365</v>
      </c>
      <c r="AZ366">
        <v>144.31</v>
      </c>
      <c r="BA366">
        <f t="shared" si="35"/>
        <v>-13.199999999999932</v>
      </c>
    </row>
    <row r="367" spans="1:53" x14ac:dyDescent="0.25">
      <c r="A367">
        <v>367</v>
      </c>
      <c r="B367">
        <v>2.74</v>
      </c>
      <c r="C367">
        <f t="shared" si="30"/>
        <v>-2.3999999999999932</v>
      </c>
      <c r="R367">
        <v>366</v>
      </c>
      <c r="S367" s="4">
        <v>65.22</v>
      </c>
      <c r="T367">
        <f t="shared" si="32"/>
        <v>0</v>
      </c>
      <c r="AC367">
        <v>366</v>
      </c>
      <c r="AD367">
        <v>37.11</v>
      </c>
      <c r="AE367">
        <f t="shared" si="33"/>
        <v>-93.400000000000034</v>
      </c>
      <c r="AN367">
        <v>366</v>
      </c>
      <c r="AO367">
        <v>40.590000000000003</v>
      </c>
      <c r="AP367">
        <f t="shared" si="34"/>
        <v>-56.999999999999886</v>
      </c>
      <c r="AY367">
        <v>366</v>
      </c>
      <c r="AZ367">
        <v>143.54</v>
      </c>
      <c r="BA367">
        <f t="shared" si="35"/>
        <v>-15.400000000000205</v>
      </c>
    </row>
    <row r="368" spans="1:53" x14ac:dyDescent="0.25">
      <c r="A368">
        <v>368</v>
      </c>
      <c r="B368">
        <v>2.66</v>
      </c>
      <c r="C368">
        <f t="shared" si="30"/>
        <v>-1.6000000000000014</v>
      </c>
      <c r="R368">
        <v>367</v>
      </c>
      <c r="S368" s="4">
        <v>65.069999999999993</v>
      </c>
      <c r="T368">
        <f t="shared" si="32"/>
        <v>-3.0000000000001137</v>
      </c>
      <c r="AC368">
        <v>367</v>
      </c>
      <c r="AD368">
        <v>33.25</v>
      </c>
      <c r="AE368">
        <f t="shared" si="33"/>
        <v>-77.199999999999989</v>
      </c>
      <c r="AN368">
        <v>367</v>
      </c>
      <c r="AO368">
        <v>38.04</v>
      </c>
      <c r="AP368">
        <f t="shared" si="34"/>
        <v>-51.000000000000085</v>
      </c>
      <c r="AY368">
        <v>367</v>
      </c>
      <c r="AZ368">
        <v>143.11000000000001</v>
      </c>
      <c r="BA368">
        <f t="shared" si="35"/>
        <v>-8.599999999999568</v>
      </c>
    </row>
    <row r="369" spans="1:53" x14ac:dyDescent="0.25">
      <c r="A369">
        <v>369</v>
      </c>
      <c r="B369">
        <v>2.4700000000000002</v>
      </c>
      <c r="C369">
        <f t="shared" si="30"/>
        <v>-3.7999999999999989</v>
      </c>
      <c r="R369">
        <v>368</v>
      </c>
      <c r="S369" s="4">
        <v>64.8</v>
      </c>
      <c r="T369">
        <f t="shared" si="32"/>
        <v>-5.3999999999999204</v>
      </c>
      <c r="AC369">
        <v>368</v>
      </c>
      <c r="AD369">
        <v>29.93</v>
      </c>
      <c r="AE369">
        <f t="shared" si="33"/>
        <v>-66.400000000000006</v>
      </c>
      <c r="AN369">
        <v>368</v>
      </c>
      <c r="AO369">
        <v>35.57</v>
      </c>
      <c r="AP369">
        <f t="shared" si="34"/>
        <v>-49.399999999999977</v>
      </c>
      <c r="AY369">
        <v>368</v>
      </c>
      <c r="AZ369">
        <v>143</v>
      </c>
      <c r="BA369">
        <f t="shared" si="35"/>
        <v>-2.2000000000002728</v>
      </c>
    </row>
    <row r="370" spans="1:53" x14ac:dyDescent="0.25">
      <c r="A370">
        <v>370</v>
      </c>
      <c r="B370">
        <v>2.3199999999999998</v>
      </c>
      <c r="C370">
        <f t="shared" si="30"/>
        <v>-3.0000000000000071</v>
      </c>
      <c r="R370">
        <v>369</v>
      </c>
      <c r="S370" s="4">
        <v>64.45</v>
      </c>
      <c r="T370">
        <f t="shared" si="32"/>
        <v>-6.9999999999998863</v>
      </c>
      <c r="AC370">
        <v>369</v>
      </c>
      <c r="AD370">
        <v>27.15</v>
      </c>
      <c r="AE370">
        <f t="shared" si="33"/>
        <v>-55.600000000000023</v>
      </c>
      <c r="AN370">
        <v>369</v>
      </c>
      <c r="AO370">
        <v>33.479999999999997</v>
      </c>
      <c r="AP370">
        <f t="shared" si="34"/>
        <v>-41.800000000000068</v>
      </c>
      <c r="AY370">
        <v>369</v>
      </c>
      <c r="AZ370">
        <v>142.77000000000001</v>
      </c>
      <c r="BA370">
        <f t="shared" si="35"/>
        <v>-4.5999999999997954</v>
      </c>
    </row>
    <row r="371" spans="1:53" x14ac:dyDescent="0.25">
      <c r="A371">
        <v>371</v>
      </c>
      <c r="B371">
        <v>2.2400000000000002</v>
      </c>
      <c r="C371">
        <f t="shared" si="30"/>
        <v>-1.5999999999999925</v>
      </c>
      <c r="R371">
        <v>370</v>
      </c>
      <c r="S371" s="4">
        <v>64.14</v>
      </c>
      <c r="T371">
        <f t="shared" si="32"/>
        <v>-6.2000000000000455</v>
      </c>
      <c r="AC371">
        <v>370</v>
      </c>
      <c r="AD371">
        <v>24.91</v>
      </c>
      <c r="AE371">
        <f t="shared" si="33"/>
        <v>-44.799999999999969</v>
      </c>
      <c r="AN371">
        <v>370</v>
      </c>
      <c r="AO371">
        <v>31.7</v>
      </c>
      <c r="AP371">
        <f t="shared" si="34"/>
        <v>-35.599999999999952</v>
      </c>
      <c r="AY371">
        <v>370</v>
      </c>
      <c r="AZ371">
        <v>142.61000000000001</v>
      </c>
      <c r="BA371">
        <f t="shared" si="35"/>
        <v>-3.1999999999999318</v>
      </c>
    </row>
    <row r="372" spans="1:53" x14ac:dyDescent="0.25">
      <c r="A372">
        <v>372</v>
      </c>
      <c r="B372">
        <v>2.2000000000000002</v>
      </c>
      <c r="C372">
        <f t="shared" si="30"/>
        <v>-0.80000000000000071</v>
      </c>
      <c r="R372">
        <v>371</v>
      </c>
      <c r="S372" s="4">
        <v>63.91</v>
      </c>
      <c r="T372">
        <f t="shared" si="32"/>
        <v>-4.6000000000000796</v>
      </c>
      <c r="AC372">
        <v>371</v>
      </c>
      <c r="AD372">
        <v>22.94</v>
      </c>
      <c r="AE372">
        <f t="shared" si="33"/>
        <v>-39.399999999999977</v>
      </c>
      <c r="AN372">
        <v>371</v>
      </c>
      <c r="AO372">
        <v>29.85</v>
      </c>
      <c r="AP372">
        <f t="shared" si="34"/>
        <v>-36.999999999999957</v>
      </c>
      <c r="AY372">
        <v>371</v>
      </c>
      <c r="AZ372">
        <v>142.34</v>
      </c>
      <c r="BA372">
        <f t="shared" si="35"/>
        <v>-5.4000000000002046</v>
      </c>
    </row>
    <row r="373" spans="1:53" x14ac:dyDescent="0.25">
      <c r="A373">
        <v>373</v>
      </c>
      <c r="B373">
        <v>2.09</v>
      </c>
      <c r="C373">
        <f t="shared" si="30"/>
        <v>-2.2000000000000064</v>
      </c>
      <c r="R373">
        <v>372</v>
      </c>
      <c r="S373" s="4">
        <v>63.6</v>
      </c>
      <c r="T373">
        <f t="shared" si="32"/>
        <v>-6.1999999999999034</v>
      </c>
      <c r="AC373">
        <v>372</v>
      </c>
      <c r="AD373">
        <v>21.05</v>
      </c>
      <c r="AE373">
        <f t="shared" si="33"/>
        <v>-37.800000000000011</v>
      </c>
      <c r="AN373">
        <v>372</v>
      </c>
      <c r="AO373">
        <v>28.15</v>
      </c>
      <c r="AP373">
        <f t="shared" si="34"/>
        <v>-34.000000000000057</v>
      </c>
      <c r="AY373">
        <v>372</v>
      </c>
      <c r="AZ373">
        <v>142.11000000000001</v>
      </c>
      <c r="BA373">
        <f t="shared" si="35"/>
        <v>-4.5999999999997954</v>
      </c>
    </row>
    <row r="374" spans="1:53" x14ac:dyDescent="0.25">
      <c r="A374">
        <v>374</v>
      </c>
      <c r="B374">
        <v>1.97</v>
      </c>
      <c r="C374">
        <f t="shared" si="30"/>
        <v>-2.3999999999999977</v>
      </c>
      <c r="R374">
        <v>373</v>
      </c>
      <c r="S374" s="4">
        <v>63.37</v>
      </c>
      <c r="T374">
        <f t="shared" si="32"/>
        <v>-4.6000000000000796</v>
      </c>
      <c r="AC374">
        <v>373</v>
      </c>
      <c r="AD374">
        <v>19.420000000000002</v>
      </c>
      <c r="AE374">
        <f t="shared" si="33"/>
        <v>-32.59999999999998</v>
      </c>
      <c r="AN374">
        <v>373</v>
      </c>
      <c r="AO374">
        <v>26.45</v>
      </c>
      <c r="AP374">
        <f t="shared" si="34"/>
        <v>-33.999999999999986</v>
      </c>
      <c r="AY374">
        <v>373</v>
      </c>
      <c r="AZ374">
        <v>141.91999999999999</v>
      </c>
      <c r="BA374">
        <f t="shared" si="35"/>
        <v>-3.800000000000523</v>
      </c>
    </row>
    <row r="375" spans="1:53" x14ac:dyDescent="0.25">
      <c r="A375">
        <v>375</v>
      </c>
      <c r="B375">
        <v>1.93</v>
      </c>
      <c r="C375">
        <f t="shared" si="30"/>
        <v>-0.80000000000000071</v>
      </c>
      <c r="R375">
        <v>374</v>
      </c>
      <c r="S375" s="4">
        <v>63.1</v>
      </c>
      <c r="T375">
        <f t="shared" si="32"/>
        <v>-5.3999999999999204</v>
      </c>
      <c r="AC375">
        <v>374</v>
      </c>
      <c r="AD375">
        <v>17.760000000000002</v>
      </c>
      <c r="AE375">
        <f t="shared" si="33"/>
        <v>-33.200000000000003</v>
      </c>
      <c r="AN375">
        <v>374</v>
      </c>
      <c r="AO375">
        <v>24.91</v>
      </c>
      <c r="AP375">
        <f t="shared" si="34"/>
        <v>-30.799999999999983</v>
      </c>
      <c r="AY375">
        <v>374</v>
      </c>
      <c r="AZ375">
        <v>141.69</v>
      </c>
      <c r="BA375">
        <f t="shared" si="35"/>
        <v>-4.5999999999997954</v>
      </c>
    </row>
    <row r="376" spans="1:53" x14ac:dyDescent="0.25">
      <c r="A376">
        <v>376</v>
      </c>
      <c r="B376">
        <v>1.85</v>
      </c>
      <c r="C376">
        <f t="shared" si="30"/>
        <v>-1.599999999999997</v>
      </c>
      <c r="R376">
        <v>375</v>
      </c>
      <c r="S376" s="4">
        <v>62.79</v>
      </c>
      <c r="T376">
        <f t="shared" si="32"/>
        <v>-6.2000000000000455</v>
      </c>
      <c r="AC376">
        <v>375</v>
      </c>
      <c r="AD376">
        <v>16.329999999999998</v>
      </c>
      <c r="AE376">
        <f t="shared" si="33"/>
        <v>-28.600000000000065</v>
      </c>
      <c r="AN376">
        <v>375</v>
      </c>
      <c r="AO376">
        <v>23.59</v>
      </c>
      <c r="AP376">
        <f t="shared" si="34"/>
        <v>-26.400000000000006</v>
      </c>
      <c r="AY376">
        <v>375</v>
      </c>
      <c r="AZ376">
        <v>141.53</v>
      </c>
      <c r="BA376">
        <f t="shared" si="35"/>
        <v>-3.1999999999999318</v>
      </c>
    </row>
    <row r="377" spans="1:53" x14ac:dyDescent="0.25">
      <c r="A377">
        <v>377</v>
      </c>
      <c r="B377">
        <v>1.74</v>
      </c>
      <c r="C377">
        <f t="shared" si="30"/>
        <v>-2.200000000000002</v>
      </c>
      <c r="R377">
        <v>376</v>
      </c>
      <c r="S377" s="4">
        <v>62.52</v>
      </c>
      <c r="T377">
        <f t="shared" si="32"/>
        <v>-5.3999999999999204</v>
      </c>
      <c r="AC377">
        <v>376</v>
      </c>
      <c r="AD377">
        <v>15.06</v>
      </c>
      <c r="AE377">
        <f t="shared" si="33"/>
        <v>-25.399999999999956</v>
      </c>
      <c r="AN377">
        <v>376</v>
      </c>
      <c r="AO377">
        <v>22.2</v>
      </c>
      <c r="AP377">
        <f t="shared" si="34"/>
        <v>-27.800000000000011</v>
      </c>
      <c r="AY377">
        <v>376</v>
      </c>
      <c r="AZ377">
        <v>141.41999999999999</v>
      </c>
      <c r="BA377">
        <f t="shared" si="35"/>
        <v>-2.2000000000002728</v>
      </c>
    </row>
    <row r="378" spans="1:53" x14ac:dyDescent="0.25">
      <c r="A378">
        <v>378</v>
      </c>
      <c r="B378">
        <v>1.66</v>
      </c>
      <c r="C378">
        <f t="shared" si="30"/>
        <v>-1.6000000000000014</v>
      </c>
      <c r="R378">
        <v>377</v>
      </c>
      <c r="S378" s="4">
        <v>62.02</v>
      </c>
      <c r="T378">
        <f t="shared" si="32"/>
        <v>-10</v>
      </c>
      <c r="AC378">
        <v>377</v>
      </c>
      <c r="AD378">
        <v>13.9</v>
      </c>
      <c r="AE378">
        <f t="shared" si="33"/>
        <v>-23.200000000000003</v>
      </c>
      <c r="AN378">
        <v>377</v>
      </c>
      <c r="AO378">
        <v>21.01</v>
      </c>
      <c r="AP378">
        <f t="shared" si="34"/>
        <v>-23.799999999999955</v>
      </c>
      <c r="AY378">
        <v>377</v>
      </c>
      <c r="AZ378">
        <v>141.22</v>
      </c>
      <c r="BA378">
        <f t="shared" si="35"/>
        <v>-3.9999999999997726</v>
      </c>
    </row>
    <row r="379" spans="1:53" x14ac:dyDescent="0.25">
      <c r="A379">
        <v>379</v>
      </c>
      <c r="B379">
        <v>1.62</v>
      </c>
      <c r="C379">
        <f t="shared" si="30"/>
        <v>-0.79999999999999627</v>
      </c>
      <c r="R379">
        <v>378</v>
      </c>
      <c r="S379" s="4">
        <v>53.56</v>
      </c>
      <c r="T379">
        <f t="shared" si="32"/>
        <v>-169.20000000000002</v>
      </c>
      <c r="AC379">
        <v>378</v>
      </c>
      <c r="AD379">
        <v>12.94</v>
      </c>
      <c r="AE379">
        <f t="shared" si="33"/>
        <v>-19.200000000000017</v>
      </c>
      <c r="AN379">
        <v>378</v>
      </c>
      <c r="AO379">
        <v>20</v>
      </c>
      <c r="AP379">
        <f t="shared" si="34"/>
        <v>-20.200000000000031</v>
      </c>
      <c r="AY379">
        <v>378</v>
      </c>
      <c r="AZ379">
        <v>141.11000000000001</v>
      </c>
      <c r="BA379">
        <f t="shared" si="35"/>
        <v>-2.1999999999997044</v>
      </c>
    </row>
    <row r="380" spans="1:53" x14ac:dyDescent="0.25">
      <c r="A380">
        <v>380</v>
      </c>
      <c r="B380">
        <v>1.54</v>
      </c>
      <c r="C380">
        <f t="shared" si="30"/>
        <v>-1.6000000000000014</v>
      </c>
      <c r="R380">
        <v>379</v>
      </c>
      <c r="S380" s="4">
        <v>47.61</v>
      </c>
      <c r="T380">
        <f t="shared" si="32"/>
        <v>-119.00000000000006</v>
      </c>
      <c r="AC380">
        <v>379</v>
      </c>
      <c r="AD380">
        <v>11.97</v>
      </c>
      <c r="AE380">
        <f t="shared" si="33"/>
        <v>-19.399999999999977</v>
      </c>
      <c r="AN380">
        <v>379</v>
      </c>
      <c r="AO380">
        <v>18.96</v>
      </c>
      <c r="AP380">
        <f t="shared" si="34"/>
        <v>-20.799999999999983</v>
      </c>
      <c r="AY380">
        <v>379</v>
      </c>
      <c r="AZ380">
        <v>141.57</v>
      </c>
      <c r="BA380">
        <f t="shared" si="35"/>
        <v>9.1999999999995907</v>
      </c>
    </row>
    <row r="381" spans="1:53" x14ac:dyDescent="0.25">
      <c r="A381">
        <v>381</v>
      </c>
      <c r="B381">
        <v>1.43</v>
      </c>
      <c r="C381">
        <f t="shared" si="30"/>
        <v>-2.200000000000002</v>
      </c>
      <c r="R381">
        <v>380</v>
      </c>
      <c r="S381" s="4">
        <v>42.71</v>
      </c>
      <c r="T381">
        <f t="shared" si="32"/>
        <v>-97.999999999999972</v>
      </c>
      <c r="AC381">
        <v>380</v>
      </c>
      <c r="AD381">
        <v>11.12</v>
      </c>
      <c r="AE381">
        <f t="shared" si="33"/>
        <v>-17.000000000000028</v>
      </c>
      <c r="AN381">
        <v>380</v>
      </c>
      <c r="AO381">
        <v>18</v>
      </c>
      <c r="AP381">
        <f t="shared" si="34"/>
        <v>-19.200000000000017</v>
      </c>
      <c r="AY381">
        <v>380</v>
      </c>
      <c r="AZ381">
        <v>142.30000000000001</v>
      </c>
      <c r="BA381">
        <f t="shared" si="35"/>
        <v>14.600000000000364</v>
      </c>
    </row>
    <row r="382" spans="1:53" x14ac:dyDescent="0.25">
      <c r="A382">
        <v>382</v>
      </c>
      <c r="B382">
        <v>1.39</v>
      </c>
      <c r="C382">
        <f t="shared" si="30"/>
        <v>-0.80000000000000071</v>
      </c>
      <c r="R382">
        <v>381</v>
      </c>
      <c r="S382" s="4">
        <v>38.31</v>
      </c>
      <c r="T382">
        <f t="shared" si="32"/>
        <v>-87.999999999999972</v>
      </c>
      <c r="AC382">
        <v>381</v>
      </c>
      <c r="AD382">
        <v>10.35</v>
      </c>
      <c r="AE382">
        <f t="shared" si="33"/>
        <v>-15.399999999999991</v>
      </c>
      <c r="AN382">
        <v>381</v>
      </c>
      <c r="AO382">
        <v>17.07</v>
      </c>
      <c r="AP382">
        <f t="shared" si="34"/>
        <v>-18.599999999999994</v>
      </c>
      <c r="AY382">
        <v>381</v>
      </c>
      <c r="AZ382">
        <v>142.77000000000001</v>
      </c>
      <c r="BA382">
        <f t="shared" si="35"/>
        <v>9.3999999999999773</v>
      </c>
    </row>
    <row r="383" spans="1:53" x14ac:dyDescent="0.25">
      <c r="A383">
        <v>383</v>
      </c>
      <c r="B383">
        <v>1.31</v>
      </c>
      <c r="C383">
        <f t="shared" si="30"/>
        <v>-1.599999999999997</v>
      </c>
      <c r="R383">
        <v>382</v>
      </c>
      <c r="S383" s="4">
        <v>34.450000000000003</v>
      </c>
      <c r="T383">
        <f t="shared" si="32"/>
        <v>-77.199999999999989</v>
      </c>
      <c r="AC383">
        <v>382</v>
      </c>
      <c r="AD383">
        <v>9.6199999999999992</v>
      </c>
      <c r="AE383">
        <f t="shared" si="33"/>
        <v>-14.600000000000009</v>
      </c>
      <c r="AN383">
        <v>382</v>
      </c>
      <c r="AO383">
        <v>16.41</v>
      </c>
      <c r="AP383">
        <f t="shared" si="34"/>
        <v>-13.200000000000003</v>
      </c>
      <c r="AY383">
        <v>382</v>
      </c>
      <c r="AZ383">
        <v>142.77000000000001</v>
      </c>
      <c r="BA383">
        <f t="shared" si="35"/>
        <v>0</v>
      </c>
    </row>
    <row r="384" spans="1:53" x14ac:dyDescent="0.25">
      <c r="A384">
        <v>384</v>
      </c>
      <c r="B384">
        <v>1.24</v>
      </c>
      <c r="C384">
        <f t="shared" si="30"/>
        <v>-1.4000000000000012</v>
      </c>
      <c r="R384">
        <v>383</v>
      </c>
      <c r="S384" s="4">
        <v>31.01</v>
      </c>
      <c r="T384">
        <f t="shared" si="32"/>
        <v>-68.800000000000026</v>
      </c>
      <c r="AC384">
        <v>383</v>
      </c>
      <c r="AD384">
        <v>9</v>
      </c>
      <c r="AE384">
        <f t="shared" si="33"/>
        <v>-12.399999999999984</v>
      </c>
      <c r="AN384">
        <v>383</v>
      </c>
      <c r="AO384">
        <v>15.68</v>
      </c>
      <c r="AP384">
        <f t="shared" si="34"/>
        <v>-14.600000000000009</v>
      </c>
      <c r="AY384">
        <v>383</v>
      </c>
      <c r="AZ384">
        <v>142.5</v>
      </c>
      <c r="BA384">
        <f t="shared" si="35"/>
        <v>-5.4000000000002046</v>
      </c>
    </row>
    <row r="385" spans="1:53" x14ac:dyDescent="0.25">
      <c r="A385">
        <v>385</v>
      </c>
      <c r="B385">
        <v>1.2</v>
      </c>
      <c r="C385">
        <f t="shared" si="30"/>
        <v>-0.80000000000000071</v>
      </c>
      <c r="R385">
        <v>384</v>
      </c>
      <c r="S385" s="4">
        <v>27.96</v>
      </c>
      <c r="T385">
        <f t="shared" si="32"/>
        <v>-61.000000000000014</v>
      </c>
      <c r="AC385">
        <v>384</v>
      </c>
      <c r="AD385">
        <v>8.3800000000000008</v>
      </c>
      <c r="AE385">
        <f t="shared" si="33"/>
        <v>-12.399999999999984</v>
      </c>
      <c r="AN385">
        <v>384</v>
      </c>
      <c r="AO385">
        <v>15.02</v>
      </c>
      <c r="AP385">
        <f t="shared" si="34"/>
        <v>-13.200000000000003</v>
      </c>
      <c r="AY385">
        <v>384</v>
      </c>
      <c r="AZ385">
        <v>142.07</v>
      </c>
      <c r="BA385">
        <f t="shared" si="35"/>
        <v>-8.6000000000001364</v>
      </c>
    </row>
    <row r="386" spans="1:53" x14ac:dyDescent="0.25">
      <c r="A386">
        <v>386</v>
      </c>
      <c r="B386">
        <v>1.1200000000000001</v>
      </c>
      <c r="C386">
        <f t="shared" si="30"/>
        <v>-1.599999999999997</v>
      </c>
      <c r="R386">
        <v>385</v>
      </c>
      <c r="S386" s="4">
        <v>25.18</v>
      </c>
      <c r="T386">
        <f t="shared" si="32"/>
        <v>-55.600000000000023</v>
      </c>
      <c r="AC386">
        <v>385</v>
      </c>
      <c r="AD386">
        <v>7.96</v>
      </c>
      <c r="AE386">
        <f t="shared" si="33"/>
        <v>-8.4000000000000163</v>
      </c>
      <c r="AN386">
        <v>385</v>
      </c>
      <c r="AO386">
        <v>14.48</v>
      </c>
      <c r="AP386">
        <f t="shared" si="34"/>
        <v>-10.799999999999983</v>
      </c>
      <c r="AY386">
        <v>385</v>
      </c>
      <c r="AZ386">
        <v>141.44999999999999</v>
      </c>
      <c r="BA386">
        <f t="shared" si="35"/>
        <v>-12.400000000000091</v>
      </c>
    </row>
    <row r="387" spans="1:53" x14ac:dyDescent="0.25">
      <c r="A387">
        <v>387</v>
      </c>
      <c r="B387">
        <v>1.08</v>
      </c>
      <c r="C387">
        <f t="shared" ref="C387:C418" si="36">(B387-B386)/0.05</f>
        <v>-0.80000000000000071</v>
      </c>
      <c r="R387">
        <v>386</v>
      </c>
      <c r="S387" s="4">
        <v>22.75</v>
      </c>
      <c r="T387">
        <f t="shared" si="32"/>
        <v>-48.599999999999994</v>
      </c>
      <c r="AC387">
        <v>386</v>
      </c>
      <c r="AD387">
        <v>7.41</v>
      </c>
      <c r="AE387">
        <f t="shared" si="33"/>
        <v>-10.999999999999996</v>
      </c>
      <c r="AN387">
        <v>386</v>
      </c>
      <c r="AO387">
        <v>13.86</v>
      </c>
      <c r="AP387">
        <f t="shared" si="34"/>
        <v>-12.40000000000002</v>
      </c>
      <c r="AY387">
        <v>386</v>
      </c>
      <c r="AZ387">
        <v>140.68</v>
      </c>
      <c r="BA387">
        <f t="shared" si="35"/>
        <v>-15.399999999999636</v>
      </c>
    </row>
    <row r="388" spans="1:53" x14ac:dyDescent="0.25">
      <c r="A388">
        <v>388</v>
      </c>
      <c r="B388">
        <v>0.97</v>
      </c>
      <c r="C388">
        <f t="shared" si="36"/>
        <v>-2.200000000000002</v>
      </c>
      <c r="R388">
        <v>387</v>
      </c>
      <c r="S388" s="4">
        <v>20.58</v>
      </c>
      <c r="T388">
        <f t="shared" ref="T388:T395" si="37">(S388-S387)/0.05</f>
        <v>-43.400000000000034</v>
      </c>
      <c r="AC388">
        <v>387</v>
      </c>
      <c r="AD388">
        <v>7.03</v>
      </c>
      <c r="AE388">
        <f t="shared" ref="AE388:AE402" si="38">(AD388-AD387)/0.05</f>
        <v>-7.5999999999999979</v>
      </c>
      <c r="AN388">
        <v>387</v>
      </c>
      <c r="AO388">
        <v>13.21</v>
      </c>
      <c r="AP388">
        <f t="shared" ref="AP388:AP439" si="39">(AO388-AO387)/0.05</f>
        <v>-12.999999999999972</v>
      </c>
      <c r="AY388">
        <v>387</v>
      </c>
      <c r="AZ388">
        <v>140.33000000000001</v>
      </c>
      <c r="BA388">
        <f t="shared" ref="BA388:BA451" si="40">(AZ388-AZ387)/0.05</f>
        <v>-6.9999999999998863</v>
      </c>
    </row>
    <row r="389" spans="1:53" x14ac:dyDescent="0.25">
      <c r="A389">
        <v>389</v>
      </c>
      <c r="B389">
        <v>0.97</v>
      </c>
      <c r="C389">
        <f t="shared" si="36"/>
        <v>0</v>
      </c>
      <c r="R389">
        <v>388</v>
      </c>
      <c r="S389" s="4">
        <v>18.73</v>
      </c>
      <c r="T389">
        <f t="shared" si="37"/>
        <v>-36.999999999999957</v>
      </c>
      <c r="AC389">
        <v>388</v>
      </c>
      <c r="AD389">
        <v>6.64</v>
      </c>
      <c r="AE389">
        <f t="shared" si="38"/>
        <v>-7.8000000000000114</v>
      </c>
      <c r="AN389">
        <v>388</v>
      </c>
      <c r="AO389">
        <v>12.67</v>
      </c>
      <c r="AP389">
        <f t="shared" si="39"/>
        <v>-10.800000000000018</v>
      </c>
      <c r="AY389">
        <v>388</v>
      </c>
      <c r="AZ389">
        <v>140.18</v>
      </c>
      <c r="BA389">
        <f t="shared" si="40"/>
        <v>-3.0000000000001137</v>
      </c>
    </row>
    <row r="390" spans="1:53" x14ac:dyDescent="0.25">
      <c r="A390">
        <v>390</v>
      </c>
      <c r="B390">
        <v>0.89</v>
      </c>
      <c r="C390">
        <f t="shared" si="36"/>
        <v>-1.5999999999999992</v>
      </c>
      <c r="R390">
        <v>389</v>
      </c>
      <c r="S390" s="4">
        <v>17.03</v>
      </c>
      <c r="T390">
        <f t="shared" si="37"/>
        <v>-33.999999999999986</v>
      </c>
      <c r="AC390">
        <v>389</v>
      </c>
      <c r="AD390">
        <v>6.26</v>
      </c>
      <c r="AE390">
        <f t="shared" si="38"/>
        <v>-7.5999999999999979</v>
      </c>
      <c r="AN390">
        <v>389</v>
      </c>
      <c r="AO390">
        <v>12.09</v>
      </c>
      <c r="AP390">
        <f t="shared" si="39"/>
        <v>-11.600000000000001</v>
      </c>
      <c r="AY390">
        <v>389</v>
      </c>
      <c r="AZ390">
        <v>139.94999999999999</v>
      </c>
      <c r="BA390">
        <f t="shared" si="40"/>
        <v>-4.6000000000003638</v>
      </c>
    </row>
    <row r="391" spans="1:53" x14ac:dyDescent="0.25">
      <c r="A391">
        <v>391</v>
      </c>
      <c r="B391">
        <v>0.89</v>
      </c>
      <c r="C391">
        <f t="shared" si="36"/>
        <v>0</v>
      </c>
      <c r="R391">
        <v>390</v>
      </c>
      <c r="S391" s="4">
        <v>15.49</v>
      </c>
      <c r="T391">
        <f t="shared" si="37"/>
        <v>-30.800000000000018</v>
      </c>
      <c r="AC391">
        <v>390</v>
      </c>
      <c r="AD391">
        <v>6.02</v>
      </c>
      <c r="AE391">
        <f t="shared" si="38"/>
        <v>-4.8000000000000043</v>
      </c>
      <c r="AN391">
        <v>390</v>
      </c>
      <c r="AO391">
        <v>11.59</v>
      </c>
      <c r="AP391">
        <f t="shared" si="39"/>
        <v>-10</v>
      </c>
      <c r="AY391">
        <v>390</v>
      </c>
      <c r="AZ391">
        <v>139.83000000000001</v>
      </c>
      <c r="BA391">
        <f t="shared" si="40"/>
        <v>-2.3999999999995225</v>
      </c>
    </row>
    <row r="392" spans="1:53" x14ac:dyDescent="0.25">
      <c r="A392">
        <v>392</v>
      </c>
      <c r="B392">
        <v>0.77</v>
      </c>
      <c r="C392">
        <f t="shared" si="36"/>
        <v>-2.4</v>
      </c>
      <c r="R392">
        <v>391</v>
      </c>
      <c r="S392" s="4">
        <v>14.13</v>
      </c>
      <c r="T392">
        <f t="shared" si="37"/>
        <v>-27.199999999999989</v>
      </c>
      <c r="AC392">
        <v>391</v>
      </c>
      <c r="AD392">
        <v>5.72</v>
      </c>
      <c r="AE392">
        <f t="shared" si="38"/>
        <v>-5.9999999999999964</v>
      </c>
      <c r="AN392">
        <v>391</v>
      </c>
      <c r="AO392">
        <v>11.04</v>
      </c>
      <c r="AP392">
        <f t="shared" si="39"/>
        <v>-11.000000000000014</v>
      </c>
      <c r="AY392">
        <v>391</v>
      </c>
      <c r="AZ392">
        <v>139.72</v>
      </c>
      <c r="BA392">
        <f t="shared" si="40"/>
        <v>-2.2000000000002728</v>
      </c>
    </row>
    <row r="393" spans="1:53" x14ac:dyDescent="0.25">
      <c r="A393">
        <v>393</v>
      </c>
      <c r="B393">
        <v>0.73</v>
      </c>
      <c r="C393">
        <f t="shared" si="36"/>
        <v>-0.80000000000000071</v>
      </c>
      <c r="R393">
        <v>392</v>
      </c>
      <c r="S393" s="4">
        <v>13.05</v>
      </c>
      <c r="T393">
        <f t="shared" si="37"/>
        <v>-21.6</v>
      </c>
      <c r="AC393">
        <v>392</v>
      </c>
      <c r="AD393">
        <v>5.48</v>
      </c>
      <c r="AE393">
        <f t="shared" si="38"/>
        <v>-4.7999999999999865</v>
      </c>
      <c r="AN393">
        <v>392</v>
      </c>
      <c r="AO393">
        <v>10.58</v>
      </c>
      <c r="AP393">
        <f t="shared" si="39"/>
        <v>-9.1999999999999815</v>
      </c>
      <c r="AY393">
        <v>392</v>
      </c>
      <c r="AZ393">
        <v>139.41</v>
      </c>
      <c r="BA393">
        <f t="shared" si="40"/>
        <v>-6.2000000000000455</v>
      </c>
    </row>
    <row r="394" spans="1:53" x14ac:dyDescent="0.25">
      <c r="A394">
        <v>394</v>
      </c>
      <c r="B394">
        <v>0.66</v>
      </c>
      <c r="C394">
        <f t="shared" si="36"/>
        <v>-1.399999999999999</v>
      </c>
      <c r="R394">
        <v>393</v>
      </c>
      <c r="S394" s="4">
        <v>12.16</v>
      </c>
      <c r="T394">
        <f t="shared" si="37"/>
        <v>-17.800000000000011</v>
      </c>
      <c r="AC394">
        <v>393</v>
      </c>
      <c r="AD394">
        <v>5.29</v>
      </c>
      <c r="AE394">
        <f t="shared" si="38"/>
        <v>-3.8000000000000078</v>
      </c>
      <c r="AN394">
        <v>393</v>
      </c>
      <c r="AO394">
        <v>10.16</v>
      </c>
      <c r="AP394">
        <f t="shared" si="39"/>
        <v>-8.3999999999999986</v>
      </c>
      <c r="AY394">
        <v>393</v>
      </c>
      <c r="AZ394">
        <v>139.13999999999999</v>
      </c>
      <c r="BA394">
        <f t="shared" si="40"/>
        <v>-5.4000000000002046</v>
      </c>
    </row>
    <row r="395" spans="1:53" x14ac:dyDescent="0.25">
      <c r="A395">
        <v>395</v>
      </c>
      <c r="B395">
        <v>0.62</v>
      </c>
      <c r="C395">
        <f t="shared" si="36"/>
        <v>-0.80000000000000071</v>
      </c>
      <c r="R395">
        <v>394</v>
      </c>
      <c r="S395" s="4">
        <v>11.35</v>
      </c>
      <c r="T395">
        <f t="shared" si="37"/>
        <v>-16.20000000000001</v>
      </c>
      <c r="AC395">
        <v>394</v>
      </c>
      <c r="AD395">
        <v>4.9000000000000004</v>
      </c>
      <c r="AE395">
        <f t="shared" si="38"/>
        <v>-7.7999999999999936</v>
      </c>
      <c r="AN395">
        <v>394</v>
      </c>
      <c r="AO395">
        <v>9.69</v>
      </c>
      <c r="AP395">
        <f t="shared" si="39"/>
        <v>-9.4000000000000128</v>
      </c>
      <c r="AY395">
        <v>394</v>
      </c>
      <c r="AZ395">
        <v>138.94</v>
      </c>
      <c r="BA395">
        <f t="shared" si="40"/>
        <v>-3.9999999999997726</v>
      </c>
    </row>
    <row r="396" spans="1:53" x14ac:dyDescent="0.25">
      <c r="A396">
        <v>396</v>
      </c>
      <c r="B396">
        <v>0.57999999999999996</v>
      </c>
      <c r="C396">
        <f t="shared" si="36"/>
        <v>-0.80000000000000071</v>
      </c>
      <c r="T396">
        <f>MAX(C29:C395)</f>
        <v>31.599999999999966</v>
      </c>
      <c r="AC396">
        <v>395</v>
      </c>
      <c r="AD396">
        <v>4.79</v>
      </c>
      <c r="AE396">
        <f t="shared" si="38"/>
        <v>-2.2000000000000064</v>
      </c>
      <c r="AN396">
        <v>395</v>
      </c>
      <c r="AO396">
        <v>9.42</v>
      </c>
      <c r="AP396">
        <f t="shared" si="39"/>
        <v>-5.3999999999999915</v>
      </c>
      <c r="AY396">
        <v>395</v>
      </c>
      <c r="AZ396">
        <v>138.75</v>
      </c>
      <c r="BA396">
        <f t="shared" si="40"/>
        <v>-3.7999999999999545</v>
      </c>
    </row>
    <row r="397" spans="1:53" x14ac:dyDescent="0.25">
      <c r="A397">
        <v>397</v>
      </c>
      <c r="B397">
        <v>0.54</v>
      </c>
      <c r="C397">
        <f t="shared" si="36"/>
        <v>-0.79999999999999849</v>
      </c>
      <c r="AC397">
        <v>396</v>
      </c>
      <c r="AD397">
        <v>4.5599999999999996</v>
      </c>
      <c r="AE397">
        <f t="shared" si="38"/>
        <v>-4.6000000000000085</v>
      </c>
      <c r="AN397">
        <v>396</v>
      </c>
      <c r="AO397">
        <v>9.0399999999999991</v>
      </c>
      <c r="AP397">
        <f t="shared" si="39"/>
        <v>-7.6000000000000156</v>
      </c>
      <c r="AY397">
        <v>396</v>
      </c>
      <c r="AZ397">
        <v>138.6</v>
      </c>
      <c r="BA397">
        <f t="shared" si="40"/>
        <v>-3.0000000000001137</v>
      </c>
    </row>
    <row r="398" spans="1:53" x14ac:dyDescent="0.25">
      <c r="A398">
        <v>398</v>
      </c>
      <c r="B398">
        <v>0.54</v>
      </c>
      <c r="C398">
        <f t="shared" si="36"/>
        <v>0</v>
      </c>
      <c r="AC398">
        <v>397</v>
      </c>
      <c r="AD398">
        <v>4.3600000000000003</v>
      </c>
      <c r="AE398">
        <f t="shared" si="38"/>
        <v>-3.9999999999999858</v>
      </c>
      <c r="AN398">
        <v>397</v>
      </c>
      <c r="AO398">
        <v>8.8000000000000007</v>
      </c>
      <c r="AP398">
        <f t="shared" si="39"/>
        <v>-4.7999999999999687</v>
      </c>
      <c r="AY398">
        <v>397</v>
      </c>
      <c r="AZ398">
        <v>138.47999999999999</v>
      </c>
      <c r="BA398">
        <f t="shared" si="40"/>
        <v>-2.4000000000000909</v>
      </c>
    </row>
    <row r="399" spans="1:53" x14ac:dyDescent="0.25">
      <c r="A399">
        <v>399</v>
      </c>
      <c r="B399">
        <v>0.5</v>
      </c>
      <c r="C399">
        <f t="shared" si="36"/>
        <v>-0.80000000000000071</v>
      </c>
      <c r="AC399">
        <v>398</v>
      </c>
      <c r="AD399">
        <v>4.13</v>
      </c>
      <c r="AE399">
        <f t="shared" si="38"/>
        <v>-4.6000000000000085</v>
      </c>
      <c r="AN399">
        <v>398</v>
      </c>
      <c r="AO399">
        <v>8.4600000000000009</v>
      </c>
      <c r="AP399">
        <f t="shared" si="39"/>
        <v>-6.7999999999999972</v>
      </c>
      <c r="AY399">
        <v>398</v>
      </c>
      <c r="AZ399">
        <v>138.6</v>
      </c>
      <c r="BA399">
        <f t="shared" si="40"/>
        <v>2.4000000000000909</v>
      </c>
    </row>
    <row r="400" spans="1:53" x14ac:dyDescent="0.25">
      <c r="A400">
        <v>400</v>
      </c>
      <c r="B400">
        <v>0.42</v>
      </c>
      <c r="C400">
        <f t="shared" si="36"/>
        <v>-1.6000000000000003</v>
      </c>
      <c r="AC400">
        <v>399</v>
      </c>
      <c r="AD400">
        <v>3.98</v>
      </c>
      <c r="AE400">
        <f t="shared" si="38"/>
        <v>-2.9999999999999982</v>
      </c>
      <c r="AN400">
        <v>399</v>
      </c>
      <c r="AO400">
        <v>8.26</v>
      </c>
      <c r="AP400">
        <f t="shared" si="39"/>
        <v>-4.0000000000000213</v>
      </c>
      <c r="AY400">
        <v>399</v>
      </c>
      <c r="AZ400">
        <v>139.29</v>
      </c>
      <c r="BA400">
        <f t="shared" si="40"/>
        <v>13.799999999999955</v>
      </c>
    </row>
    <row r="401" spans="1:53" x14ac:dyDescent="0.25">
      <c r="A401">
        <v>401</v>
      </c>
      <c r="B401">
        <v>0.42</v>
      </c>
      <c r="C401">
        <f t="shared" si="36"/>
        <v>0</v>
      </c>
      <c r="AC401">
        <v>400</v>
      </c>
      <c r="AD401">
        <v>3.75</v>
      </c>
      <c r="AE401">
        <f t="shared" si="38"/>
        <v>-4.5999999999999996</v>
      </c>
      <c r="AN401">
        <v>400</v>
      </c>
      <c r="AO401">
        <v>7.92</v>
      </c>
      <c r="AP401">
        <f t="shared" si="39"/>
        <v>-6.7999999999999972</v>
      </c>
      <c r="AY401">
        <v>400</v>
      </c>
      <c r="AZ401">
        <v>139.94999999999999</v>
      </c>
      <c r="BA401">
        <f t="shared" si="40"/>
        <v>13.199999999999932</v>
      </c>
    </row>
    <row r="402" spans="1:53" x14ac:dyDescent="0.25">
      <c r="A402">
        <v>402</v>
      </c>
      <c r="B402">
        <v>0.42</v>
      </c>
      <c r="C402">
        <f t="shared" si="36"/>
        <v>0</v>
      </c>
      <c r="AC402">
        <v>401</v>
      </c>
      <c r="AD402">
        <v>3.55</v>
      </c>
      <c r="AE402">
        <f t="shared" si="38"/>
        <v>-4.0000000000000036</v>
      </c>
      <c r="AN402">
        <v>401</v>
      </c>
      <c r="AO402">
        <v>7.68</v>
      </c>
      <c r="AP402">
        <f t="shared" si="39"/>
        <v>-4.8000000000000043</v>
      </c>
      <c r="AY402">
        <v>401</v>
      </c>
      <c r="AZ402">
        <v>140.30000000000001</v>
      </c>
      <c r="BA402">
        <f t="shared" si="40"/>
        <v>7.0000000000004547</v>
      </c>
    </row>
    <row r="403" spans="1:53" x14ac:dyDescent="0.25">
      <c r="A403">
        <v>403</v>
      </c>
      <c r="B403">
        <v>0.42</v>
      </c>
      <c r="C403">
        <f t="shared" si="36"/>
        <v>0</v>
      </c>
      <c r="AE403">
        <f>MAX(AE16:AE402)</f>
        <v>30.200000000000102</v>
      </c>
      <c r="AN403">
        <v>402</v>
      </c>
      <c r="AO403">
        <v>7.38</v>
      </c>
      <c r="AP403">
        <f t="shared" si="39"/>
        <v>-5.9999999999999964</v>
      </c>
      <c r="AY403">
        <v>402</v>
      </c>
      <c r="AZ403">
        <v>139.99</v>
      </c>
      <c r="BA403">
        <f t="shared" si="40"/>
        <v>-6.2000000000000455</v>
      </c>
    </row>
    <row r="404" spans="1:53" x14ac:dyDescent="0.25">
      <c r="A404">
        <v>404</v>
      </c>
      <c r="B404">
        <v>0.35</v>
      </c>
      <c r="C404">
        <f t="shared" si="36"/>
        <v>-1.4000000000000001</v>
      </c>
      <c r="AN404">
        <v>403</v>
      </c>
      <c r="AO404">
        <v>7.18</v>
      </c>
      <c r="AP404">
        <f t="shared" si="39"/>
        <v>-4.0000000000000036</v>
      </c>
      <c r="AY404">
        <v>403</v>
      </c>
      <c r="AZ404">
        <v>139.72</v>
      </c>
      <c r="BA404">
        <f t="shared" si="40"/>
        <v>-5.4000000000002046</v>
      </c>
    </row>
    <row r="405" spans="1:53" x14ac:dyDescent="0.25">
      <c r="A405">
        <v>405</v>
      </c>
      <c r="B405">
        <v>0.31</v>
      </c>
      <c r="C405">
        <f t="shared" si="36"/>
        <v>-0.7999999999999996</v>
      </c>
      <c r="AN405">
        <v>404</v>
      </c>
      <c r="AO405">
        <v>6.91</v>
      </c>
      <c r="AP405">
        <f t="shared" si="39"/>
        <v>-5.3999999999999915</v>
      </c>
      <c r="AY405">
        <v>404</v>
      </c>
      <c r="AZ405">
        <v>139.1</v>
      </c>
      <c r="BA405">
        <f t="shared" si="40"/>
        <v>-12.400000000000091</v>
      </c>
    </row>
    <row r="406" spans="1:53" x14ac:dyDescent="0.25">
      <c r="A406">
        <v>406</v>
      </c>
      <c r="B406">
        <v>0.31</v>
      </c>
      <c r="C406">
        <f t="shared" si="36"/>
        <v>0</v>
      </c>
      <c r="AN406">
        <v>405</v>
      </c>
      <c r="AO406">
        <v>6.72</v>
      </c>
      <c r="AP406">
        <f t="shared" si="39"/>
        <v>-3.8000000000000078</v>
      </c>
      <c r="AY406">
        <v>405</v>
      </c>
      <c r="AZ406">
        <v>138.4</v>
      </c>
      <c r="BA406">
        <f t="shared" si="40"/>
        <v>-13.999999999999773</v>
      </c>
    </row>
    <row r="407" spans="1:53" x14ac:dyDescent="0.25">
      <c r="A407">
        <v>407</v>
      </c>
      <c r="B407">
        <v>0.23</v>
      </c>
      <c r="C407">
        <f t="shared" si="36"/>
        <v>-1.5999999999999996</v>
      </c>
      <c r="AN407">
        <v>406</v>
      </c>
      <c r="AO407">
        <v>6.53</v>
      </c>
      <c r="AP407">
        <f t="shared" si="39"/>
        <v>-3.7999999999999901</v>
      </c>
      <c r="AY407">
        <v>406</v>
      </c>
      <c r="AZ407">
        <v>137.86000000000001</v>
      </c>
      <c r="BA407">
        <f t="shared" si="40"/>
        <v>-10.799999999999841</v>
      </c>
    </row>
    <row r="408" spans="1:53" x14ac:dyDescent="0.25">
      <c r="A408">
        <v>408</v>
      </c>
      <c r="B408">
        <v>0.19</v>
      </c>
      <c r="C408">
        <f t="shared" si="36"/>
        <v>-0.80000000000000016</v>
      </c>
      <c r="AN408">
        <v>407</v>
      </c>
      <c r="AO408">
        <v>6.41</v>
      </c>
      <c r="AP408">
        <f t="shared" si="39"/>
        <v>-2.4000000000000021</v>
      </c>
      <c r="AY408">
        <v>407</v>
      </c>
      <c r="AZ408">
        <v>137.59</v>
      </c>
      <c r="BA408">
        <f t="shared" si="40"/>
        <v>-5.4000000000002046</v>
      </c>
    </row>
    <row r="409" spans="1:53" x14ac:dyDescent="0.25">
      <c r="A409">
        <v>409</v>
      </c>
      <c r="B409">
        <v>0.12</v>
      </c>
      <c r="C409">
        <f t="shared" si="36"/>
        <v>-1.4000000000000001</v>
      </c>
      <c r="AN409">
        <v>408</v>
      </c>
      <c r="AO409">
        <v>6.18</v>
      </c>
      <c r="AP409">
        <f t="shared" si="39"/>
        <v>-4.6000000000000085</v>
      </c>
      <c r="AY409">
        <v>408</v>
      </c>
      <c r="AZ409">
        <v>137.4</v>
      </c>
      <c r="BA409">
        <f t="shared" si="40"/>
        <v>-3.7999999999999545</v>
      </c>
    </row>
    <row r="410" spans="1:53" x14ac:dyDescent="0.25">
      <c r="A410">
        <v>410</v>
      </c>
      <c r="B410">
        <v>0.19</v>
      </c>
      <c r="C410">
        <f t="shared" si="36"/>
        <v>1.4000000000000001</v>
      </c>
      <c r="AN410">
        <v>409</v>
      </c>
      <c r="AO410">
        <v>6.02</v>
      </c>
      <c r="AP410">
        <f t="shared" si="39"/>
        <v>-3.2000000000000028</v>
      </c>
      <c r="AY410">
        <v>409</v>
      </c>
      <c r="AZ410">
        <v>137.24</v>
      </c>
      <c r="BA410">
        <f t="shared" si="40"/>
        <v>-3.1999999999999318</v>
      </c>
    </row>
    <row r="411" spans="1:53" x14ac:dyDescent="0.25">
      <c r="A411">
        <v>411</v>
      </c>
      <c r="B411">
        <v>0.19</v>
      </c>
      <c r="C411">
        <f t="shared" si="36"/>
        <v>0</v>
      </c>
      <c r="AN411">
        <v>410</v>
      </c>
      <c r="AO411">
        <v>5.83</v>
      </c>
      <c r="AP411">
        <f t="shared" si="39"/>
        <v>-3.7999999999999901</v>
      </c>
      <c r="AY411">
        <v>410</v>
      </c>
      <c r="AZ411">
        <v>137.01</v>
      </c>
      <c r="BA411">
        <f t="shared" si="40"/>
        <v>-4.6000000000003638</v>
      </c>
    </row>
    <row r="412" spans="1:53" x14ac:dyDescent="0.25">
      <c r="A412">
        <v>412</v>
      </c>
      <c r="B412">
        <v>0.12</v>
      </c>
      <c r="C412">
        <f t="shared" si="36"/>
        <v>-1.4000000000000001</v>
      </c>
      <c r="AN412">
        <v>411</v>
      </c>
      <c r="AO412">
        <v>5.6</v>
      </c>
      <c r="AP412">
        <f t="shared" si="39"/>
        <v>-4.6000000000000085</v>
      </c>
      <c r="AY412">
        <v>411</v>
      </c>
      <c r="AZ412">
        <v>136.86000000000001</v>
      </c>
      <c r="BA412">
        <f t="shared" si="40"/>
        <v>-2.9999999999995453</v>
      </c>
    </row>
    <row r="413" spans="1:53" x14ac:dyDescent="0.25">
      <c r="A413">
        <v>413</v>
      </c>
      <c r="B413">
        <v>0.12</v>
      </c>
      <c r="C413">
        <f t="shared" si="36"/>
        <v>0</v>
      </c>
      <c r="AN413">
        <v>412</v>
      </c>
      <c r="AO413">
        <v>5.41</v>
      </c>
      <c r="AP413">
        <f t="shared" si="39"/>
        <v>-3.7999999999999901</v>
      </c>
      <c r="AY413">
        <v>412</v>
      </c>
      <c r="AZ413">
        <v>136.69999999999999</v>
      </c>
      <c r="BA413">
        <f t="shared" si="40"/>
        <v>-3.2000000000005002</v>
      </c>
    </row>
    <row r="414" spans="1:53" x14ac:dyDescent="0.25">
      <c r="A414">
        <v>414</v>
      </c>
      <c r="B414">
        <v>0.12</v>
      </c>
      <c r="C414">
        <f t="shared" si="36"/>
        <v>0</v>
      </c>
      <c r="AN414">
        <v>413</v>
      </c>
      <c r="AO414">
        <v>5.29</v>
      </c>
      <c r="AP414">
        <f t="shared" si="39"/>
        <v>-2.4000000000000021</v>
      </c>
      <c r="AY414">
        <v>413</v>
      </c>
      <c r="AZ414">
        <v>136.47</v>
      </c>
      <c r="BA414">
        <f t="shared" si="40"/>
        <v>-4.5999999999997954</v>
      </c>
    </row>
    <row r="415" spans="1:53" x14ac:dyDescent="0.25">
      <c r="A415">
        <v>415</v>
      </c>
      <c r="B415">
        <v>0.08</v>
      </c>
      <c r="C415">
        <f t="shared" si="36"/>
        <v>-0.79999999999999982</v>
      </c>
      <c r="AN415">
        <v>414</v>
      </c>
      <c r="AO415">
        <v>5.0599999999999996</v>
      </c>
      <c r="AP415">
        <f t="shared" si="39"/>
        <v>-4.6000000000000085</v>
      </c>
      <c r="AY415">
        <v>414</v>
      </c>
      <c r="AZ415">
        <v>136.32</v>
      </c>
      <c r="BA415">
        <f t="shared" si="40"/>
        <v>-3.0000000000001137</v>
      </c>
    </row>
    <row r="416" spans="1:53" x14ac:dyDescent="0.25">
      <c r="A416">
        <v>416</v>
      </c>
      <c r="B416">
        <v>0.08</v>
      </c>
      <c r="C416">
        <f t="shared" si="36"/>
        <v>0</v>
      </c>
      <c r="AN416">
        <v>415</v>
      </c>
      <c r="AO416">
        <v>4.9000000000000004</v>
      </c>
      <c r="AP416">
        <f t="shared" si="39"/>
        <v>-3.1999999999999851</v>
      </c>
      <c r="AY416">
        <v>415</v>
      </c>
      <c r="AZ416">
        <v>136.12</v>
      </c>
      <c r="BA416">
        <f t="shared" si="40"/>
        <v>-3.9999999999997726</v>
      </c>
    </row>
    <row r="417" spans="1:53" x14ac:dyDescent="0.25">
      <c r="A417">
        <v>417</v>
      </c>
      <c r="B417">
        <v>0</v>
      </c>
      <c r="C417">
        <f t="shared" si="36"/>
        <v>-1.5999999999999999</v>
      </c>
      <c r="AN417">
        <v>416</v>
      </c>
      <c r="AO417">
        <v>4.75</v>
      </c>
      <c r="AP417">
        <f t="shared" si="39"/>
        <v>-3.0000000000000071</v>
      </c>
      <c r="AY417">
        <v>416</v>
      </c>
      <c r="AZ417">
        <v>135.97</v>
      </c>
      <c r="BA417">
        <f t="shared" si="40"/>
        <v>-3.0000000000001137</v>
      </c>
    </row>
    <row r="418" spans="1:53" x14ac:dyDescent="0.25">
      <c r="A418">
        <v>418</v>
      </c>
      <c r="B418">
        <v>0</v>
      </c>
      <c r="C418">
        <f t="shared" si="36"/>
        <v>0</v>
      </c>
      <c r="AN418">
        <v>417</v>
      </c>
      <c r="AO418">
        <v>4.67</v>
      </c>
      <c r="AP418">
        <f t="shared" si="39"/>
        <v>-1.6000000000000014</v>
      </c>
      <c r="AY418">
        <v>417</v>
      </c>
      <c r="AZ418">
        <v>135.85</v>
      </c>
      <c r="BA418">
        <f t="shared" si="40"/>
        <v>-2.4000000000000909</v>
      </c>
    </row>
    <row r="419" spans="1:53" x14ac:dyDescent="0.25">
      <c r="C419">
        <f>MAX(C16:C418)</f>
        <v>31.599999999999966</v>
      </c>
      <c r="AN419">
        <v>418</v>
      </c>
      <c r="AO419">
        <v>4.5199999999999996</v>
      </c>
      <c r="AP419">
        <f t="shared" si="39"/>
        <v>-3.0000000000000071</v>
      </c>
      <c r="AY419">
        <v>418</v>
      </c>
      <c r="AZ419">
        <v>136.36000000000001</v>
      </c>
      <c r="BA419">
        <f t="shared" si="40"/>
        <v>10.200000000000387</v>
      </c>
    </row>
    <row r="420" spans="1:53" x14ac:dyDescent="0.25">
      <c r="AN420">
        <v>419</v>
      </c>
      <c r="AO420">
        <v>4.3600000000000003</v>
      </c>
      <c r="AP420">
        <f t="shared" si="39"/>
        <v>-3.1999999999999851</v>
      </c>
      <c r="AY420">
        <v>419</v>
      </c>
      <c r="AZ420">
        <v>137.13</v>
      </c>
      <c r="BA420">
        <f t="shared" si="40"/>
        <v>15.399999999999636</v>
      </c>
    </row>
    <row r="421" spans="1:53" x14ac:dyDescent="0.25">
      <c r="AN421">
        <v>420</v>
      </c>
      <c r="AO421">
        <v>4.25</v>
      </c>
      <c r="AP421">
        <f t="shared" si="39"/>
        <v>-2.2000000000000064</v>
      </c>
      <c r="AY421">
        <v>420</v>
      </c>
      <c r="AZ421">
        <v>137.71</v>
      </c>
      <c r="BA421">
        <f t="shared" si="40"/>
        <v>11.60000000000025</v>
      </c>
    </row>
    <row r="422" spans="1:53" x14ac:dyDescent="0.25">
      <c r="AN422">
        <v>421</v>
      </c>
      <c r="AO422">
        <v>4.13</v>
      </c>
      <c r="AP422">
        <f t="shared" si="39"/>
        <v>-2.4000000000000021</v>
      </c>
      <c r="AY422">
        <v>421</v>
      </c>
      <c r="AZ422">
        <v>137.71</v>
      </c>
      <c r="BA422">
        <f t="shared" si="40"/>
        <v>0</v>
      </c>
    </row>
    <row r="423" spans="1:53" x14ac:dyDescent="0.25">
      <c r="AN423">
        <v>422</v>
      </c>
      <c r="AO423">
        <v>4.05</v>
      </c>
      <c r="AP423">
        <f t="shared" si="39"/>
        <v>-1.6000000000000014</v>
      </c>
      <c r="AY423">
        <v>422</v>
      </c>
      <c r="AZ423">
        <v>137.4</v>
      </c>
      <c r="BA423">
        <f t="shared" si="40"/>
        <v>-6.2000000000000455</v>
      </c>
    </row>
    <row r="424" spans="1:53" x14ac:dyDescent="0.25">
      <c r="AN424">
        <v>423</v>
      </c>
      <c r="AO424">
        <v>3.98</v>
      </c>
      <c r="AP424">
        <f t="shared" si="39"/>
        <v>-1.3999999999999968</v>
      </c>
      <c r="AY424">
        <v>423</v>
      </c>
      <c r="AZ424">
        <v>136.97</v>
      </c>
      <c r="BA424">
        <f t="shared" si="40"/>
        <v>-8.6000000000001364</v>
      </c>
    </row>
    <row r="425" spans="1:53" x14ac:dyDescent="0.25">
      <c r="AN425">
        <v>424</v>
      </c>
      <c r="AO425">
        <v>3.9</v>
      </c>
      <c r="AP425">
        <f t="shared" si="39"/>
        <v>-1.6000000000000014</v>
      </c>
      <c r="AY425">
        <v>424</v>
      </c>
      <c r="AZ425">
        <v>136.36000000000001</v>
      </c>
      <c r="BA425">
        <f t="shared" si="40"/>
        <v>-12.199999999999704</v>
      </c>
    </row>
    <row r="426" spans="1:53" x14ac:dyDescent="0.25">
      <c r="AN426">
        <v>425</v>
      </c>
      <c r="AO426">
        <v>3.86</v>
      </c>
      <c r="AP426">
        <f t="shared" si="39"/>
        <v>-0.80000000000000071</v>
      </c>
      <c r="AY426">
        <v>425</v>
      </c>
      <c r="AZ426">
        <v>135.69999999999999</v>
      </c>
      <c r="BA426">
        <f t="shared" si="40"/>
        <v>-13.2000000000005</v>
      </c>
    </row>
    <row r="427" spans="1:53" x14ac:dyDescent="0.25">
      <c r="AN427">
        <v>426</v>
      </c>
      <c r="AO427">
        <v>3.75</v>
      </c>
      <c r="AP427">
        <f t="shared" si="39"/>
        <v>-2.1999999999999975</v>
      </c>
      <c r="AY427">
        <v>426</v>
      </c>
      <c r="AZ427">
        <v>135.24</v>
      </c>
      <c r="BA427">
        <f t="shared" si="40"/>
        <v>-9.1999999999995907</v>
      </c>
    </row>
    <row r="428" spans="1:53" x14ac:dyDescent="0.25">
      <c r="AN428">
        <v>427</v>
      </c>
      <c r="AO428">
        <v>3.63</v>
      </c>
      <c r="AP428">
        <f t="shared" si="39"/>
        <v>-2.4000000000000021</v>
      </c>
      <c r="AY428">
        <v>427</v>
      </c>
      <c r="AZ428">
        <v>135.04</v>
      </c>
      <c r="BA428">
        <f t="shared" si="40"/>
        <v>-4.0000000000003411</v>
      </c>
    </row>
    <row r="429" spans="1:53" x14ac:dyDescent="0.25">
      <c r="AN429">
        <v>428</v>
      </c>
      <c r="AO429">
        <v>3.51</v>
      </c>
      <c r="AP429">
        <f t="shared" si="39"/>
        <v>-2.4000000000000021</v>
      </c>
      <c r="AY429">
        <v>428</v>
      </c>
      <c r="AZ429">
        <v>134.88999999999999</v>
      </c>
      <c r="BA429">
        <f t="shared" si="40"/>
        <v>-3.0000000000001137</v>
      </c>
    </row>
    <row r="430" spans="1:53" x14ac:dyDescent="0.25">
      <c r="AN430">
        <v>429</v>
      </c>
      <c r="AO430">
        <v>3.48</v>
      </c>
      <c r="AP430">
        <f t="shared" si="39"/>
        <v>-0.59999999999999609</v>
      </c>
      <c r="AY430">
        <v>429</v>
      </c>
      <c r="AZ430">
        <v>134.72999999999999</v>
      </c>
      <c r="BA430">
        <f t="shared" si="40"/>
        <v>-3.1999999999999318</v>
      </c>
    </row>
    <row r="431" spans="1:53" x14ac:dyDescent="0.25">
      <c r="AN431">
        <v>430</v>
      </c>
      <c r="AO431">
        <v>3.36</v>
      </c>
      <c r="AP431">
        <f t="shared" si="39"/>
        <v>-2.4000000000000021</v>
      </c>
      <c r="AY431">
        <v>430</v>
      </c>
      <c r="AZ431">
        <v>134.5</v>
      </c>
      <c r="BA431">
        <f t="shared" si="40"/>
        <v>-4.5999999999997954</v>
      </c>
    </row>
    <row r="432" spans="1:53" x14ac:dyDescent="0.25">
      <c r="AN432">
        <v>431</v>
      </c>
      <c r="AO432">
        <v>3.36</v>
      </c>
      <c r="AP432">
        <f t="shared" si="39"/>
        <v>0</v>
      </c>
      <c r="AY432">
        <v>431</v>
      </c>
      <c r="AZ432">
        <v>134.35</v>
      </c>
      <c r="BA432">
        <f t="shared" si="40"/>
        <v>-3.0000000000001137</v>
      </c>
    </row>
    <row r="433" spans="40:53" x14ac:dyDescent="0.25">
      <c r="AN433">
        <v>432</v>
      </c>
      <c r="AO433">
        <v>3.28</v>
      </c>
      <c r="AP433">
        <f t="shared" si="39"/>
        <v>-1.6000000000000014</v>
      </c>
      <c r="AY433">
        <v>432</v>
      </c>
      <c r="AZ433">
        <v>134.08000000000001</v>
      </c>
      <c r="BA433">
        <f t="shared" si="40"/>
        <v>-5.3999999999996362</v>
      </c>
    </row>
    <row r="434" spans="40:53" x14ac:dyDescent="0.25">
      <c r="AN434">
        <v>433</v>
      </c>
      <c r="AO434">
        <v>3.13</v>
      </c>
      <c r="AP434">
        <f t="shared" si="39"/>
        <v>-2.9999999999999982</v>
      </c>
      <c r="AY434">
        <v>433</v>
      </c>
      <c r="AZ434">
        <v>133.88</v>
      </c>
      <c r="BA434">
        <f t="shared" si="40"/>
        <v>-4.0000000000003411</v>
      </c>
    </row>
    <row r="435" spans="40:53" x14ac:dyDescent="0.25">
      <c r="AN435">
        <v>434</v>
      </c>
      <c r="AO435">
        <v>3.05</v>
      </c>
      <c r="AP435">
        <f t="shared" si="39"/>
        <v>-1.6000000000000014</v>
      </c>
      <c r="AY435">
        <v>434</v>
      </c>
      <c r="AZ435">
        <v>133.72999999999999</v>
      </c>
      <c r="BA435">
        <f t="shared" si="40"/>
        <v>-3.0000000000001137</v>
      </c>
    </row>
    <row r="436" spans="40:53" x14ac:dyDescent="0.25">
      <c r="AN436">
        <v>435</v>
      </c>
      <c r="AO436">
        <v>2.93</v>
      </c>
      <c r="AP436">
        <f t="shared" si="39"/>
        <v>-2.3999999999999932</v>
      </c>
      <c r="AY436">
        <v>435</v>
      </c>
      <c r="AZ436">
        <v>133.58000000000001</v>
      </c>
      <c r="BA436">
        <f t="shared" si="40"/>
        <v>-2.9999999999995453</v>
      </c>
    </row>
    <row r="437" spans="40:53" x14ac:dyDescent="0.25">
      <c r="AN437">
        <v>436</v>
      </c>
      <c r="AO437">
        <v>2.86</v>
      </c>
      <c r="AP437">
        <f t="shared" si="39"/>
        <v>-1.4000000000000057</v>
      </c>
      <c r="AY437">
        <v>436</v>
      </c>
      <c r="AZ437">
        <v>133.38</v>
      </c>
      <c r="BA437">
        <f t="shared" si="40"/>
        <v>-4.0000000000003411</v>
      </c>
    </row>
    <row r="438" spans="40:53" x14ac:dyDescent="0.25">
      <c r="AN438">
        <v>437</v>
      </c>
      <c r="AO438">
        <v>2.74</v>
      </c>
      <c r="AP438">
        <f t="shared" si="39"/>
        <v>-2.3999999999999932</v>
      </c>
      <c r="AY438">
        <v>437</v>
      </c>
      <c r="AZ438">
        <v>133.5</v>
      </c>
      <c r="BA438">
        <f t="shared" si="40"/>
        <v>2.4000000000000909</v>
      </c>
    </row>
    <row r="439" spans="40:53" x14ac:dyDescent="0.25">
      <c r="AN439">
        <v>438</v>
      </c>
      <c r="AO439">
        <v>2.7</v>
      </c>
      <c r="AP439">
        <f t="shared" si="39"/>
        <v>-0.80000000000000071</v>
      </c>
      <c r="AY439">
        <v>438</v>
      </c>
      <c r="AZ439">
        <v>134.16</v>
      </c>
      <c r="BA439">
        <f t="shared" si="40"/>
        <v>13.199999999999932</v>
      </c>
    </row>
    <row r="440" spans="40:53" x14ac:dyDescent="0.25">
      <c r="AP440">
        <f>MAX(AP16:AP439)</f>
        <v>24.000000000000057</v>
      </c>
      <c r="AY440">
        <v>439</v>
      </c>
      <c r="AZ440">
        <v>134.97</v>
      </c>
      <c r="BA440">
        <f t="shared" si="40"/>
        <v>16.200000000000045</v>
      </c>
    </row>
    <row r="441" spans="40:53" x14ac:dyDescent="0.25">
      <c r="AY441">
        <v>440</v>
      </c>
      <c r="AZ441">
        <v>135.28</v>
      </c>
      <c r="BA441">
        <f t="shared" si="40"/>
        <v>6.2000000000000455</v>
      </c>
    </row>
    <row r="442" spans="40:53" x14ac:dyDescent="0.25">
      <c r="AY442">
        <v>441</v>
      </c>
      <c r="AZ442">
        <v>135.16</v>
      </c>
      <c r="BA442">
        <f t="shared" si="40"/>
        <v>-2.4000000000000909</v>
      </c>
    </row>
    <row r="443" spans="40:53" x14ac:dyDescent="0.25">
      <c r="AY443">
        <v>442</v>
      </c>
      <c r="AZ443">
        <v>134.97</v>
      </c>
      <c r="BA443">
        <f t="shared" si="40"/>
        <v>-3.7999999999999545</v>
      </c>
    </row>
    <row r="444" spans="40:53" x14ac:dyDescent="0.25">
      <c r="AY444">
        <v>443</v>
      </c>
      <c r="AZ444">
        <v>134.5</v>
      </c>
      <c r="BA444">
        <f t="shared" si="40"/>
        <v>-9.3999999999999773</v>
      </c>
    </row>
    <row r="445" spans="40:53" x14ac:dyDescent="0.25">
      <c r="AY445">
        <v>444</v>
      </c>
      <c r="AZ445">
        <v>133.88</v>
      </c>
      <c r="BA445">
        <f t="shared" si="40"/>
        <v>-12.400000000000091</v>
      </c>
    </row>
    <row r="446" spans="40:53" x14ac:dyDescent="0.25">
      <c r="AY446">
        <v>445</v>
      </c>
      <c r="AZ446">
        <v>133.34</v>
      </c>
      <c r="BA446">
        <f t="shared" si="40"/>
        <v>-10.799999999999841</v>
      </c>
    </row>
    <row r="447" spans="40:53" x14ac:dyDescent="0.25">
      <c r="AY447">
        <v>446</v>
      </c>
      <c r="AZ447">
        <v>132.84</v>
      </c>
      <c r="BA447">
        <f t="shared" si="40"/>
        <v>-10</v>
      </c>
    </row>
    <row r="448" spans="40:53" x14ac:dyDescent="0.25">
      <c r="AY448">
        <v>447</v>
      </c>
      <c r="AZ448">
        <v>132.53</v>
      </c>
      <c r="BA448">
        <f t="shared" si="40"/>
        <v>-6.2000000000000455</v>
      </c>
    </row>
    <row r="449" spans="51:53" x14ac:dyDescent="0.25">
      <c r="AY449">
        <v>448</v>
      </c>
      <c r="AZ449">
        <v>132.34</v>
      </c>
      <c r="BA449">
        <f t="shared" si="40"/>
        <v>-3.7999999999999545</v>
      </c>
    </row>
    <row r="450" spans="51:53" x14ac:dyDescent="0.25">
      <c r="AY450">
        <v>449</v>
      </c>
      <c r="AZ450">
        <v>132.03</v>
      </c>
      <c r="BA450">
        <f t="shared" si="40"/>
        <v>-6.2000000000000455</v>
      </c>
    </row>
    <row r="451" spans="51:53" x14ac:dyDescent="0.25">
      <c r="AY451">
        <v>450</v>
      </c>
      <c r="AZ451">
        <v>131.88</v>
      </c>
      <c r="BA451">
        <f t="shared" si="40"/>
        <v>-3.0000000000001137</v>
      </c>
    </row>
    <row r="452" spans="51:53" x14ac:dyDescent="0.25">
      <c r="AY452">
        <v>451</v>
      </c>
      <c r="AZ452">
        <v>131.65</v>
      </c>
      <c r="BA452">
        <f t="shared" ref="BA452:BA515" si="41">(AZ452-AZ451)/0.05</f>
        <v>-4.5999999999997954</v>
      </c>
    </row>
    <row r="453" spans="51:53" x14ac:dyDescent="0.25">
      <c r="AY453">
        <v>452</v>
      </c>
      <c r="AZ453">
        <v>131.44999999999999</v>
      </c>
      <c r="BA453">
        <f t="shared" si="41"/>
        <v>-4.0000000000003411</v>
      </c>
    </row>
    <row r="454" spans="51:53" x14ac:dyDescent="0.25">
      <c r="AY454">
        <v>453</v>
      </c>
      <c r="AZ454">
        <v>131.26</v>
      </c>
      <c r="BA454">
        <f t="shared" si="41"/>
        <v>-3.7999999999999545</v>
      </c>
    </row>
    <row r="455" spans="51:53" x14ac:dyDescent="0.25">
      <c r="AY455">
        <v>454</v>
      </c>
      <c r="AZ455">
        <v>131.1</v>
      </c>
      <c r="BA455">
        <f t="shared" si="41"/>
        <v>-3.1999999999999318</v>
      </c>
    </row>
    <row r="456" spans="51:53" x14ac:dyDescent="0.25">
      <c r="AY456">
        <v>455</v>
      </c>
      <c r="AZ456">
        <v>130.99</v>
      </c>
      <c r="BA456">
        <f t="shared" si="41"/>
        <v>-2.1999999999997044</v>
      </c>
    </row>
    <row r="457" spans="51:53" x14ac:dyDescent="0.25">
      <c r="AY457">
        <v>456</v>
      </c>
      <c r="AZ457">
        <v>130.83000000000001</v>
      </c>
      <c r="BA457">
        <f t="shared" si="41"/>
        <v>-3.1999999999999318</v>
      </c>
    </row>
    <row r="458" spans="51:53" x14ac:dyDescent="0.25">
      <c r="AY458">
        <v>457</v>
      </c>
      <c r="AZ458">
        <v>130.99</v>
      </c>
      <c r="BA458">
        <f t="shared" si="41"/>
        <v>3.1999999999999318</v>
      </c>
    </row>
    <row r="459" spans="51:53" x14ac:dyDescent="0.25">
      <c r="AY459">
        <v>458</v>
      </c>
      <c r="AZ459">
        <v>131.72</v>
      </c>
      <c r="BA459">
        <f t="shared" si="41"/>
        <v>14.599999999999795</v>
      </c>
    </row>
    <row r="460" spans="51:53" x14ac:dyDescent="0.25">
      <c r="AY460">
        <v>459</v>
      </c>
      <c r="AZ460">
        <v>132.49</v>
      </c>
      <c r="BA460">
        <f t="shared" si="41"/>
        <v>15.400000000000205</v>
      </c>
    </row>
    <row r="461" spans="51:53" x14ac:dyDescent="0.25">
      <c r="AY461">
        <v>460</v>
      </c>
      <c r="AZ461">
        <v>132.72999999999999</v>
      </c>
      <c r="BA461">
        <f t="shared" si="41"/>
        <v>4.7999999999996135</v>
      </c>
    </row>
    <row r="462" spans="51:53" x14ac:dyDescent="0.25">
      <c r="AY462">
        <v>461</v>
      </c>
      <c r="AZ462">
        <v>132.57</v>
      </c>
      <c r="BA462">
        <f t="shared" si="41"/>
        <v>-3.1999999999999318</v>
      </c>
    </row>
    <row r="463" spans="51:53" x14ac:dyDescent="0.25">
      <c r="AY463">
        <v>462</v>
      </c>
      <c r="AZ463">
        <v>132.34</v>
      </c>
      <c r="BA463">
        <f t="shared" si="41"/>
        <v>-4.5999999999997954</v>
      </c>
    </row>
    <row r="464" spans="51:53" x14ac:dyDescent="0.25">
      <c r="AY464">
        <v>463</v>
      </c>
      <c r="AZ464">
        <v>131.91999999999999</v>
      </c>
      <c r="BA464">
        <f t="shared" si="41"/>
        <v>-8.4000000000003183</v>
      </c>
    </row>
    <row r="465" spans="51:53" x14ac:dyDescent="0.25">
      <c r="AY465">
        <v>464</v>
      </c>
      <c r="AZ465">
        <v>131.34</v>
      </c>
      <c r="BA465">
        <f t="shared" si="41"/>
        <v>-11.599999999999682</v>
      </c>
    </row>
    <row r="466" spans="51:53" x14ac:dyDescent="0.25">
      <c r="AY466">
        <v>465</v>
      </c>
      <c r="AZ466">
        <v>130.76</v>
      </c>
      <c r="BA466">
        <f t="shared" si="41"/>
        <v>-11.60000000000025</v>
      </c>
    </row>
    <row r="467" spans="51:53" x14ac:dyDescent="0.25">
      <c r="AY467">
        <v>466</v>
      </c>
      <c r="AZ467">
        <v>130.33000000000001</v>
      </c>
      <c r="BA467">
        <f t="shared" si="41"/>
        <v>-8.599999999999568</v>
      </c>
    </row>
    <row r="468" spans="51:53" x14ac:dyDescent="0.25">
      <c r="AY468">
        <v>467</v>
      </c>
      <c r="AZ468">
        <v>130.02000000000001</v>
      </c>
      <c r="BA468">
        <f t="shared" si="41"/>
        <v>-6.2000000000000455</v>
      </c>
    </row>
    <row r="469" spans="51:53" x14ac:dyDescent="0.25">
      <c r="AY469">
        <v>468</v>
      </c>
      <c r="AZ469">
        <v>129.71</v>
      </c>
      <c r="BA469">
        <f t="shared" si="41"/>
        <v>-6.2000000000000455</v>
      </c>
    </row>
    <row r="470" spans="51:53" x14ac:dyDescent="0.25">
      <c r="AY470">
        <v>469</v>
      </c>
      <c r="AZ470">
        <v>129.52000000000001</v>
      </c>
      <c r="BA470">
        <f t="shared" si="41"/>
        <v>-3.7999999999999545</v>
      </c>
    </row>
    <row r="471" spans="51:53" x14ac:dyDescent="0.25">
      <c r="AY471">
        <v>470</v>
      </c>
      <c r="AZ471">
        <v>129.29</v>
      </c>
      <c r="BA471">
        <f t="shared" si="41"/>
        <v>-4.6000000000003638</v>
      </c>
    </row>
    <row r="472" spans="51:53" x14ac:dyDescent="0.25">
      <c r="AY472">
        <v>471</v>
      </c>
      <c r="AZ472">
        <v>129.06</v>
      </c>
      <c r="BA472">
        <f t="shared" si="41"/>
        <v>-4.5999999999997954</v>
      </c>
    </row>
    <row r="473" spans="51:53" x14ac:dyDescent="0.25">
      <c r="AY473">
        <v>472</v>
      </c>
      <c r="AZ473">
        <v>128.86000000000001</v>
      </c>
      <c r="BA473">
        <f t="shared" si="41"/>
        <v>-3.9999999999997726</v>
      </c>
    </row>
    <row r="474" spans="51:53" x14ac:dyDescent="0.25">
      <c r="AY474">
        <v>473</v>
      </c>
      <c r="AZ474">
        <v>128.75</v>
      </c>
      <c r="BA474">
        <f t="shared" si="41"/>
        <v>-2.2000000000002728</v>
      </c>
    </row>
    <row r="475" spans="51:53" x14ac:dyDescent="0.25">
      <c r="AY475">
        <v>474</v>
      </c>
      <c r="AZ475">
        <v>128.52000000000001</v>
      </c>
      <c r="BA475">
        <f t="shared" si="41"/>
        <v>-4.5999999999997954</v>
      </c>
    </row>
    <row r="476" spans="51:53" x14ac:dyDescent="0.25">
      <c r="AY476">
        <v>475</v>
      </c>
      <c r="AZ476">
        <v>128.4</v>
      </c>
      <c r="BA476">
        <f t="shared" si="41"/>
        <v>-2.4000000000000909</v>
      </c>
    </row>
    <row r="477" spans="51:53" x14ac:dyDescent="0.25">
      <c r="AY477">
        <v>476</v>
      </c>
      <c r="AZ477">
        <v>128.29</v>
      </c>
      <c r="BA477">
        <f t="shared" si="41"/>
        <v>-2.2000000000002728</v>
      </c>
    </row>
    <row r="478" spans="51:53" x14ac:dyDescent="0.25">
      <c r="AY478">
        <v>477</v>
      </c>
      <c r="AZ478">
        <v>128.36000000000001</v>
      </c>
      <c r="BA478">
        <f t="shared" si="41"/>
        <v>1.400000000000432</v>
      </c>
    </row>
    <row r="479" spans="51:53" x14ac:dyDescent="0.25">
      <c r="AY479">
        <v>478</v>
      </c>
      <c r="AZ479">
        <v>129.1</v>
      </c>
      <c r="BA479">
        <f t="shared" si="41"/>
        <v>14.799999999999613</v>
      </c>
    </row>
    <row r="480" spans="51:53" x14ac:dyDescent="0.25">
      <c r="AY480">
        <v>479</v>
      </c>
      <c r="AZ480">
        <v>129.91</v>
      </c>
      <c r="BA480">
        <f t="shared" si="41"/>
        <v>16.200000000000045</v>
      </c>
    </row>
    <row r="481" spans="51:53" x14ac:dyDescent="0.25">
      <c r="AY481">
        <v>480</v>
      </c>
      <c r="AZ481">
        <v>130.25</v>
      </c>
      <c r="BA481">
        <f t="shared" si="41"/>
        <v>6.8000000000000682</v>
      </c>
    </row>
    <row r="482" spans="51:53" x14ac:dyDescent="0.25">
      <c r="AY482">
        <v>481</v>
      </c>
      <c r="AZ482">
        <v>130.1</v>
      </c>
      <c r="BA482">
        <f t="shared" si="41"/>
        <v>-3.0000000000001137</v>
      </c>
    </row>
    <row r="483" spans="51:53" x14ac:dyDescent="0.25">
      <c r="AY483">
        <v>482</v>
      </c>
      <c r="AZ483">
        <v>129.91</v>
      </c>
      <c r="BA483">
        <f t="shared" si="41"/>
        <v>-3.7999999999999545</v>
      </c>
    </row>
    <row r="484" spans="51:53" x14ac:dyDescent="0.25">
      <c r="AY484">
        <v>483</v>
      </c>
      <c r="AZ484">
        <v>129.47999999999999</v>
      </c>
      <c r="BA484">
        <f t="shared" si="41"/>
        <v>-8.6000000000001364</v>
      </c>
    </row>
    <row r="485" spans="51:53" x14ac:dyDescent="0.25">
      <c r="AY485">
        <v>484</v>
      </c>
      <c r="AZ485">
        <v>128.97999999999999</v>
      </c>
      <c r="BA485">
        <f t="shared" si="41"/>
        <v>-10</v>
      </c>
    </row>
    <row r="486" spans="51:53" x14ac:dyDescent="0.25">
      <c r="AY486">
        <v>485</v>
      </c>
      <c r="AZ486">
        <v>128.4</v>
      </c>
      <c r="BA486">
        <f t="shared" si="41"/>
        <v>-11.599999999999682</v>
      </c>
    </row>
    <row r="487" spans="51:53" x14ac:dyDescent="0.25">
      <c r="AY487">
        <v>486</v>
      </c>
      <c r="AZ487">
        <v>128.02000000000001</v>
      </c>
      <c r="BA487">
        <f t="shared" si="41"/>
        <v>-7.5999999999999091</v>
      </c>
    </row>
    <row r="488" spans="51:53" x14ac:dyDescent="0.25">
      <c r="AY488">
        <v>487</v>
      </c>
      <c r="AZ488">
        <v>127.63</v>
      </c>
      <c r="BA488">
        <f t="shared" si="41"/>
        <v>-7.8000000000002956</v>
      </c>
    </row>
    <row r="489" spans="51:53" x14ac:dyDescent="0.25">
      <c r="AY489">
        <v>488</v>
      </c>
      <c r="AZ489">
        <v>127.4</v>
      </c>
      <c r="BA489">
        <f t="shared" si="41"/>
        <v>-4.5999999999997954</v>
      </c>
    </row>
    <row r="490" spans="51:53" x14ac:dyDescent="0.25">
      <c r="AY490">
        <v>489</v>
      </c>
      <c r="AZ490">
        <v>127.13</v>
      </c>
      <c r="BA490">
        <f t="shared" si="41"/>
        <v>-5.4000000000002046</v>
      </c>
    </row>
    <row r="491" spans="51:53" x14ac:dyDescent="0.25">
      <c r="AY491">
        <v>490</v>
      </c>
      <c r="AZ491">
        <v>126.97</v>
      </c>
      <c r="BA491">
        <f t="shared" si="41"/>
        <v>-3.1999999999999318</v>
      </c>
    </row>
    <row r="492" spans="51:53" x14ac:dyDescent="0.25">
      <c r="AY492">
        <v>491</v>
      </c>
      <c r="AZ492">
        <v>126.78</v>
      </c>
      <c r="BA492">
        <f t="shared" si="41"/>
        <v>-3.7999999999999545</v>
      </c>
    </row>
    <row r="493" spans="51:53" x14ac:dyDescent="0.25">
      <c r="AY493">
        <v>492</v>
      </c>
      <c r="AZ493">
        <v>126.55</v>
      </c>
      <c r="BA493">
        <f t="shared" si="41"/>
        <v>-4.6000000000000796</v>
      </c>
    </row>
    <row r="494" spans="51:53" x14ac:dyDescent="0.25">
      <c r="AY494">
        <v>493</v>
      </c>
      <c r="AZ494">
        <v>126.35</v>
      </c>
      <c r="BA494">
        <f t="shared" si="41"/>
        <v>-4.0000000000000568</v>
      </c>
    </row>
    <row r="495" spans="51:53" x14ac:dyDescent="0.25">
      <c r="AY495">
        <v>494</v>
      </c>
      <c r="AZ495">
        <v>126.2</v>
      </c>
      <c r="BA495">
        <f t="shared" si="41"/>
        <v>-2.9999999999998295</v>
      </c>
    </row>
    <row r="496" spans="51:53" x14ac:dyDescent="0.25">
      <c r="AY496">
        <v>495</v>
      </c>
      <c r="AZ496">
        <v>126.01</v>
      </c>
      <c r="BA496">
        <f t="shared" si="41"/>
        <v>-3.7999999999999545</v>
      </c>
    </row>
    <row r="497" spans="51:53" x14ac:dyDescent="0.25">
      <c r="AY497">
        <v>496</v>
      </c>
      <c r="AZ497">
        <v>125.89</v>
      </c>
      <c r="BA497">
        <f t="shared" si="41"/>
        <v>-2.4000000000000909</v>
      </c>
    </row>
    <row r="498" spans="51:53" x14ac:dyDescent="0.25">
      <c r="AY498">
        <v>497</v>
      </c>
      <c r="AZ498">
        <v>126.05</v>
      </c>
      <c r="BA498">
        <f t="shared" si="41"/>
        <v>3.1999999999999318</v>
      </c>
    </row>
    <row r="499" spans="51:53" x14ac:dyDescent="0.25">
      <c r="AY499">
        <v>498</v>
      </c>
      <c r="AZ499">
        <v>126.82</v>
      </c>
      <c r="BA499">
        <f t="shared" si="41"/>
        <v>15.39999999999992</v>
      </c>
    </row>
    <row r="500" spans="51:53" x14ac:dyDescent="0.25">
      <c r="AY500">
        <v>499</v>
      </c>
      <c r="AZ500">
        <v>127.71</v>
      </c>
      <c r="BA500">
        <f t="shared" si="41"/>
        <v>17.800000000000011</v>
      </c>
    </row>
    <row r="501" spans="51:53" x14ac:dyDescent="0.25">
      <c r="AY501">
        <v>500</v>
      </c>
      <c r="AZ501">
        <v>127.94</v>
      </c>
      <c r="BA501">
        <f t="shared" si="41"/>
        <v>4.6000000000000796</v>
      </c>
    </row>
    <row r="502" spans="51:53" x14ac:dyDescent="0.25">
      <c r="AY502">
        <v>501</v>
      </c>
      <c r="AZ502">
        <v>127.78</v>
      </c>
      <c r="BA502">
        <f t="shared" si="41"/>
        <v>-3.1999999999999318</v>
      </c>
    </row>
    <row r="503" spans="51:53" x14ac:dyDescent="0.25">
      <c r="AY503">
        <v>502</v>
      </c>
      <c r="AZ503">
        <v>127.63</v>
      </c>
      <c r="BA503">
        <f t="shared" si="41"/>
        <v>-3.0000000000001137</v>
      </c>
    </row>
    <row r="504" spans="51:53" x14ac:dyDescent="0.25">
      <c r="AY504">
        <v>503</v>
      </c>
      <c r="AZ504">
        <v>127.28</v>
      </c>
      <c r="BA504">
        <f t="shared" si="41"/>
        <v>-6.9999999999998863</v>
      </c>
    </row>
    <row r="505" spans="51:53" x14ac:dyDescent="0.25">
      <c r="AY505">
        <v>504</v>
      </c>
      <c r="AZ505">
        <v>126.78</v>
      </c>
      <c r="BA505">
        <f t="shared" si="41"/>
        <v>-10</v>
      </c>
    </row>
    <row r="506" spans="51:53" x14ac:dyDescent="0.25">
      <c r="AY506">
        <v>505</v>
      </c>
      <c r="AZ506">
        <v>126.35</v>
      </c>
      <c r="BA506">
        <f t="shared" si="41"/>
        <v>-8.6000000000001364</v>
      </c>
    </row>
    <row r="507" spans="51:53" x14ac:dyDescent="0.25">
      <c r="AY507">
        <v>506</v>
      </c>
      <c r="AZ507">
        <v>126.01</v>
      </c>
      <c r="BA507">
        <f t="shared" si="41"/>
        <v>-6.799999999999784</v>
      </c>
    </row>
    <row r="508" spans="51:53" x14ac:dyDescent="0.25">
      <c r="AY508">
        <v>507</v>
      </c>
      <c r="AZ508">
        <v>125.7</v>
      </c>
      <c r="BA508">
        <f t="shared" si="41"/>
        <v>-6.2000000000000455</v>
      </c>
    </row>
    <row r="509" spans="51:53" x14ac:dyDescent="0.25">
      <c r="AY509">
        <v>508</v>
      </c>
      <c r="AZ509">
        <v>125.27</v>
      </c>
      <c r="BA509">
        <f t="shared" si="41"/>
        <v>-8.6000000000001364</v>
      </c>
    </row>
    <row r="510" spans="51:53" x14ac:dyDescent="0.25">
      <c r="AY510">
        <v>509</v>
      </c>
      <c r="AZ510">
        <v>124.89</v>
      </c>
      <c r="BA510">
        <f t="shared" si="41"/>
        <v>-7.5999999999999091</v>
      </c>
    </row>
    <row r="511" spans="51:53" x14ac:dyDescent="0.25">
      <c r="AY511">
        <v>510</v>
      </c>
      <c r="AZ511">
        <v>124.58</v>
      </c>
      <c r="BA511">
        <f t="shared" si="41"/>
        <v>-6.2000000000000455</v>
      </c>
    </row>
    <row r="512" spans="51:53" x14ac:dyDescent="0.25">
      <c r="AY512">
        <v>511</v>
      </c>
      <c r="AZ512">
        <v>124.39</v>
      </c>
      <c r="BA512">
        <f t="shared" si="41"/>
        <v>-3.7999999999999545</v>
      </c>
    </row>
    <row r="513" spans="51:53" x14ac:dyDescent="0.25">
      <c r="AY513">
        <v>512</v>
      </c>
      <c r="AZ513">
        <v>124.19</v>
      </c>
      <c r="BA513">
        <f t="shared" si="41"/>
        <v>-4.0000000000000568</v>
      </c>
    </row>
    <row r="514" spans="51:53" x14ac:dyDescent="0.25">
      <c r="AY514">
        <v>513</v>
      </c>
      <c r="AZ514">
        <v>124.04</v>
      </c>
      <c r="BA514">
        <f t="shared" si="41"/>
        <v>-2.9999999999998295</v>
      </c>
    </row>
    <row r="515" spans="51:53" x14ac:dyDescent="0.25">
      <c r="AY515">
        <v>514</v>
      </c>
      <c r="AZ515">
        <v>123.77</v>
      </c>
      <c r="BA515">
        <f t="shared" si="41"/>
        <v>-5.4000000000002046</v>
      </c>
    </row>
    <row r="516" spans="51:53" x14ac:dyDescent="0.25">
      <c r="AY516">
        <v>515</v>
      </c>
      <c r="AZ516">
        <v>123.65</v>
      </c>
      <c r="BA516">
        <f t="shared" ref="BA516:BA579" si="42">(AZ516-AZ515)/0.05</f>
        <v>-2.3999999999998067</v>
      </c>
    </row>
    <row r="517" spans="51:53" x14ac:dyDescent="0.25">
      <c r="AY517">
        <v>516</v>
      </c>
      <c r="AZ517">
        <v>123.57</v>
      </c>
      <c r="BA517">
        <f t="shared" si="42"/>
        <v>-1.6000000000002501</v>
      </c>
    </row>
    <row r="518" spans="51:53" x14ac:dyDescent="0.25">
      <c r="AY518">
        <v>517</v>
      </c>
      <c r="AZ518">
        <v>123.73</v>
      </c>
      <c r="BA518">
        <f t="shared" si="42"/>
        <v>3.200000000000216</v>
      </c>
    </row>
    <row r="519" spans="51:53" x14ac:dyDescent="0.25">
      <c r="AY519">
        <v>518</v>
      </c>
      <c r="AZ519">
        <v>124.5</v>
      </c>
      <c r="BA519">
        <f t="shared" si="42"/>
        <v>15.39999999999992</v>
      </c>
    </row>
    <row r="520" spans="51:53" x14ac:dyDescent="0.25">
      <c r="AY520">
        <v>519</v>
      </c>
      <c r="AZ520">
        <v>125.5</v>
      </c>
      <c r="BA520">
        <f t="shared" si="42"/>
        <v>20</v>
      </c>
    </row>
    <row r="521" spans="51:53" x14ac:dyDescent="0.25">
      <c r="AY521">
        <v>520</v>
      </c>
      <c r="AZ521">
        <v>125.74</v>
      </c>
      <c r="BA521">
        <f t="shared" si="42"/>
        <v>4.7999999999998977</v>
      </c>
    </row>
    <row r="522" spans="51:53" x14ac:dyDescent="0.25">
      <c r="AY522">
        <v>521</v>
      </c>
      <c r="AZ522">
        <v>125.7</v>
      </c>
      <c r="BA522">
        <f t="shared" si="42"/>
        <v>-0.79999999999984084</v>
      </c>
    </row>
    <row r="523" spans="51:53" x14ac:dyDescent="0.25">
      <c r="AY523">
        <v>522</v>
      </c>
      <c r="AZ523">
        <v>125.43</v>
      </c>
      <c r="BA523">
        <f t="shared" si="42"/>
        <v>-5.3999999999999204</v>
      </c>
    </row>
    <row r="524" spans="51:53" x14ac:dyDescent="0.25">
      <c r="AY524">
        <v>523</v>
      </c>
      <c r="AZ524">
        <v>125.04</v>
      </c>
      <c r="BA524">
        <f t="shared" si="42"/>
        <v>-7.8000000000000114</v>
      </c>
    </row>
    <row r="525" spans="51:53" x14ac:dyDescent="0.25">
      <c r="AY525">
        <v>524</v>
      </c>
      <c r="AZ525">
        <v>124.62</v>
      </c>
      <c r="BA525">
        <f t="shared" si="42"/>
        <v>-8.4000000000000341</v>
      </c>
    </row>
    <row r="526" spans="51:53" x14ac:dyDescent="0.25">
      <c r="AY526">
        <v>525</v>
      </c>
      <c r="AZ526">
        <v>124.23</v>
      </c>
      <c r="BA526">
        <f t="shared" si="42"/>
        <v>-7.8000000000000114</v>
      </c>
    </row>
    <row r="527" spans="51:53" x14ac:dyDescent="0.25">
      <c r="AY527">
        <v>526</v>
      </c>
      <c r="AZ527">
        <v>123.77</v>
      </c>
      <c r="BA527">
        <f t="shared" si="42"/>
        <v>-9.2000000000001592</v>
      </c>
    </row>
    <row r="528" spans="51:53" x14ac:dyDescent="0.25">
      <c r="AY528">
        <v>527</v>
      </c>
      <c r="AZ528">
        <v>123.54</v>
      </c>
      <c r="BA528">
        <f t="shared" si="42"/>
        <v>-4.5999999999997954</v>
      </c>
    </row>
    <row r="529" spans="51:53" x14ac:dyDescent="0.25">
      <c r="AY529">
        <v>528</v>
      </c>
      <c r="AZ529">
        <v>123.07</v>
      </c>
      <c r="BA529">
        <f t="shared" si="42"/>
        <v>-9.4000000000002615</v>
      </c>
    </row>
    <row r="530" spans="51:53" x14ac:dyDescent="0.25">
      <c r="AY530">
        <v>529</v>
      </c>
      <c r="AZ530">
        <v>122.8</v>
      </c>
      <c r="BA530">
        <f t="shared" si="42"/>
        <v>-5.3999999999999204</v>
      </c>
    </row>
    <row r="531" spans="51:53" x14ac:dyDescent="0.25">
      <c r="AY531">
        <v>530</v>
      </c>
      <c r="AZ531">
        <v>122.38</v>
      </c>
      <c r="BA531">
        <f t="shared" si="42"/>
        <v>-8.4000000000000341</v>
      </c>
    </row>
    <row r="532" spans="51:53" x14ac:dyDescent="0.25">
      <c r="AY532">
        <v>531</v>
      </c>
      <c r="AZ532">
        <v>122.15</v>
      </c>
      <c r="BA532">
        <f t="shared" si="42"/>
        <v>-4.5999999999997954</v>
      </c>
    </row>
    <row r="533" spans="51:53" x14ac:dyDescent="0.25">
      <c r="AY533">
        <v>532</v>
      </c>
      <c r="AZ533">
        <v>121.87</v>
      </c>
      <c r="BA533">
        <f t="shared" si="42"/>
        <v>-5.6000000000000227</v>
      </c>
    </row>
    <row r="534" spans="51:53" x14ac:dyDescent="0.25">
      <c r="AY534">
        <v>533</v>
      </c>
      <c r="AZ534">
        <v>121.72</v>
      </c>
      <c r="BA534">
        <f t="shared" si="42"/>
        <v>-3.0000000000001137</v>
      </c>
    </row>
    <row r="535" spans="51:53" x14ac:dyDescent="0.25">
      <c r="AY535">
        <v>534</v>
      </c>
      <c r="AZ535">
        <v>121.53</v>
      </c>
      <c r="BA535">
        <f t="shared" si="42"/>
        <v>-3.7999999999999545</v>
      </c>
    </row>
    <row r="536" spans="51:53" x14ac:dyDescent="0.25">
      <c r="AY536">
        <v>535</v>
      </c>
      <c r="AZ536">
        <v>121.41</v>
      </c>
      <c r="BA536">
        <f t="shared" si="42"/>
        <v>-2.4000000000000909</v>
      </c>
    </row>
    <row r="537" spans="51:53" x14ac:dyDescent="0.25">
      <c r="AY537">
        <v>536</v>
      </c>
      <c r="AZ537">
        <v>121.18</v>
      </c>
      <c r="BA537">
        <f t="shared" si="42"/>
        <v>-4.5999999999997954</v>
      </c>
    </row>
    <row r="538" spans="51:53" x14ac:dyDescent="0.25">
      <c r="AY538">
        <v>537</v>
      </c>
      <c r="AZ538">
        <v>121.14</v>
      </c>
      <c r="BA538">
        <f t="shared" si="42"/>
        <v>-0.80000000000012506</v>
      </c>
    </row>
    <row r="539" spans="51:53" x14ac:dyDescent="0.25">
      <c r="AY539">
        <v>538</v>
      </c>
      <c r="AZ539">
        <v>121.87</v>
      </c>
      <c r="BA539">
        <f t="shared" si="42"/>
        <v>14.60000000000008</v>
      </c>
    </row>
    <row r="540" spans="51:53" x14ac:dyDescent="0.25">
      <c r="AY540">
        <v>539</v>
      </c>
      <c r="AZ540">
        <v>122.88</v>
      </c>
      <c r="BA540">
        <f t="shared" si="42"/>
        <v>20.199999999999818</v>
      </c>
    </row>
    <row r="541" spans="51:53" x14ac:dyDescent="0.25">
      <c r="AY541">
        <v>540</v>
      </c>
      <c r="AZ541">
        <v>123.38</v>
      </c>
      <c r="BA541">
        <f t="shared" si="42"/>
        <v>10</v>
      </c>
    </row>
    <row r="542" spans="51:53" x14ac:dyDescent="0.25">
      <c r="AY542">
        <v>541</v>
      </c>
      <c r="AZ542">
        <v>123.38</v>
      </c>
      <c r="BA542">
        <f t="shared" si="42"/>
        <v>0</v>
      </c>
    </row>
    <row r="543" spans="51:53" x14ac:dyDescent="0.25">
      <c r="AY543">
        <v>542</v>
      </c>
      <c r="AZ543">
        <v>123.11</v>
      </c>
      <c r="BA543">
        <f t="shared" si="42"/>
        <v>-5.3999999999999204</v>
      </c>
    </row>
    <row r="544" spans="51:53" x14ac:dyDescent="0.25">
      <c r="AY544">
        <v>543</v>
      </c>
      <c r="AZ544">
        <v>122.96</v>
      </c>
      <c r="BA544">
        <f t="shared" si="42"/>
        <v>-3.0000000000001137</v>
      </c>
    </row>
    <row r="545" spans="51:53" x14ac:dyDescent="0.25">
      <c r="AY545">
        <v>544</v>
      </c>
      <c r="AZ545">
        <v>122.65</v>
      </c>
      <c r="BA545">
        <f t="shared" si="42"/>
        <v>-6.1999999999997613</v>
      </c>
    </row>
    <row r="546" spans="51:53" x14ac:dyDescent="0.25">
      <c r="AY546">
        <v>545</v>
      </c>
      <c r="AZ546">
        <v>122.22</v>
      </c>
      <c r="BA546">
        <f t="shared" si="42"/>
        <v>-8.6000000000001364</v>
      </c>
    </row>
    <row r="547" spans="51:53" x14ac:dyDescent="0.25">
      <c r="AY547">
        <v>546</v>
      </c>
      <c r="AZ547">
        <v>121.91</v>
      </c>
      <c r="BA547">
        <f t="shared" si="42"/>
        <v>-6.2000000000000455</v>
      </c>
    </row>
    <row r="548" spans="51:53" x14ac:dyDescent="0.25">
      <c r="AY548">
        <v>547</v>
      </c>
      <c r="AZ548">
        <v>121.6</v>
      </c>
      <c r="BA548">
        <f t="shared" si="42"/>
        <v>-6.2000000000000455</v>
      </c>
    </row>
    <row r="549" spans="51:53" x14ac:dyDescent="0.25">
      <c r="AY549">
        <v>548</v>
      </c>
      <c r="AZ549">
        <v>121.18</v>
      </c>
      <c r="BA549">
        <f t="shared" si="42"/>
        <v>-8.3999999999997499</v>
      </c>
    </row>
    <row r="550" spans="51:53" x14ac:dyDescent="0.25">
      <c r="AY550">
        <v>549</v>
      </c>
      <c r="AZ550">
        <v>120.87</v>
      </c>
      <c r="BA550">
        <f t="shared" si="42"/>
        <v>-6.2000000000000455</v>
      </c>
    </row>
    <row r="551" spans="51:53" x14ac:dyDescent="0.25">
      <c r="AY551">
        <v>550</v>
      </c>
      <c r="AZ551">
        <v>120.48</v>
      </c>
      <c r="BA551">
        <f t="shared" si="42"/>
        <v>-7.8000000000000114</v>
      </c>
    </row>
    <row r="552" spans="51:53" x14ac:dyDescent="0.25">
      <c r="AY552">
        <v>551</v>
      </c>
      <c r="AZ552">
        <v>120.18</v>
      </c>
      <c r="BA552">
        <f t="shared" si="42"/>
        <v>-5.9999999999999432</v>
      </c>
    </row>
    <row r="553" spans="51:53" x14ac:dyDescent="0.25">
      <c r="AY553">
        <v>552</v>
      </c>
      <c r="AZ553">
        <v>119.79</v>
      </c>
      <c r="BA553">
        <f t="shared" si="42"/>
        <v>-7.8000000000000114</v>
      </c>
    </row>
    <row r="554" spans="51:53" x14ac:dyDescent="0.25">
      <c r="AY554">
        <v>553</v>
      </c>
      <c r="AZ554">
        <v>119.6</v>
      </c>
      <c r="BA554">
        <f t="shared" si="42"/>
        <v>-3.8000000000002387</v>
      </c>
    </row>
    <row r="555" spans="51:53" x14ac:dyDescent="0.25">
      <c r="AY555">
        <v>554</v>
      </c>
      <c r="AZ555">
        <v>119.4</v>
      </c>
      <c r="BA555">
        <f t="shared" si="42"/>
        <v>-3.9999999999997726</v>
      </c>
    </row>
    <row r="556" spans="51:53" x14ac:dyDescent="0.25">
      <c r="AY556">
        <v>555</v>
      </c>
      <c r="AZ556">
        <v>119.25</v>
      </c>
      <c r="BA556">
        <f t="shared" si="42"/>
        <v>-3.0000000000001137</v>
      </c>
    </row>
    <row r="557" spans="51:53" x14ac:dyDescent="0.25">
      <c r="AY557">
        <v>556</v>
      </c>
      <c r="AZ557">
        <v>119.13</v>
      </c>
      <c r="BA557">
        <f t="shared" si="42"/>
        <v>-2.4000000000000909</v>
      </c>
    </row>
    <row r="558" spans="51:53" x14ac:dyDescent="0.25">
      <c r="AY558">
        <v>557</v>
      </c>
      <c r="AZ558">
        <v>119.02</v>
      </c>
      <c r="BA558">
        <f t="shared" si="42"/>
        <v>-2.1999999999999886</v>
      </c>
    </row>
    <row r="559" spans="51:53" x14ac:dyDescent="0.25">
      <c r="AY559">
        <v>558</v>
      </c>
      <c r="AZ559">
        <v>119.29</v>
      </c>
      <c r="BA559">
        <f t="shared" si="42"/>
        <v>5.4000000000002046</v>
      </c>
    </row>
    <row r="560" spans="51:53" x14ac:dyDescent="0.25">
      <c r="AY560">
        <v>559</v>
      </c>
      <c r="AZ560">
        <v>120.25</v>
      </c>
      <c r="BA560">
        <f t="shared" si="42"/>
        <v>19.199999999999875</v>
      </c>
    </row>
    <row r="561" spans="51:53" x14ac:dyDescent="0.25">
      <c r="AY561">
        <v>560</v>
      </c>
      <c r="AZ561">
        <v>121.1</v>
      </c>
      <c r="BA561">
        <f t="shared" si="42"/>
        <v>16.999999999999886</v>
      </c>
    </row>
    <row r="562" spans="51:53" x14ac:dyDescent="0.25">
      <c r="AY562">
        <v>561</v>
      </c>
      <c r="AZ562">
        <v>121.18</v>
      </c>
      <c r="BA562">
        <f t="shared" si="42"/>
        <v>1.6000000000002501</v>
      </c>
    </row>
    <row r="563" spans="51:53" x14ac:dyDescent="0.25">
      <c r="AY563">
        <v>562</v>
      </c>
      <c r="AZ563">
        <v>121.14</v>
      </c>
      <c r="BA563">
        <f t="shared" si="42"/>
        <v>-0.80000000000012506</v>
      </c>
    </row>
    <row r="564" spans="51:53" x14ac:dyDescent="0.25">
      <c r="AY564">
        <v>563</v>
      </c>
      <c r="AZ564">
        <v>121.3</v>
      </c>
      <c r="BA564">
        <f t="shared" si="42"/>
        <v>3.1999999999999318</v>
      </c>
    </row>
    <row r="565" spans="51:53" x14ac:dyDescent="0.25">
      <c r="AY565">
        <v>564</v>
      </c>
      <c r="AZ565">
        <v>121.14</v>
      </c>
      <c r="BA565">
        <f t="shared" si="42"/>
        <v>-3.1999999999999318</v>
      </c>
    </row>
    <row r="566" spans="51:53" x14ac:dyDescent="0.25">
      <c r="AY566">
        <v>565</v>
      </c>
      <c r="AZ566">
        <v>120.83</v>
      </c>
      <c r="BA566">
        <f t="shared" si="42"/>
        <v>-6.2000000000000455</v>
      </c>
    </row>
    <row r="567" spans="51:53" x14ac:dyDescent="0.25">
      <c r="AY567">
        <v>566</v>
      </c>
      <c r="AZ567">
        <v>120.56</v>
      </c>
      <c r="BA567">
        <f t="shared" si="42"/>
        <v>-5.3999999999999204</v>
      </c>
    </row>
    <row r="568" spans="51:53" x14ac:dyDescent="0.25">
      <c r="AY568">
        <v>567</v>
      </c>
      <c r="AZ568">
        <v>120.33</v>
      </c>
      <c r="BA568">
        <f t="shared" si="42"/>
        <v>-4.6000000000000796</v>
      </c>
    </row>
    <row r="569" spans="51:53" x14ac:dyDescent="0.25">
      <c r="AY569">
        <v>568</v>
      </c>
      <c r="AZ569">
        <v>119.87</v>
      </c>
      <c r="BA569">
        <f t="shared" si="42"/>
        <v>-9.1999999999998749</v>
      </c>
    </row>
    <row r="570" spans="51:53" x14ac:dyDescent="0.25">
      <c r="AY570">
        <v>569</v>
      </c>
      <c r="AZ570">
        <v>119.44</v>
      </c>
      <c r="BA570">
        <f t="shared" si="42"/>
        <v>-8.6000000000001364</v>
      </c>
    </row>
    <row r="571" spans="51:53" x14ac:dyDescent="0.25">
      <c r="AY571">
        <v>570</v>
      </c>
      <c r="AZ571">
        <v>119.06</v>
      </c>
      <c r="BA571">
        <f t="shared" si="42"/>
        <v>-7.5999999999999091</v>
      </c>
    </row>
    <row r="572" spans="51:53" x14ac:dyDescent="0.25">
      <c r="AY572">
        <v>571</v>
      </c>
      <c r="AZ572">
        <v>118.44</v>
      </c>
      <c r="BA572">
        <f t="shared" si="42"/>
        <v>-12.400000000000091</v>
      </c>
    </row>
    <row r="573" spans="51:53" x14ac:dyDescent="0.25">
      <c r="AY573">
        <v>572</v>
      </c>
      <c r="AZ573">
        <v>118.05</v>
      </c>
      <c r="BA573">
        <f t="shared" si="42"/>
        <v>-7.8000000000000114</v>
      </c>
    </row>
    <row r="574" spans="51:53" x14ac:dyDescent="0.25">
      <c r="AY574">
        <v>573</v>
      </c>
      <c r="AZ574">
        <v>117.7</v>
      </c>
      <c r="BA574">
        <f t="shared" si="42"/>
        <v>-6.9999999999998863</v>
      </c>
    </row>
    <row r="575" spans="51:53" x14ac:dyDescent="0.25">
      <c r="AY575">
        <v>574</v>
      </c>
      <c r="AZ575">
        <v>117.43</v>
      </c>
      <c r="BA575">
        <f t="shared" si="42"/>
        <v>-5.3999999999999204</v>
      </c>
    </row>
    <row r="576" spans="51:53" x14ac:dyDescent="0.25">
      <c r="AY576">
        <v>575</v>
      </c>
      <c r="AZ576">
        <v>117.16</v>
      </c>
      <c r="BA576">
        <f t="shared" si="42"/>
        <v>-5.4000000000002046</v>
      </c>
    </row>
    <row r="577" spans="51:53" x14ac:dyDescent="0.25">
      <c r="AY577">
        <v>576</v>
      </c>
      <c r="AZ577">
        <v>117.09</v>
      </c>
      <c r="BA577">
        <f t="shared" si="42"/>
        <v>-1.3999999999998636</v>
      </c>
    </row>
    <row r="578" spans="51:53" x14ac:dyDescent="0.25">
      <c r="AY578">
        <v>577</v>
      </c>
      <c r="AZ578">
        <v>116.85</v>
      </c>
      <c r="BA578">
        <f t="shared" si="42"/>
        <v>-4.8000000000001819</v>
      </c>
    </row>
    <row r="579" spans="51:53" x14ac:dyDescent="0.25">
      <c r="AY579">
        <v>578</v>
      </c>
      <c r="AZ579">
        <v>116.78</v>
      </c>
      <c r="BA579">
        <f t="shared" si="42"/>
        <v>-1.3999999999998636</v>
      </c>
    </row>
    <row r="580" spans="51:53" x14ac:dyDescent="0.25">
      <c r="AY580">
        <v>579</v>
      </c>
      <c r="AZ580">
        <v>117.4</v>
      </c>
      <c r="BA580">
        <f t="shared" ref="BA580:BA643" si="43">(AZ580-AZ579)/0.05</f>
        <v>12.400000000000091</v>
      </c>
    </row>
    <row r="581" spans="51:53" x14ac:dyDescent="0.25">
      <c r="AY581">
        <v>580</v>
      </c>
      <c r="AZ581">
        <v>118.36</v>
      </c>
      <c r="BA581">
        <f t="shared" si="43"/>
        <v>19.199999999999875</v>
      </c>
    </row>
    <row r="582" spans="51:53" x14ac:dyDescent="0.25">
      <c r="AY582">
        <v>581</v>
      </c>
      <c r="AZ582">
        <v>119.02</v>
      </c>
      <c r="BA582">
        <f t="shared" si="43"/>
        <v>13.199999999999932</v>
      </c>
    </row>
    <row r="583" spans="51:53" x14ac:dyDescent="0.25">
      <c r="AY583">
        <v>582</v>
      </c>
      <c r="AZ583">
        <v>119.17</v>
      </c>
      <c r="BA583">
        <f t="shared" si="43"/>
        <v>3.0000000000001137</v>
      </c>
    </row>
    <row r="584" spans="51:53" x14ac:dyDescent="0.25">
      <c r="AY584">
        <v>583</v>
      </c>
      <c r="AZ584">
        <v>119.4</v>
      </c>
      <c r="BA584">
        <f t="shared" si="43"/>
        <v>4.6000000000000796</v>
      </c>
    </row>
    <row r="585" spans="51:53" x14ac:dyDescent="0.25">
      <c r="AY585">
        <v>584</v>
      </c>
      <c r="AZ585">
        <v>119.4</v>
      </c>
      <c r="BA585">
        <f t="shared" si="43"/>
        <v>0</v>
      </c>
    </row>
    <row r="586" spans="51:53" x14ac:dyDescent="0.25">
      <c r="AY586">
        <v>585</v>
      </c>
      <c r="AZ586">
        <v>119.13</v>
      </c>
      <c r="BA586">
        <f t="shared" si="43"/>
        <v>-5.4000000000002046</v>
      </c>
    </row>
    <row r="587" spans="51:53" x14ac:dyDescent="0.25">
      <c r="AY587">
        <v>586</v>
      </c>
      <c r="AZ587">
        <v>118.82</v>
      </c>
      <c r="BA587">
        <f t="shared" si="43"/>
        <v>-6.2000000000000455</v>
      </c>
    </row>
    <row r="588" spans="51:53" x14ac:dyDescent="0.25">
      <c r="AY588">
        <v>587</v>
      </c>
      <c r="AZ588">
        <v>118.4</v>
      </c>
      <c r="BA588">
        <f t="shared" si="43"/>
        <v>-8.3999999999997499</v>
      </c>
    </row>
    <row r="589" spans="51:53" x14ac:dyDescent="0.25">
      <c r="AY589">
        <v>588</v>
      </c>
      <c r="AZ589">
        <v>118.05</v>
      </c>
      <c r="BA589">
        <f t="shared" si="43"/>
        <v>-7.0000000000001705</v>
      </c>
    </row>
    <row r="590" spans="51:53" x14ac:dyDescent="0.25">
      <c r="AY590">
        <v>589</v>
      </c>
      <c r="AZ590">
        <v>117.74</v>
      </c>
      <c r="BA590">
        <f t="shared" si="43"/>
        <v>-6.2000000000000455</v>
      </c>
    </row>
    <row r="591" spans="51:53" x14ac:dyDescent="0.25">
      <c r="AY591">
        <v>590</v>
      </c>
      <c r="AZ591">
        <v>117.28</v>
      </c>
      <c r="BA591">
        <f t="shared" si="43"/>
        <v>-9.1999999999998749</v>
      </c>
    </row>
    <row r="592" spans="51:53" x14ac:dyDescent="0.25">
      <c r="AY592">
        <v>591</v>
      </c>
      <c r="AZ592">
        <v>116.85</v>
      </c>
      <c r="BA592">
        <f t="shared" si="43"/>
        <v>-8.6000000000001364</v>
      </c>
    </row>
    <row r="593" spans="51:53" x14ac:dyDescent="0.25">
      <c r="AY593">
        <v>592</v>
      </c>
      <c r="AZ593">
        <v>116.43</v>
      </c>
      <c r="BA593">
        <f t="shared" si="43"/>
        <v>-8.3999999999997499</v>
      </c>
    </row>
    <row r="594" spans="51:53" x14ac:dyDescent="0.25">
      <c r="AY594">
        <v>593</v>
      </c>
      <c r="AZ594">
        <v>116.04</v>
      </c>
      <c r="BA594">
        <f t="shared" si="43"/>
        <v>-7.8000000000000114</v>
      </c>
    </row>
    <row r="595" spans="51:53" x14ac:dyDescent="0.25">
      <c r="AY595">
        <v>594</v>
      </c>
      <c r="AZ595">
        <v>115.66</v>
      </c>
      <c r="BA595">
        <f t="shared" si="43"/>
        <v>-7.6000000000001933</v>
      </c>
    </row>
    <row r="596" spans="51:53" x14ac:dyDescent="0.25">
      <c r="AY596">
        <v>595</v>
      </c>
      <c r="AZ596">
        <v>115.46</v>
      </c>
      <c r="BA596">
        <f t="shared" si="43"/>
        <v>-4.0000000000000568</v>
      </c>
    </row>
    <row r="597" spans="51:53" x14ac:dyDescent="0.25">
      <c r="AY597">
        <v>596</v>
      </c>
      <c r="AZ597">
        <v>115.19</v>
      </c>
      <c r="BA597">
        <f t="shared" si="43"/>
        <v>-5.3999999999999204</v>
      </c>
    </row>
    <row r="598" spans="51:53" x14ac:dyDescent="0.25">
      <c r="AY598">
        <v>597</v>
      </c>
      <c r="AZ598">
        <v>115.04</v>
      </c>
      <c r="BA598">
        <f t="shared" si="43"/>
        <v>-2.9999999999998295</v>
      </c>
    </row>
    <row r="599" spans="51:53" x14ac:dyDescent="0.25">
      <c r="AY599">
        <v>598</v>
      </c>
      <c r="AZ599">
        <v>115</v>
      </c>
      <c r="BA599">
        <f t="shared" si="43"/>
        <v>-0.80000000000012506</v>
      </c>
    </row>
    <row r="600" spans="51:53" x14ac:dyDescent="0.25">
      <c r="AY600">
        <v>599</v>
      </c>
      <c r="AZ600">
        <v>114.96</v>
      </c>
      <c r="BA600">
        <f t="shared" si="43"/>
        <v>-0.80000000000012506</v>
      </c>
    </row>
    <row r="601" spans="51:53" x14ac:dyDescent="0.25">
      <c r="AY601">
        <v>600</v>
      </c>
      <c r="AZ601">
        <v>115.5</v>
      </c>
      <c r="BA601">
        <f t="shared" si="43"/>
        <v>10.800000000000125</v>
      </c>
    </row>
    <row r="602" spans="51:53" x14ac:dyDescent="0.25">
      <c r="AY602">
        <v>601</v>
      </c>
      <c r="AZ602">
        <v>116.55</v>
      </c>
      <c r="BA602">
        <f t="shared" si="43"/>
        <v>20.999999999999943</v>
      </c>
    </row>
    <row r="603" spans="51:53" x14ac:dyDescent="0.25">
      <c r="AY603">
        <v>602</v>
      </c>
      <c r="AZ603">
        <v>117.16</v>
      </c>
      <c r="BA603">
        <f t="shared" si="43"/>
        <v>12.199999999999989</v>
      </c>
    </row>
    <row r="604" spans="51:53" x14ac:dyDescent="0.25">
      <c r="AY604">
        <v>603</v>
      </c>
      <c r="AZ604">
        <v>117.63</v>
      </c>
      <c r="BA604">
        <f t="shared" si="43"/>
        <v>9.3999999999999773</v>
      </c>
    </row>
    <row r="605" spans="51:53" x14ac:dyDescent="0.25">
      <c r="AY605">
        <v>604</v>
      </c>
      <c r="AZ605">
        <v>117.74</v>
      </c>
      <c r="BA605">
        <f t="shared" si="43"/>
        <v>2.1999999999999886</v>
      </c>
    </row>
    <row r="606" spans="51:53" x14ac:dyDescent="0.25">
      <c r="AY606">
        <v>605</v>
      </c>
      <c r="AZ606">
        <v>117.7</v>
      </c>
      <c r="BA606">
        <f t="shared" si="43"/>
        <v>-0.79999999999984084</v>
      </c>
    </row>
    <row r="607" spans="51:53" x14ac:dyDescent="0.25">
      <c r="AY607">
        <v>606</v>
      </c>
      <c r="AZ607">
        <v>117.47</v>
      </c>
      <c r="BA607">
        <f t="shared" si="43"/>
        <v>-4.6000000000000796</v>
      </c>
    </row>
    <row r="608" spans="51:53" x14ac:dyDescent="0.25">
      <c r="AY608">
        <v>607</v>
      </c>
      <c r="AZ608">
        <v>117.13</v>
      </c>
      <c r="BA608">
        <f t="shared" si="43"/>
        <v>-6.8000000000000682</v>
      </c>
    </row>
    <row r="609" spans="51:53" x14ac:dyDescent="0.25">
      <c r="AY609">
        <v>608</v>
      </c>
      <c r="AZ609">
        <v>116.85</v>
      </c>
      <c r="BA609">
        <f t="shared" si="43"/>
        <v>-5.6000000000000227</v>
      </c>
    </row>
    <row r="610" spans="51:53" x14ac:dyDescent="0.25">
      <c r="AY610">
        <v>609</v>
      </c>
      <c r="AZ610">
        <v>116.62</v>
      </c>
      <c r="BA610">
        <f t="shared" si="43"/>
        <v>-4.5999999999997954</v>
      </c>
    </row>
    <row r="611" spans="51:53" x14ac:dyDescent="0.25">
      <c r="AY611">
        <v>610</v>
      </c>
      <c r="AZ611">
        <v>116.31</v>
      </c>
      <c r="BA611">
        <f t="shared" si="43"/>
        <v>-6.2000000000000455</v>
      </c>
    </row>
    <row r="612" spans="51:53" x14ac:dyDescent="0.25">
      <c r="AY612">
        <v>611</v>
      </c>
      <c r="AZ612">
        <v>115.93</v>
      </c>
      <c r="BA612">
        <f t="shared" si="43"/>
        <v>-7.5999999999999091</v>
      </c>
    </row>
    <row r="613" spans="51:53" x14ac:dyDescent="0.25">
      <c r="AY613">
        <v>612</v>
      </c>
      <c r="AZ613">
        <v>115.66</v>
      </c>
      <c r="BA613">
        <f t="shared" si="43"/>
        <v>-5.4000000000002046</v>
      </c>
    </row>
    <row r="614" spans="51:53" x14ac:dyDescent="0.25">
      <c r="AY614">
        <v>613</v>
      </c>
      <c r="AZ614">
        <v>115.31</v>
      </c>
      <c r="BA614">
        <f t="shared" si="43"/>
        <v>-6.9999999999998863</v>
      </c>
    </row>
    <row r="615" spans="51:53" x14ac:dyDescent="0.25">
      <c r="AY615">
        <v>614</v>
      </c>
      <c r="AZ615">
        <v>114.92</v>
      </c>
      <c r="BA615">
        <f t="shared" si="43"/>
        <v>-7.8000000000000114</v>
      </c>
    </row>
    <row r="616" spans="51:53" x14ac:dyDescent="0.25">
      <c r="AY616">
        <v>615</v>
      </c>
      <c r="AZ616">
        <v>114.42</v>
      </c>
      <c r="BA616">
        <f t="shared" si="43"/>
        <v>-10</v>
      </c>
    </row>
    <row r="617" spans="51:53" x14ac:dyDescent="0.25">
      <c r="AY617">
        <v>616</v>
      </c>
      <c r="AZ617">
        <v>114.04</v>
      </c>
      <c r="BA617">
        <f t="shared" si="43"/>
        <v>-7.5999999999999091</v>
      </c>
    </row>
    <row r="618" spans="51:53" x14ac:dyDescent="0.25">
      <c r="AY618">
        <v>617</v>
      </c>
      <c r="AZ618">
        <v>113.73</v>
      </c>
      <c r="BA618">
        <f t="shared" si="43"/>
        <v>-6.2000000000000455</v>
      </c>
    </row>
    <row r="619" spans="51:53" x14ac:dyDescent="0.25">
      <c r="AY619">
        <v>618</v>
      </c>
      <c r="AZ619">
        <v>113.46</v>
      </c>
      <c r="BA619">
        <f t="shared" si="43"/>
        <v>-5.4000000000002046</v>
      </c>
    </row>
    <row r="620" spans="51:53" x14ac:dyDescent="0.25">
      <c r="AY620">
        <v>619</v>
      </c>
      <c r="AZ620">
        <v>113.19</v>
      </c>
      <c r="BA620">
        <f t="shared" si="43"/>
        <v>-5.3999999999999204</v>
      </c>
    </row>
    <row r="621" spans="51:53" x14ac:dyDescent="0.25">
      <c r="AY621">
        <v>620</v>
      </c>
      <c r="AZ621">
        <v>113.19</v>
      </c>
      <c r="BA621">
        <f t="shared" si="43"/>
        <v>0</v>
      </c>
    </row>
    <row r="622" spans="51:53" x14ac:dyDescent="0.25">
      <c r="AY622">
        <v>621</v>
      </c>
      <c r="AZ622">
        <v>113.96</v>
      </c>
      <c r="BA622">
        <f t="shared" si="43"/>
        <v>15.39999999999992</v>
      </c>
    </row>
    <row r="623" spans="51:53" x14ac:dyDescent="0.25">
      <c r="AY623">
        <v>622</v>
      </c>
      <c r="AZ623">
        <v>115.08</v>
      </c>
      <c r="BA623">
        <f t="shared" si="43"/>
        <v>22.400000000000091</v>
      </c>
    </row>
    <row r="624" spans="51:53" x14ac:dyDescent="0.25">
      <c r="AY624">
        <v>623</v>
      </c>
      <c r="AZ624">
        <v>115.73</v>
      </c>
      <c r="BA624">
        <f t="shared" si="43"/>
        <v>13.000000000000114</v>
      </c>
    </row>
    <row r="625" spans="51:53" x14ac:dyDescent="0.25">
      <c r="AY625">
        <v>624</v>
      </c>
      <c r="AZ625">
        <v>115.93</v>
      </c>
      <c r="BA625">
        <f t="shared" si="43"/>
        <v>4.0000000000000568</v>
      </c>
    </row>
    <row r="626" spans="51:53" x14ac:dyDescent="0.25">
      <c r="AY626">
        <v>625</v>
      </c>
      <c r="AZ626">
        <v>115.93</v>
      </c>
      <c r="BA626">
        <f t="shared" si="43"/>
        <v>0</v>
      </c>
    </row>
    <row r="627" spans="51:53" x14ac:dyDescent="0.25">
      <c r="AY627">
        <v>626</v>
      </c>
      <c r="AZ627">
        <v>115.85</v>
      </c>
      <c r="BA627">
        <f t="shared" si="43"/>
        <v>-1.6000000000002501</v>
      </c>
    </row>
    <row r="628" spans="51:53" x14ac:dyDescent="0.25">
      <c r="AY628">
        <v>627</v>
      </c>
      <c r="AZ628">
        <v>115.58</v>
      </c>
      <c r="BA628">
        <f t="shared" si="43"/>
        <v>-5.3999999999999204</v>
      </c>
    </row>
    <row r="629" spans="51:53" x14ac:dyDescent="0.25">
      <c r="AY629">
        <v>628</v>
      </c>
      <c r="AZ629">
        <v>115.19</v>
      </c>
      <c r="BA629">
        <f t="shared" si="43"/>
        <v>-7.8000000000000114</v>
      </c>
    </row>
    <row r="630" spans="51:53" x14ac:dyDescent="0.25">
      <c r="AY630">
        <v>629</v>
      </c>
      <c r="AZ630">
        <v>114.89</v>
      </c>
      <c r="BA630">
        <f t="shared" si="43"/>
        <v>-5.9999999999999432</v>
      </c>
    </row>
    <row r="631" spans="51:53" x14ac:dyDescent="0.25">
      <c r="AY631">
        <v>630</v>
      </c>
      <c r="AZ631">
        <v>114.54</v>
      </c>
      <c r="BA631">
        <f t="shared" si="43"/>
        <v>-6.9999999999998863</v>
      </c>
    </row>
    <row r="632" spans="51:53" x14ac:dyDescent="0.25">
      <c r="AY632">
        <v>631</v>
      </c>
      <c r="AZ632">
        <v>114.34</v>
      </c>
      <c r="BA632">
        <f t="shared" si="43"/>
        <v>-4.0000000000000568</v>
      </c>
    </row>
    <row r="633" spans="51:53" x14ac:dyDescent="0.25">
      <c r="AY633">
        <v>632</v>
      </c>
      <c r="AZ633">
        <v>113.96</v>
      </c>
      <c r="BA633">
        <f t="shared" si="43"/>
        <v>-7.6000000000001933</v>
      </c>
    </row>
    <row r="634" spans="51:53" x14ac:dyDescent="0.25">
      <c r="AY634">
        <v>633</v>
      </c>
      <c r="AZ634">
        <v>113.61</v>
      </c>
      <c r="BA634">
        <f t="shared" si="43"/>
        <v>-6.9999999999998863</v>
      </c>
    </row>
    <row r="635" spans="51:53" x14ac:dyDescent="0.25">
      <c r="AY635">
        <v>634</v>
      </c>
      <c r="AZ635">
        <v>113.22</v>
      </c>
      <c r="BA635">
        <f t="shared" si="43"/>
        <v>-7.8000000000000114</v>
      </c>
    </row>
    <row r="636" spans="51:53" x14ac:dyDescent="0.25">
      <c r="AY636">
        <v>635</v>
      </c>
      <c r="AZ636">
        <v>112.88</v>
      </c>
      <c r="BA636">
        <f t="shared" si="43"/>
        <v>-6.8000000000000682</v>
      </c>
    </row>
    <row r="637" spans="51:53" x14ac:dyDescent="0.25">
      <c r="AY637">
        <v>636</v>
      </c>
      <c r="AZ637">
        <v>112.41</v>
      </c>
      <c r="BA637">
        <f t="shared" si="43"/>
        <v>-9.3999999999999773</v>
      </c>
    </row>
    <row r="638" spans="51:53" x14ac:dyDescent="0.25">
      <c r="AY638">
        <v>637</v>
      </c>
      <c r="AZ638">
        <v>112.03</v>
      </c>
      <c r="BA638">
        <f t="shared" si="43"/>
        <v>-7.5999999999999091</v>
      </c>
    </row>
    <row r="639" spans="51:53" x14ac:dyDescent="0.25">
      <c r="AY639">
        <v>638</v>
      </c>
      <c r="AZ639">
        <v>111.8</v>
      </c>
      <c r="BA639">
        <f t="shared" si="43"/>
        <v>-4.6000000000000796</v>
      </c>
    </row>
    <row r="640" spans="51:53" x14ac:dyDescent="0.25">
      <c r="AY640">
        <v>639</v>
      </c>
      <c r="AZ640">
        <v>111.49</v>
      </c>
      <c r="BA640">
        <f t="shared" si="43"/>
        <v>-6.2000000000000455</v>
      </c>
    </row>
    <row r="641" spans="51:53" x14ac:dyDescent="0.25">
      <c r="AY641">
        <v>640</v>
      </c>
      <c r="AZ641">
        <v>111.26</v>
      </c>
      <c r="BA641">
        <f t="shared" si="43"/>
        <v>-4.5999999999997954</v>
      </c>
    </row>
    <row r="642" spans="51:53" x14ac:dyDescent="0.25">
      <c r="AY642">
        <v>641</v>
      </c>
      <c r="AZ642">
        <v>111.14</v>
      </c>
      <c r="BA642">
        <f t="shared" si="43"/>
        <v>-2.4000000000000909</v>
      </c>
    </row>
    <row r="643" spans="51:53" x14ac:dyDescent="0.25">
      <c r="AY643">
        <v>642</v>
      </c>
      <c r="AZ643">
        <v>111.49</v>
      </c>
      <c r="BA643">
        <f t="shared" si="43"/>
        <v>6.9999999999998863</v>
      </c>
    </row>
    <row r="644" spans="51:53" x14ac:dyDescent="0.25">
      <c r="AY644">
        <v>643</v>
      </c>
      <c r="AZ644">
        <v>112.61</v>
      </c>
      <c r="BA644">
        <f t="shared" ref="BA644:BA707" si="44">(AZ644-AZ643)/0.05</f>
        <v>22.400000000000091</v>
      </c>
    </row>
    <row r="645" spans="51:53" x14ac:dyDescent="0.25">
      <c r="AY645">
        <v>644</v>
      </c>
      <c r="AZ645">
        <v>113.53</v>
      </c>
      <c r="BA645">
        <f t="shared" si="44"/>
        <v>18.400000000000034</v>
      </c>
    </row>
    <row r="646" spans="51:53" x14ac:dyDescent="0.25">
      <c r="AY646">
        <v>645</v>
      </c>
      <c r="AZ646">
        <v>114</v>
      </c>
      <c r="BA646">
        <f t="shared" si="44"/>
        <v>9.3999999999999773</v>
      </c>
    </row>
    <row r="647" spans="51:53" x14ac:dyDescent="0.25">
      <c r="AY647">
        <v>646</v>
      </c>
      <c r="AZ647">
        <v>114</v>
      </c>
      <c r="BA647">
        <f t="shared" si="44"/>
        <v>0</v>
      </c>
    </row>
    <row r="648" spans="51:53" x14ac:dyDescent="0.25">
      <c r="AY648">
        <v>647</v>
      </c>
      <c r="AZ648">
        <v>114</v>
      </c>
      <c r="BA648">
        <f t="shared" si="44"/>
        <v>0</v>
      </c>
    </row>
    <row r="649" spans="51:53" x14ac:dyDescent="0.25">
      <c r="AY649">
        <v>648</v>
      </c>
      <c r="AZ649">
        <v>113.73</v>
      </c>
      <c r="BA649">
        <f t="shared" si="44"/>
        <v>-5.3999999999999204</v>
      </c>
    </row>
    <row r="650" spans="51:53" x14ac:dyDescent="0.25">
      <c r="AY650">
        <v>649</v>
      </c>
      <c r="AZ650">
        <v>113.38</v>
      </c>
      <c r="BA650">
        <f t="shared" si="44"/>
        <v>-7.0000000000001705</v>
      </c>
    </row>
    <row r="651" spans="51:53" x14ac:dyDescent="0.25">
      <c r="AY651">
        <v>650</v>
      </c>
      <c r="AZ651">
        <v>113.03</v>
      </c>
      <c r="BA651">
        <f t="shared" si="44"/>
        <v>-6.9999999999998863</v>
      </c>
    </row>
    <row r="652" spans="51:53" x14ac:dyDescent="0.25">
      <c r="AY652">
        <v>651</v>
      </c>
      <c r="AZ652">
        <v>112.61</v>
      </c>
      <c r="BA652">
        <f t="shared" si="44"/>
        <v>-8.4000000000000341</v>
      </c>
    </row>
    <row r="653" spans="51:53" x14ac:dyDescent="0.25">
      <c r="AY653">
        <v>652</v>
      </c>
      <c r="AZ653">
        <v>112.34</v>
      </c>
      <c r="BA653">
        <f t="shared" si="44"/>
        <v>-5.3999999999999204</v>
      </c>
    </row>
    <row r="654" spans="51:53" x14ac:dyDescent="0.25">
      <c r="AY654">
        <v>653</v>
      </c>
      <c r="AZ654">
        <v>111.99</v>
      </c>
      <c r="BA654">
        <f t="shared" si="44"/>
        <v>-7.0000000000001705</v>
      </c>
    </row>
    <row r="655" spans="51:53" x14ac:dyDescent="0.25">
      <c r="AY655">
        <v>654</v>
      </c>
      <c r="AZ655">
        <v>111.64</v>
      </c>
      <c r="BA655">
        <f t="shared" si="44"/>
        <v>-6.9999999999998863</v>
      </c>
    </row>
    <row r="656" spans="51:53" x14ac:dyDescent="0.25">
      <c r="AY656">
        <v>655</v>
      </c>
      <c r="AZ656">
        <v>111.33</v>
      </c>
      <c r="BA656">
        <f t="shared" si="44"/>
        <v>-6.2000000000000455</v>
      </c>
    </row>
    <row r="657" spans="51:53" x14ac:dyDescent="0.25">
      <c r="AY657">
        <v>656</v>
      </c>
      <c r="AZ657">
        <v>110.95</v>
      </c>
      <c r="BA657">
        <f t="shared" si="44"/>
        <v>-7.5999999999999091</v>
      </c>
    </row>
    <row r="658" spans="51:53" x14ac:dyDescent="0.25">
      <c r="AY658">
        <v>657</v>
      </c>
      <c r="AZ658">
        <v>110.52</v>
      </c>
      <c r="BA658">
        <f t="shared" si="44"/>
        <v>-8.6000000000001364</v>
      </c>
    </row>
    <row r="659" spans="51:53" x14ac:dyDescent="0.25">
      <c r="AY659">
        <v>658</v>
      </c>
      <c r="AZ659">
        <v>110.14</v>
      </c>
      <c r="BA659">
        <f t="shared" si="44"/>
        <v>-7.5999999999999091</v>
      </c>
    </row>
    <row r="660" spans="51:53" x14ac:dyDescent="0.25">
      <c r="AY660">
        <v>659</v>
      </c>
      <c r="AZ660">
        <v>109.79</v>
      </c>
      <c r="BA660">
        <f t="shared" si="44"/>
        <v>-6.9999999999998863</v>
      </c>
    </row>
    <row r="661" spans="51:53" x14ac:dyDescent="0.25">
      <c r="AY661">
        <v>660</v>
      </c>
      <c r="AZ661">
        <v>109.59</v>
      </c>
      <c r="BA661">
        <f t="shared" si="44"/>
        <v>-4.0000000000000568</v>
      </c>
    </row>
    <row r="662" spans="51:53" x14ac:dyDescent="0.25">
      <c r="AY662">
        <v>661</v>
      </c>
      <c r="AZ662">
        <v>109.44</v>
      </c>
      <c r="BA662">
        <f t="shared" si="44"/>
        <v>-3.0000000000001137</v>
      </c>
    </row>
    <row r="663" spans="51:53" x14ac:dyDescent="0.25">
      <c r="AY663">
        <v>662</v>
      </c>
      <c r="AZ663">
        <v>109.29</v>
      </c>
      <c r="BA663">
        <f t="shared" si="44"/>
        <v>-2.9999999999998295</v>
      </c>
    </row>
    <row r="664" spans="51:53" x14ac:dyDescent="0.25">
      <c r="AY664">
        <v>663</v>
      </c>
      <c r="AZ664">
        <v>109.36</v>
      </c>
      <c r="BA664">
        <f t="shared" si="44"/>
        <v>1.3999999999998636</v>
      </c>
    </row>
    <row r="665" spans="51:53" x14ac:dyDescent="0.25">
      <c r="AY665">
        <v>664</v>
      </c>
      <c r="AZ665">
        <v>110.1</v>
      </c>
      <c r="BA665">
        <f t="shared" si="44"/>
        <v>14.799999999999898</v>
      </c>
    </row>
    <row r="666" spans="51:53" x14ac:dyDescent="0.25">
      <c r="AY666">
        <v>665</v>
      </c>
      <c r="AZ666">
        <v>111.22</v>
      </c>
      <c r="BA666">
        <f t="shared" si="44"/>
        <v>22.400000000000091</v>
      </c>
    </row>
    <row r="667" spans="51:53" x14ac:dyDescent="0.25">
      <c r="AY667">
        <v>666</v>
      </c>
      <c r="AZ667">
        <v>111.8</v>
      </c>
      <c r="BA667">
        <f t="shared" si="44"/>
        <v>11.599999999999966</v>
      </c>
    </row>
    <row r="668" spans="51:53" x14ac:dyDescent="0.25">
      <c r="AY668">
        <v>667</v>
      </c>
      <c r="AZ668">
        <v>111.91</v>
      </c>
      <c r="BA668">
        <f t="shared" si="44"/>
        <v>2.1999999999999886</v>
      </c>
    </row>
    <row r="669" spans="51:53" x14ac:dyDescent="0.25">
      <c r="AY669">
        <v>668</v>
      </c>
      <c r="AZ669">
        <v>111.87</v>
      </c>
      <c r="BA669">
        <f t="shared" si="44"/>
        <v>-0.79999999999984084</v>
      </c>
    </row>
    <row r="670" spans="51:53" x14ac:dyDescent="0.25">
      <c r="AY670">
        <v>669</v>
      </c>
      <c r="AZ670">
        <v>111.76</v>
      </c>
      <c r="BA670">
        <f t="shared" si="44"/>
        <v>-2.1999999999999886</v>
      </c>
    </row>
    <row r="671" spans="51:53" x14ac:dyDescent="0.25">
      <c r="AY671">
        <v>670</v>
      </c>
      <c r="AZ671">
        <v>111.37</v>
      </c>
      <c r="BA671">
        <f t="shared" si="44"/>
        <v>-7.8000000000000114</v>
      </c>
    </row>
    <row r="672" spans="51:53" x14ac:dyDescent="0.25">
      <c r="AY672">
        <v>671</v>
      </c>
      <c r="AZ672">
        <v>111.06</v>
      </c>
      <c r="BA672">
        <f t="shared" si="44"/>
        <v>-6.2000000000000455</v>
      </c>
    </row>
    <row r="673" spans="51:53" x14ac:dyDescent="0.25">
      <c r="AY673">
        <v>672</v>
      </c>
      <c r="AZ673">
        <v>110.75</v>
      </c>
      <c r="BA673">
        <f t="shared" si="44"/>
        <v>-6.2000000000000455</v>
      </c>
    </row>
    <row r="674" spans="51:53" x14ac:dyDescent="0.25">
      <c r="AY674">
        <v>673</v>
      </c>
      <c r="AZ674">
        <v>110.41</v>
      </c>
      <c r="BA674">
        <f t="shared" si="44"/>
        <v>-6.8000000000000682</v>
      </c>
    </row>
    <row r="675" spans="51:53" x14ac:dyDescent="0.25">
      <c r="AY675">
        <v>674</v>
      </c>
      <c r="AZ675">
        <v>110.14</v>
      </c>
      <c r="BA675">
        <f t="shared" si="44"/>
        <v>-5.3999999999999204</v>
      </c>
    </row>
    <row r="676" spans="51:53" x14ac:dyDescent="0.25">
      <c r="AY676">
        <v>675</v>
      </c>
      <c r="AZ676">
        <v>109.87</v>
      </c>
      <c r="BA676">
        <f t="shared" si="44"/>
        <v>-5.3999999999999204</v>
      </c>
    </row>
    <row r="677" spans="51:53" x14ac:dyDescent="0.25">
      <c r="AY677">
        <v>676</v>
      </c>
      <c r="AZ677">
        <v>109.67</v>
      </c>
      <c r="BA677">
        <f t="shared" si="44"/>
        <v>-4.0000000000000568</v>
      </c>
    </row>
    <row r="678" spans="51:53" x14ac:dyDescent="0.25">
      <c r="AY678">
        <v>677</v>
      </c>
      <c r="AZ678">
        <v>109.36</v>
      </c>
      <c r="BA678">
        <f t="shared" si="44"/>
        <v>-6.2000000000000455</v>
      </c>
    </row>
    <row r="679" spans="51:53" x14ac:dyDescent="0.25">
      <c r="AY679">
        <v>678</v>
      </c>
      <c r="AZ679">
        <v>108.98</v>
      </c>
      <c r="BA679">
        <f t="shared" si="44"/>
        <v>-7.5999999999999091</v>
      </c>
    </row>
    <row r="680" spans="51:53" x14ac:dyDescent="0.25">
      <c r="AY680">
        <v>679</v>
      </c>
      <c r="AZ680">
        <v>108.71</v>
      </c>
      <c r="BA680">
        <f t="shared" si="44"/>
        <v>-5.4000000000002046</v>
      </c>
    </row>
    <row r="681" spans="51:53" x14ac:dyDescent="0.25">
      <c r="AY681">
        <v>680</v>
      </c>
      <c r="AZ681">
        <v>108.36</v>
      </c>
      <c r="BA681">
        <f t="shared" si="44"/>
        <v>-6.9999999999998863</v>
      </c>
    </row>
    <row r="682" spans="51:53" x14ac:dyDescent="0.25">
      <c r="AY682">
        <v>681</v>
      </c>
      <c r="AZ682">
        <v>108.09</v>
      </c>
      <c r="BA682">
        <f t="shared" si="44"/>
        <v>-5.3999999999999204</v>
      </c>
    </row>
    <row r="683" spans="51:53" x14ac:dyDescent="0.25">
      <c r="AY683">
        <v>682</v>
      </c>
      <c r="AZ683">
        <v>107.86</v>
      </c>
      <c r="BA683">
        <f t="shared" si="44"/>
        <v>-4.6000000000000796</v>
      </c>
    </row>
    <row r="684" spans="51:53" x14ac:dyDescent="0.25">
      <c r="AY684">
        <v>683</v>
      </c>
      <c r="AZ684">
        <v>107.66</v>
      </c>
      <c r="BA684">
        <f t="shared" si="44"/>
        <v>-4.0000000000000568</v>
      </c>
    </row>
    <row r="685" spans="51:53" x14ac:dyDescent="0.25">
      <c r="AY685">
        <v>684</v>
      </c>
      <c r="AZ685">
        <v>107.74</v>
      </c>
      <c r="BA685">
        <f t="shared" si="44"/>
        <v>1.5999999999999659</v>
      </c>
    </row>
    <row r="686" spans="51:53" x14ac:dyDescent="0.25">
      <c r="AY686">
        <v>685</v>
      </c>
      <c r="AZ686">
        <v>108.59</v>
      </c>
      <c r="BA686">
        <f t="shared" si="44"/>
        <v>17.000000000000171</v>
      </c>
    </row>
    <row r="687" spans="51:53" x14ac:dyDescent="0.25">
      <c r="AY687">
        <v>686</v>
      </c>
      <c r="AZ687">
        <v>109.59</v>
      </c>
      <c r="BA687">
        <f t="shared" si="44"/>
        <v>20</v>
      </c>
    </row>
    <row r="688" spans="51:53" x14ac:dyDescent="0.25">
      <c r="AY688">
        <v>687</v>
      </c>
      <c r="AZ688">
        <v>110.06</v>
      </c>
      <c r="BA688">
        <f t="shared" si="44"/>
        <v>9.3999999999999773</v>
      </c>
    </row>
    <row r="689" spans="51:53" x14ac:dyDescent="0.25">
      <c r="AY689">
        <v>688</v>
      </c>
      <c r="AZ689">
        <v>110.14</v>
      </c>
      <c r="BA689">
        <f t="shared" si="44"/>
        <v>1.5999999999999659</v>
      </c>
    </row>
    <row r="690" spans="51:53" x14ac:dyDescent="0.25">
      <c r="AY690">
        <v>689</v>
      </c>
      <c r="AZ690">
        <v>110.1</v>
      </c>
      <c r="BA690">
        <f t="shared" si="44"/>
        <v>-0.80000000000012506</v>
      </c>
    </row>
    <row r="691" spans="51:53" x14ac:dyDescent="0.25">
      <c r="AY691">
        <v>690</v>
      </c>
      <c r="AZ691">
        <v>109.9</v>
      </c>
      <c r="BA691">
        <f t="shared" si="44"/>
        <v>-3.9999999999997726</v>
      </c>
    </row>
    <row r="692" spans="51:53" x14ac:dyDescent="0.25">
      <c r="AY692">
        <v>691</v>
      </c>
      <c r="AZ692">
        <v>109.59</v>
      </c>
      <c r="BA692">
        <f t="shared" si="44"/>
        <v>-6.2000000000000455</v>
      </c>
    </row>
    <row r="693" spans="51:53" x14ac:dyDescent="0.25">
      <c r="AY693">
        <v>692</v>
      </c>
      <c r="AZ693">
        <v>109.25</v>
      </c>
      <c r="BA693">
        <f t="shared" si="44"/>
        <v>-6.8000000000000682</v>
      </c>
    </row>
    <row r="694" spans="51:53" x14ac:dyDescent="0.25">
      <c r="AY694">
        <v>693</v>
      </c>
      <c r="AZ694">
        <v>108.75</v>
      </c>
      <c r="BA694">
        <f t="shared" si="44"/>
        <v>-10</v>
      </c>
    </row>
    <row r="695" spans="51:53" x14ac:dyDescent="0.25">
      <c r="AY695">
        <v>694</v>
      </c>
      <c r="AZ695">
        <v>108.51</v>
      </c>
      <c r="BA695">
        <f t="shared" si="44"/>
        <v>-4.7999999999998977</v>
      </c>
    </row>
    <row r="696" spans="51:53" x14ac:dyDescent="0.25">
      <c r="AY696">
        <v>695</v>
      </c>
      <c r="AZ696">
        <v>108.24</v>
      </c>
      <c r="BA696">
        <f t="shared" si="44"/>
        <v>-5.4000000000002046</v>
      </c>
    </row>
    <row r="697" spans="51:53" x14ac:dyDescent="0.25">
      <c r="AY697">
        <v>696</v>
      </c>
      <c r="AZ697">
        <v>108.01</v>
      </c>
      <c r="BA697">
        <f t="shared" si="44"/>
        <v>-4.5999999999997954</v>
      </c>
    </row>
    <row r="698" spans="51:53" x14ac:dyDescent="0.25">
      <c r="AY698">
        <v>697</v>
      </c>
      <c r="AZ698">
        <v>107.86</v>
      </c>
      <c r="BA698">
        <f t="shared" si="44"/>
        <v>-3.0000000000001137</v>
      </c>
    </row>
    <row r="699" spans="51:53" x14ac:dyDescent="0.25">
      <c r="AY699">
        <v>698</v>
      </c>
      <c r="AZ699">
        <v>107.55</v>
      </c>
      <c r="BA699">
        <f t="shared" si="44"/>
        <v>-6.2000000000000455</v>
      </c>
    </row>
    <row r="700" spans="51:53" x14ac:dyDescent="0.25">
      <c r="AY700">
        <v>699</v>
      </c>
      <c r="AZ700">
        <v>107.16</v>
      </c>
      <c r="BA700">
        <f t="shared" si="44"/>
        <v>-7.8000000000000114</v>
      </c>
    </row>
    <row r="701" spans="51:53" x14ac:dyDescent="0.25">
      <c r="AY701">
        <v>700</v>
      </c>
      <c r="AZ701">
        <v>106.81</v>
      </c>
      <c r="BA701">
        <f t="shared" si="44"/>
        <v>-6.9999999999998863</v>
      </c>
    </row>
    <row r="702" spans="51:53" x14ac:dyDescent="0.25">
      <c r="AY702">
        <v>701</v>
      </c>
      <c r="AZ702">
        <v>106.47</v>
      </c>
      <c r="BA702">
        <f t="shared" si="44"/>
        <v>-6.8000000000000682</v>
      </c>
    </row>
    <row r="703" spans="51:53" x14ac:dyDescent="0.25">
      <c r="AY703">
        <v>702</v>
      </c>
      <c r="AZ703">
        <v>106.08</v>
      </c>
      <c r="BA703">
        <f t="shared" si="44"/>
        <v>-7.8000000000000114</v>
      </c>
    </row>
    <row r="704" spans="51:53" x14ac:dyDescent="0.25">
      <c r="AY704">
        <v>703</v>
      </c>
      <c r="AZ704">
        <v>105.77</v>
      </c>
      <c r="BA704">
        <f t="shared" si="44"/>
        <v>-6.2000000000000455</v>
      </c>
    </row>
    <row r="705" spans="51:53" x14ac:dyDescent="0.25">
      <c r="AY705">
        <v>704</v>
      </c>
      <c r="AZ705">
        <v>105.58</v>
      </c>
      <c r="BA705">
        <f t="shared" si="44"/>
        <v>-3.7999999999999545</v>
      </c>
    </row>
    <row r="706" spans="51:53" x14ac:dyDescent="0.25">
      <c r="AY706">
        <v>705</v>
      </c>
      <c r="AZ706">
        <v>105.69</v>
      </c>
      <c r="BA706">
        <f t="shared" si="44"/>
        <v>2.1999999999999886</v>
      </c>
    </row>
    <row r="707" spans="51:53" x14ac:dyDescent="0.25">
      <c r="AY707">
        <v>706</v>
      </c>
      <c r="AZ707">
        <v>106.7</v>
      </c>
      <c r="BA707">
        <f t="shared" si="44"/>
        <v>20.200000000000102</v>
      </c>
    </row>
    <row r="708" spans="51:53" x14ac:dyDescent="0.25">
      <c r="AY708">
        <v>707</v>
      </c>
      <c r="AZ708">
        <v>107.66</v>
      </c>
      <c r="BA708">
        <f t="shared" ref="BA708:BA771" si="45">(AZ708-AZ707)/0.05</f>
        <v>19.199999999999875</v>
      </c>
    </row>
    <row r="709" spans="51:53" x14ac:dyDescent="0.25">
      <c r="AY709">
        <v>708</v>
      </c>
      <c r="AZ709">
        <v>108.01</v>
      </c>
      <c r="BA709">
        <f t="shared" si="45"/>
        <v>7.0000000000001705</v>
      </c>
    </row>
    <row r="710" spans="51:53" x14ac:dyDescent="0.25">
      <c r="AY710">
        <v>709</v>
      </c>
      <c r="AZ710">
        <v>108.05</v>
      </c>
      <c r="BA710">
        <f t="shared" si="45"/>
        <v>0.79999999999984084</v>
      </c>
    </row>
    <row r="711" spans="51:53" x14ac:dyDescent="0.25">
      <c r="AY711">
        <v>710</v>
      </c>
      <c r="AZ711">
        <v>108.01</v>
      </c>
      <c r="BA711">
        <f t="shared" si="45"/>
        <v>-0.79999999999984084</v>
      </c>
    </row>
    <row r="712" spans="51:53" x14ac:dyDescent="0.25">
      <c r="AY712">
        <v>711</v>
      </c>
      <c r="AZ712">
        <v>107.78</v>
      </c>
      <c r="BA712">
        <f t="shared" si="45"/>
        <v>-4.6000000000000796</v>
      </c>
    </row>
    <row r="713" spans="51:53" x14ac:dyDescent="0.25">
      <c r="AY713">
        <v>712</v>
      </c>
      <c r="AZ713">
        <v>107.39</v>
      </c>
      <c r="BA713">
        <f t="shared" si="45"/>
        <v>-7.8000000000000114</v>
      </c>
    </row>
    <row r="714" spans="51:53" x14ac:dyDescent="0.25">
      <c r="AY714">
        <v>713</v>
      </c>
      <c r="AZ714">
        <v>107.01</v>
      </c>
      <c r="BA714">
        <f t="shared" si="45"/>
        <v>-7.5999999999999091</v>
      </c>
    </row>
    <row r="715" spans="51:53" x14ac:dyDescent="0.25">
      <c r="AY715">
        <v>714</v>
      </c>
      <c r="AZ715">
        <v>106.74</v>
      </c>
      <c r="BA715">
        <f t="shared" si="45"/>
        <v>-5.4000000000002046</v>
      </c>
    </row>
    <row r="716" spans="51:53" x14ac:dyDescent="0.25">
      <c r="AY716">
        <v>715</v>
      </c>
      <c r="AZ716">
        <v>106.51</v>
      </c>
      <c r="BA716">
        <f t="shared" si="45"/>
        <v>-4.5999999999997954</v>
      </c>
    </row>
    <row r="717" spans="51:53" x14ac:dyDescent="0.25">
      <c r="AY717">
        <v>716</v>
      </c>
      <c r="AZ717">
        <v>106.24</v>
      </c>
      <c r="BA717">
        <f t="shared" si="45"/>
        <v>-5.4000000000002046</v>
      </c>
    </row>
    <row r="718" spans="51:53" x14ac:dyDescent="0.25">
      <c r="AY718">
        <v>717</v>
      </c>
      <c r="AZ718">
        <v>105.96</v>
      </c>
      <c r="BA718">
        <f t="shared" si="45"/>
        <v>-5.6000000000000227</v>
      </c>
    </row>
    <row r="719" spans="51:53" x14ac:dyDescent="0.25">
      <c r="AY719">
        <v>718</v>
      </c>
      <c r="AZ719">
        <v>105.73</v>
      </c>
      <c r="BA719">
        <f t="shared" si="45"/>
        <v>-4.5999999999997954</v>
      </c>
    </row>
    <row r="720" spans="51:53" x14ac:dyDescent="0.25">
      <c r="AY720">
        <v>719</v>
      </c>
      <c r="AZ720">
        <v>105.46</v>
      </c>
      <c r="BA720">
        <f t="shared" si="45"/>
        <v>-5.4000000000002046</v>
      </c>
    </row>
    <row r="721" spans="51:53" x14ac:dyDescent="0.25">
      <c r="AY721">
        <v>720</v>
      </c>
      <c r="AZ721">
        <v>105.08</v>
      </c>
      <c r="BA721">
        <f t="shared" si="45"/>
        <v>-7.5999999999999091</v>
      </c>
    </row>
    <row r="722" spans="51:53" x14ac:dyDescent="0.25">
      <c r="AY722">
        <v>721</v>
      </c>
      <c r="AZ722">
        <v>104.73</v>
      </c>
      <c r="BA722">
        <f t="shared" si="45"/>
        <v>-6.9999999999998863</v>
      </c>
    </row>
    <row r="723" spans="51:53" x14ac:dyDescent="0.25">
      <c r="AY723">
        <v>722</v>
      </c>
      <c r="AZ723">
        <v>104.34</v>
      </c>
      <c r="BA723">
        <f t="shared" si="45"/>
        <v>-7.8000000000000114</v>
      </c>
    </row>
    <row r="724" spans="51:53" x14ac:dyDescent="0.25">
      <c r="AY724">
        <v>723</v>
      </c>
      <c r="AZ724">
        <v>103.96</v>
      </c>
      <c r="BA724">
        <f t="shared" si="45"/>
        <v>-7.6000000000001933</v>
      </c>
    </row>
    <row r="725" spans="51:53" x14ac:dyDescent="0.25">
      <c r="AY725">
        <v>724</v>
      </c>
      <c r="AZ725">
        <v>103.65</v>
      </c>
      <c r="BA725">
        <f t="shared" si="45"/>
        <v>-6.1999999999997613</v>
      </c>
    </row>
    <row r="726" spans="51:53" x14ac:dyDescent="0.25">
      <c r="AY726">
        <v>725</v>
      </c>
      <c r="AZ726">
        <v>103.38</v>
      </c>
      <c r="BA726">
        <f t="shared" si="45"/>
        <v>-5.4000000000002046</v>
      </c>
    </row>
    <row r="727" spans="51:53" x14ac:dyDescent="0.25">
      <c r="AY727">
        <v>726</v>
      </c>
      <c r="AZ727">
        <v>103.45</v>
      </c>
      <c r="BA727">
        <f t="shared" si="45"/>
        <v>1.4000000000001478</v>
      </c>
    </row>
    <row r="728" spans="51:53" x14ac:dyDescent="0.25">
      <c r="AY728">
        <v>727</v>
      </c>
      <c r="AZ728">
        <v>104.34</v>
      </c>
      <c r="BA728">
        <f t="shared" si="45"/>
        <v>17.800000000000011</v>
      </c>
    </row>
    <row r="729" spans="51:53" x14ac:dyDescent="0.25">
      <c r="AY729">
        <v>728</v>
      </c>
      <c r="AZ729">
        <v>105.46</v>
      </c>
      <c r="BA729">
        <f t="shared" si="45"/>
        <v>22.399999999999807</v>
      </c>
    </row>
    <row r="730" spans="51:53" x14ac:dyDescent="0.25">
      <c r="AY730">
        <v>729</v>
      </c>
      <c r="AZ730">
        <v>105.81</v>
      </c>
      <c r="BA730">
        <f t="shared" si="45"/>
        <v>7.0000000000001705</v>
      </c>
    </row>
    <row r="731" spans="51:53" x14ac:dyDescent="0.25">
      <c r="AY731">
        <v>730</v>
      </c>
      <c r="AZ731">
        <v>105.85</v>
      </c>
      <c r="BA731">
        <f t="shared" si="45"/>
        <v>0.79999999999984084</v>
      </c>
    </row>
    <row r="732" spans="51:53" x14ac:dyDescent="0.25">
      <c r="AY732">
        <v>731</v>
      </c>
      <c r="AZ732">
        <v>105.81</v>
      </c>
      <c r="BA732">
        <f t="shared" si="45"/>
        <v>-0.79999999999984084</v>
      </c>
    </row>
    <row r="733" spans="51:53" x14ac:dyDescent="0.25">
      <c r="AY733">
        <v>732</v>
      </c>
      <c r="AZ733">
        <v>105.62</v>
      </c>
      <c r="BA733">
        <f t="shared" si="45"/>
        <v>-3.7999999999999545</v>
      </c>
    </row>
    <row r="734" spans="51:53" x14ac:dyDescent="0.25">
      <c r="AY734">
        <v>733</v>
      </c>
      <c r="AZ734">
        <v>105.23</v>
      </c>
      <c r="BA734">
        <f t="shared" si="45"/>
        <v>-7.8000000000000114</v>
      </c>
    </row>
    <row r="735" spans="51:53" x14ac:dyDescent="0.25">
      <c r="AY735">
        <v>734</v>
      </c>
      <c r="AZ735">
        <v>104.88</v>
      </c>
      <c r="BA735">
        <f t="shared" si="45"/>
        <v>-7.0000000000001705</v>
      </c>
    </row>
    <row r="736" spans="51:53" x14ac:dyDescent="0.25">
      <c r="AY736">
        <v>735</v>
      </c>
      <c r="AZ736">
        <v>104.46</v>
      </c>
      <c r="BA736">
        <f t="shared" si="45"/>
        <v>-8.4000000000000341</v>
      </c>
    </row>
    <row r="737" spans="51:53" x14ac:dyDescent="0.25">
      <c r="AY737">
        <v>736</v>
      </c>
      <c r="AZ737">
        <v>104.27</v>
      </c>
      <c r="BA737">
        <f t="shared" si="45"/>
        <v>-3.7999999999999545</v>
      </c>
    </row>
    <row r="738" spans="51:53" x14ac:dyDescent="0.25">
      <c r="AY738">
        <v>737</v>
      </c>
      <c r="AZ738">
        <v>104</v>
      </c>
      <c r="BA738">
        <f t="shared" si="45"/>
        <v>-5.3999999999999204</v>
      </c>
    </row>
    <row r="739" spans="51:53" x14ac:dyDescent="0.25">
      <c r="AY739">
        <v>738</v>
      </c>
      <c r="AZ739">
        <v>103.84</v>
      </c>
      <c r="BA739">
        <f t="shared" si="45"/>
        <v>-3.1999999999999318</v>
      </c>
    </row>
    <row r="740" spans="51:53" x14ac:dyDescent="0.25">
      <c r="AY740">
        <v>739</v>
      </c>
      <c r="AZ740">
        <v>103.65</v>
      </c>
      <c r="BA740">
        <f t="shared" si="45"/>
        <v>-3.7999999999999545</v>
      </c>
    </row>
    <row r="741" spans="51:53" x14ac:dyDescent="0.25">
      <c r="AY741">
        <v>740</v>
      </c>
      <c r="AZ741">
        <v>103.34</v>
      </c>
      <c r="BA741">
        <f t="shared" si="45"/>
        <v>-6.2000000000000455</v>
      </c>
    </row>
    <row r="742" spans="51:53" x14ac:dyDescent="0.25">
      <c r="AY742">
        <v>741</v>
      </c>
      <c r="AZ742">
        <v>102.99</v>
      </c>
      <c r="BA742">
        <f t="shared" si="45"/>
        <v>-7.0000000000001705</v>
      </c>
    </row>
    <row r="743" spans="51:53" x14ac:dyDescent="0.25">
      <c r="AY743">
        <v>742</v>
      </c>
      <c r="AZ743">
        <v>102.76</v>
      </c>
      <c r="BA743">
        <f t="shared" si="45"/>
        <v>-4.5999999999997954</v>
      </c>
    </row>
    <row r="744" spans="51:53" x14ac:dyDescent="0.25">
      <c r="AY744">
        <v>743</v>
      </c>
      <c r="AZ744">
        <v>102.33</v>
      </c>
      <c r="BA744">
        <f t="shared" si="45"/>
        <v>-8.6000000000001364</v>
      </c>
    </row>
    <row r="745" spans="51:53" x14ac:dyDescent="0.25">
      <c r="AY745">
        <v>744</v>
      </c>
      <c r="AZ745">
        <v>102.03</v>
      </c>
      <c r="BA745">
        <f t="shared" si="45"/>
        <v>-5.9999999999999432</v>
      </c>
    </row>
    <row r="746" spans="51:53" x14ac:dyDescent="0.25">
      <c r="AY746">
        <v>745</v>
      </c>
      <c r="AZ746">
        <v>101.72</v>
      </c>
      <c r="BA746">
        <f t="shared" si="45"/>
        <v>-6.2000000000000455</v>
      </c>
    </row>
    <row r="747" spans="51:53" x14ac:dyDescent="0.25">
      <c r="AY747">
        <v>746</v>
      </c>
      <c r="AZ747">
        <v>101.45</v>
      </c>
      <c r="BA747">
        <f t="shared" si="45"/>
        <v>-5.3999999999999204</v>
      </c>
    </row>
    <row r="748" spans="51:53" x14ac:dyDescent="0.25">
      <c r="AY748">
        <v>747</v>
      </c>
      <c r="AZ748">
        <v>101.52</v>
      </c>
      <c r="BA748">
        <f t="shared" si="45"/>
        <v>1.3999999999998636</v>
      </c>
    </row>
    <row r="749" spans="51:53" x14ac:dyDescent="0.25">
      <c r="AY749">
        <v>748</v>
      </c>
      <c r="AZ749">
        <v>102.3</v>
      </c>
      <c r="BA749">
        <f t="shared" si="45"/>
        <v>15.600000000000023</v>
      </c>
    </row>
    <row r="750" spans="51:53" x14ac:dyDescent="0.25">
      <c r="AY750">
        <v>749</v>
      </c>
      <c r="AZ750">
        <v>103.34</v>
      </c>
      <c r="BA750">
        <f t="shared" si="45"/>
        <v>20.800000000000125</v>
      </c>
    </row>
    <row r="751" spans="51:53" x14ac:dyDescent="0.25">
      <c r="AY751">
        <v>750</v>
      </c>
      <c r="AZ751">
        <v>103.72</v>
      </c>
      <c r="BA751">
        <f t="shared" si="45"/>
        <v>7.5999999999999091</v>
      </c>
    </row>
    <row r="752" spans="51:53" x14ac:dyDescent="0.25">
      <c r="AY752">
        <v>751</v>
      </c>
      <c r="AZ752">
        <v>103.76</v>
      </c>
      <c r="BA752">
        <f t="shared" si="45"/>
        <v>0.80000000000012506</v>
      </c>
    </row>
    <row r="753" spans="51:53" x14ac:dyDescent="0.25">
      <c r="AY753">
        <v>752</v>
      </c>
      <c r="AZ753">
        <v>103.65</v>
      </c>
      <c r="BA753">
        <f t="shared" si="45"/>
        <v>-2.1999999999999886</v>
      </c>
    </row>
    <row r="754" spans="51:53" x14ac:dyDescent="0.25">
      <c r="AY754">
        <v>753</v>
      </c>
      <c r="AZ754">
        <v>103.45</v>
      </c>
      <c r="BA754">
        <f t="shared" si="45"/>
        <v>-4.0000000000000568</v>
      </c>
    </row>
    <row r="755" spans="51:53" x14ac:dyDescent="0.25">
      <c r="AY755">
        <v>754</v>
      </c>
      <c r="AZ755">
        <v>103.11</v>
      </c>
      <c r="BA755">
        <f t="shared" si="45"/>
        <v>-6.8000000000000682</v>
      </c>
    </row>
    <row r="756" spans="51:53" x14ac:dyDescent="0.25">
      <c r="AY756">
        <v>755</v>
      </c>
      <c r="AZ756">
        <v>102.8</v>
      </c>
      <c r="BA756">
        <f t="shared" si="45"/>
        <v>-6.2000000000000455</v>
      </c>
    </row>
    <row r="757" spans="51:53" x14ac:dyDescent="0.25">
      <c r="AY757">
        <v>756</v>
      </c>
      <c r="AZ757">
        <v>102.45</v>
      </c>
      <c r="BA757">
        <f t="shared" si="45"/>
        <v>-6.9999999999998863</v>
      </c>
    </row>
    <row r="758" spans="51:53" x14ac:dyDescent="0.25">
      <c r="AY758">
        <v>757</v>
      </c>
      <c r="AZ758">
        <v>102.18</v>
      </c>
      <c r="BA758">
        <f t="shared" si="45"/>
        <v>-5.3999999999999204</v>
      </c>
    </row>
    <row r="759" spans="51:53" x14ac:dyDescent="0.25">
      <c r="AY759">
        <v>758</v>
      </c>
      <c r="AZ759">
        <v>101.91</v>
      </c>
      <c r="BA759">
        <f t="shared" si="45"/>
        <v>-5.4000000000002046</v>
      </c>
    </row>
    <row r="760" spans="51:53" x14ac:dyDescent="0.25">
      <c r="AY760">
        <v>759</v>
      </c>
      <c r="AZ760">
        <v>101.72</v>
      </c>
      <c r="BA760">
        <f t="shared" si="45"/>
        <v>-3.7999999999999545</v>
      </c>
    </row>
    <row r="761" spans="51:53" x14ac:dyDescent="0.25">
      <c r="AY761">
        <v>760</v>
      </c>
      <c r="AZ761">
        <v>101.52</v>
      </c>
      <c r="BA761">
        <f t="shared" si="45"/>
        <v>-4.0000000000000568</v>
      </c>
    </row>
    <row r="762" spans="51:53" x14ac:dyDescent="0.25">
      <c r="AY762">
        <v>761</v>
      </c>
      <c r="AZ762">
        <v>101.29</v>
      </c>
      <c r="BA762">
        <f t="shared" si="45"/>
        <v>-4.5999999999997954</v>
      </c>
    </row>
    <row r="763" spans="51:53" x14ac:dyDescent="0.25">
      <c r="AY763">
        <v>762</v>
      </c>
      <c r="AZ763">
        <v>100.94</v>
      </c>
      <c r="BA763">
        <f t="shared" si="45"/>
        <v>-7.0000000000001705</v>
      </c>
    </row>
    <row r="764" spans="51:53" x14ac:dyDescent="0.25">
      <c r="AY764">
        <v>763</v>
      </c>
      <c r="AZ764">
        <v>100.67</v>
      </c>
      <c r="BA764">
        <f t="shared" si="45"/>
        <v>-5.3999999999999204</v>
      </c>
    </row>
    <row r="765" spans="51:53" x14ac:dyDescent="0.25">
      <c r="AY765">
        <v>764</v>
      </c>
      <c r="AZ765">
        <v>100.33</v>
      </c>
      <c r="BA765">
        <f t="shared" si="45"/>
        <v>-6.8000000000000682</v>
      </c>
    </row>
    <row r="766" spans="51:53" x14ac:dyDescent="0.25">
      <c r="AY766">
        <v>765</v>
      </c>
      <c r="AZ766">
        <v>100.06</v>
      </c>
      <c r="BA766">
        <f t="shared" si="45"/>
        <v>-5.3999999999999204</v>
      </c>
    </row>
    <row r="767" spans="51:53" x14ac:dyDescent="0.25">
      <c r="AY767">
        <v>766</v>
      </c>
      <c r="AZ767">
        <v>99.67</v>
      </c>
      <c r="BA767">
        <f t="shared" si="45"/>
        <v>-7.8000000000000114</v>
      </c>
    </row>
    <row r="768" spans="51:53" x14ac:dyDescent="0.25">
      <c r="AY768">
        <v>767</v>
      </c>
      <c r="AZ768">
        <v>99.48</v>
      </c>
      <c r="BA768">
        <f t="shared" si="45"/>
        <v>-3.7999999999999545</v>
      </c>
    </row>
    <row r="769" spans="51:53" x14ac:dyDescent="0.25">
      <c r="AY769">
        <v>768</v>
      </c>
      <c r="AZ769">
        <v>99.52</v>
      </c>
      <c r="BA769">
        <f t="shared" si="45"/>
        <v>0.79999999999984084</v>
      </c>
    </row>
    <row r="770" spans="51:53" x14ac:dyDescent="0.25">
      <c r="AY770">
        <v>769</v>
      </c>
      <c r="AZ770">
        <v>100.33</v>
      </c>
      <c r="BA770">
        <f t="shared" si="45"/>
        <v>16.200000000000045</v>
      </c>
    </row>
    <row r="771" spans="51:53" x14ac:dyDescent="0.25">
      <c r="AY771">
        <v>770</v>
      </c>
      <c r="AZ771">
        <v>101.45</v>
      </c>
      <c r="BA771">
        <f t="shared" si="45"/>
        <v>22.400000000000091</v>
      </c>
    </row>
    <row r="772" spans="51:53" x14ac:dyDescent="0.25">
      <c r="AY772">
        <v>771</v>
      </c>
      <c r="AZ772">
        <v>101.83</v>
      </c>
      <c r="BA772">
        <f t="shared" ref="BA772:BA835" si="46">(AZ772-AZ771)/0.05</f>
        <v>7.5999999999999091</v>
      </c>
    </row>
    <row r="773" spans="51:53" x14ac:dyDescent="0.25">
      <c r="AY773">
        <v>772</v>
      </c>
      <c r="AZ773">
        <v>101.83</v>
      </c>
      <c r="BA773">
        <f t="shared" si="46"/>
        <v>0</v>
      </c>
    </row>
    <row r="774" spans="51:53" x14ac:dyDescent="0.25">
      <c r="AY774">
        <v>773</v>
      </c>
      <c r="AZ774">
        <v>101.79</v>
      </c>
      <c r="BA774">
        <f t="shared" si="46"/>
        <v>-0.79999999999984084</v>
      </c>
    </row>
    <row r="775" spans="51:53" x14ac:dyDescent="0.25">
      <c r="AY775">
        <v>774</v>
      </c>
      <c r="AZ775">
        <v>101.6</v>
      </c>
      <c r="BA775">
        <f t="shared" si="46"/>
        <v>-3.8000000000002387</v>
      </c>
    </row>
    <row r="776" spans="51:53" x14ac:dyDescent="0.25">
      <c r="AY776">
        <v>775</v>
      </c>
      <c r="AZ776">
        <v>101.21</v>
      </c>
      <c r="BA776">
        <f t="shared" si="46"/>
        <v>-7.8000000000000114</v>
      </c>
    </row>
    <row r="777" spans="51:53" x14ac:dyDescent="0.25">
      <c r="AY777">
        <v>776</v>
      </c>
      <c r="AZ777">
        <v>100.87</v>
      </c>
      <c r="BA777">
        <f t="shared" si="46"/>
        <v>-6.799999999999784</v>
      </c>
    </row>
    <row r="778" spans="51:53" x14ac:dyDescent="0.25">
      <c r="AY778">
        <v>777</v>
      </c>
      <c r="AZ778">
        <v>100.52</v>
      </c>
      <c r="BA778">
        <f t="shared" si="46"/>
        <v>-7.0000000000001705</v>
      </c>
    </row>
    <row r="779" spans="51:53" x14ac:dyDescent="0.25">
      <c r="AY779">
        <v>778</v>
      </c>
      <c r="AZ779">
        <v>100.29</v>
      </c>
      <c r="BA779">
        <f t="shared" si="46"/>
        <v>-4.5999999999997954</v>
      </c>
    </row>
    <row r="780" spans="51:53" x14ac:dyDescent="0.25">
      <c r="AY780">
        <v>779</v>
      </c>
      <c r="AZ780">
        <v>100.1</v>
      </c>
      <c r="BA780">
        <f t="shared" si="46"/>
        <v>-3.8000000000002387</v>
      </c>
    </row>
    <row r="781" spans="51:53" x14ac:dyDescent="0.25">
      <c r="AY781">
        <v>780</v>
      </c>
      <c r="AZ781">
        <v>99.9</v>
      </c>
      <c r="BA781">
        <f t="shared" si="46"/>
        <v>-3.9999999999997726</v>
      </c>
    </row>
    <row r="782" spans="51:53" x14ac:dyDescent="0.25">
      <c r="AY782">
        <v>781</v>
      </c>
      <c r="AZ782">
        <v>99.63</v>
      </c>
      <c r="BA782">
        <f t="shared" si="46"/>
        <v>-5.4000000000002046</v>
      </c>
    </row>
    <row r="783" spans="51:53" x14ac:dyDescent="0.25">
      <c r="AY783">
        <v>782</v>
      </c>
      <c r="AZ783">
        <v>99.4</v>
      </c>
      <c r="BA783">
        <f t="shared" si="46"/>
        <v>-4.5999999999997954</v>
      </c>
    </row>
    <row r="784" spans="51:53" x14ac:dyDescent="0.25">
      <c r="AY784">
        <v>783</v>
      </c>
      <c r="AZ784">
        <v>99.13</v>
      </c>
      <c r="BA784">
        <f t="shared" si="46"/>
        <v>-5.4000000000002046</v>
      </c>
    </row>
    <row r="785" spans="51:53" x14ac:dyDescent="0.25">
      <c r="AY785">
        <v>784</v>
      </c>
      <c r="AZ785">
        <v>98.9</v>
      </c>
      <c r="BA785">
        <f t="shared" si="46"/>
        <v>-4.5999999999997954</v>
      </c>
    </row>
    <row r="786" spans="51:53" x14ac:dyDescent="0.25">
      <c r="AY786">
        <v>785</v>
      </c>
      <c r="AZ786">
        <v>98.59</v>
      </c>
      <c r="BA786">
        <f t="shared" si="46"/>
        <v>-6.2000000000000455</v>
      </c>
    </row>
    <row r="787" spans="51:53" x14ac:dyDescent="0.25">
      <c r="AY787">
        <v>786</v>
      </c>
      <c r="AZ787">
        <v>98.28</v>
      </c>
      <c r="BA787">
        <f t="shared" si="46"/>
        <v>-6.2000000000000455</v>
      </c>
    </row>
    <row r="788" spans="51:53" x14ac:dyDescent="0.25">
      <c r="AY788">
        <v>787</v>
      </c>
      <c r="AZ788">
        <v>97.97</v>
      </c>
      <c r="BA788">
        <f t="shared" si="46"/>
        <v>-6.2000000000000455</v>
      </c>
    </row>
    <row r="789" spans="51:53" x14ac:dyDescent="0.25">
      <c r="AY789">
        <v>788</v>
      </c>
      <c r="AZ789">
        <v>97.78</v>
      </c>
      <c r="BA789">
        <f t="shared" si="46"/>
        <v>-3.7999999999999545</v>
      </c>
    </row>
    <row r="790" spans="51:53" x14ac:dyDescent="0.25">
      <c r="AY790">
        <v>789</v>
      </c>
      <c r="AZ790">
        <v>98.09</v>
      </c>
      <c r="BA790">
        <f t="shared" si="46"/>
        <v>6.2000000000000455</v>
      </c>
    </row>
    <row r="791" spans="51:53" x14ac:dyDescent="0.25">
      <c r="AY791">
        <v>790</v>
      </c>
      <c r="AZ791">
        <v>99.05</v>
      </c>
      <c r="BA791">
        <f t="shared" si="46"/>
        <v>19.199999999999875</v>
      </c>
    </row>
    <row r="792" spans="51:53" x14ac:dyDescent="0.25">
      <c r="AY792">
        <v>791</v>
      </c>
      <c r="AZ792">
        <v>99.82</v>
      </c>
      <c r="BA792">
        <f t="shared" si="46"/>
        <v>15.39999999999992</v>
      </c>
    </row>
    <row r="793" spans="51:53" x14ac:dyDescent="0.25">
      <c r="AY793">
        <v>792</v>
      </c>
      <c r="AZ793">
        <v>100.06</v>
      </c>
      <c r="BA793">
        <f t="shared" si="46"/>
        <v>4.8000000000001819</v>
      </c>
    </row>
    <row r="794" spans="51:53" x14ac:dyDescent="0.25">
      <c r="AY794">
        <v>793</v>
      </c>
      <c r="AZ794">
        <v>100.06</v>
      </c>
      <c r="BA794">
        <f t="shared" si="46"/>
        <v>0</v>
      </c>
    </row>
    <row r="795" spans="51:53" x14ac:dyDescent="0.25">
      <c r="AY795">
        <v>794</v>
      </c>
      <c r="AZ795">
        <v>99.94</v>
      </c>
      <c r="BA795">
        <f t="shared" si="46"/>
        <v>-2.4000000000000909</v>
      </c>
    </row>
    <row r="796" spans="51:53" x14ac:dyDescent="0.25">
      <c r="AY796">
        <v>795</v>
      </c>
      <c r="AZ796">
        <v>99.63</v>
      </c>
      <c r="BA796">
        <f t="shared" si="46"/>
        <v>-6.2000000000000455</v>
      </c>
    </row>
    <row r="797" spans="51:53" x14ac:dyDescent="0.25">
      <c r="AY797">
        <v>796</v>
      </c>
      <c r="AZ797">
        <v>99.32</v>
      </c>
      <c r="BA797">
        <f t="shared" si="46"/>
        <v>-6.2000000000000455</v>
      </c>
    </row>
    <row r="798" spans="51:53" x14ac:dyDescent="0.25">
      <c r="AY798">
        <v>797</v>
      </c>
      <c r="AZ798">
        <v>98.94</v>
      </c>
      <c r="BA798">
        <f t="shared" si="46"/>
        <v>-7.5999999999999091</v>
      </c>
    </row>
    <row r="799" spans="51:53" x14ac:dyDescent="0.25">
      <c r="AY799">
        <v>798</v>
      </c>
      <c r="AZ799">
        <v>98.78</v>
      </c>
      <c r="BA799">
        <f t="shared" si="46"/>
        <v>-3.1999999999999318</v>
      </c>
    </row>
    <row r="800" spans="51:53" x14ac:dyDescent="0.25">
      <c r="AY800">
        <v>799</v>
      </c>
      <c r="AZ800">
        <v>98.59</v>
      </c>
      <c r="BA800">
        <f t="shared" si="46"/>
        <v>-3.7999999999999545</v>
      </c>
    </row>
    <row r="801" spans="51:53" x14ac:dyDescent="0.25">
      <c r="AY801">
        <v>800</v>
      </c>
      <c r="AZ801">
        <v>98.43</v>
      </c>
      <c r="BA801">
        <f t="shared" si="46"/>
        <v>-3.1999999999999318</v>
      </c>
    </row>
    <row r="802" spans="51:53" x14ac:dyDescent="0.25">
      <c r="AY802">
        <v>801</v>
      </c>
      <c r="AZ802">
        <v>98.24</v>
      </c>
      <c r="BA802">
        <f t="shared" si="46"/>
        <v>-3.8000000000002387</v>
      </c>
    </row>
    <row r="803" spans="51:53" x14ac:dyDescent="0.25">
      <c r="AY803">
        <v>802</v>
      </c>
      <c r="AZ803">
        <v>98.13</v>
      </c>
      <c r="BA803">
        <f t="shared" si="46"/>
        <v>-2.1999999999999886</v>
      </c>
    </row>
    <row r="804" spans="51:53" x14ac:dyDescent="0.25">
      <c r="AY804">
        <v>803</v>
      </c>
      <c r="AZ804">
        <v>97.86</v>
      </c>
      <c r="BA804">
        <f t="shared" si="46"/>
        <v>-5.3999999999999204</v>
      </c>
    </row>
    <row r="805" spans="51:53" x14ac:dyDescent="0.25">
      <c r="AY805">
        <v>804</v>
      </c>
      <c r="AZ805">
        <v>97.58</v>
      </c>
      <c r="BA805">
        <f t="shared" si="46"/>
        <v>-5.6000000000000227</v>
      </c>
    </row>
    <row r="806" spans="51:53" x14ac:dyDescent="0.25">
      <c r="AY806">
        <v>805</v>
      </c>
      <c r="AZ806">
        <v>97.28</v>
      </c>
      <c r="BA806">
        <f t="shared" si="46"/>
        <v>-5.9999999999999432</v>
      </c>
    </row>
    <row r="807" spans="51:53" x14ac:dyDescent="0.25">
      <c r="AY807">
        <v>806</v>
      </c>
      <c r="AZ807">
        <v>96.93</v>
      </c>
      <c r="BA807">
        <f t="shared" si="46"/>
        <v>-6.9999999999998863</v>
      </c>
    </row>
    <row r="808" spans="51:53" x14ac:dyDescent="0.25">
      <c r="AY808">
        <v>807</v>
      </c>
      <c r="AZ808">
        <v>96.66</v>
      </c>
      <c r="BA808">
        <f t="shared" si="46"/>
        <v>-5.4000000000002046</v>
      </c>
    </row>
    <row r="809" spans="51:53" x14ac:dyDescent="0.25">
      <c r="AY809">
        <v>808</v>
      </c>
      <c r="AZ809">
        <v>96.35</v>
      </c>
      <c r="BA809">
        <f t="shared" si="46"/>
        <v>-6.2000000000000455</v>
      </c>
    </row>
    <row r="810" spans="51:53" x14ac:dyDescent="0.25">
      <c r="AY810">
        <v>809</v>
      </c>
      <c r="AZ810">
        <v>96.54</v>
      </c>
      <c r="BA810">
        <f t="shared" si="46"/>
        <v>3.8000000000002387</v>
      </c>
    </row>
    <row r="811" spans="51:53" x14ac:dyDescent="0.25">
      <c r="AY811">
        <v>810</v>
      </c>
      <c r="AZ811">
        <v>97.47</v>
      </c>
      <c r="BA811">
        <f t="shared" si="46"/>
        <v>18.599999999999852</v>
      </c>
    </row>
    <row r="812" spans="51:53" x14ac:dyDescent="0.25">
      <c r="AY812">
        <v>811</v>
      </c>
      <c r="AZ812">
        <v>98.13</v>
      </c>
      <c r="BA812">
        <f t="shared" si="46"/>
        <v>13.199999999999932</v>
      </c>
    </row>
    <row r="813" spans="51:53" x14ac:dyDescent="0.25">
      <c r="AY813">
        <v>812</v>
      </c>
      <c r="AZ813">
        <v>98.28</v>
      </c>
      <c r="BA813">
        <f t="shared" si="46"/>
        <v>3.0000000000001137</v>
      </c>
    </row>
    <row r="814" spans="51:53" x14ac:dyDescent="0.25">
      <c r="AY814">
        <v>813</v>
      </c>
      <c r="AZ814">
        <v>98.28</v>
      </c>
      <c r="BA814">
        <f t="shared" si="46"/>
        <v>0</v>
      </c>
    </row>
    <row r="815" spans="51:53" x14ac:dyDescent="0.25">
      <c r="AY815">
        <v>814</v>
      </c>
      <c r="AZ815">
        <v>98.28</v>
      </c>
      <c r="BA815">
        <f t="shared" si="46"/>
        <v>0</v>
      </c>
    </row>
    <row r="816" spans="51:53" x14ac:dyDescent="0.25">
      <c r="AY816">
        <v>815</v>
      </c>
      <c r="AZ816">
        <v>98.13</v>
      </c>
      <c r="BA816">
        <f t="shared" si="46"/>
        <v>-3.0000000000001137</v>
      </c>
    </row>
    <row r="817" spans="51:53" x14ac:dyDescent="0.25">
      <c r="AY817">
        <v>816</v>
      </c>
      <c r="AZ817">
        <v>97.78</v>
      </c>
      <c r="BA817">
        <f t="shared" si="46"/>
        <v>-6.9999999999998863</v>
      </c>
    </row>
    <row r="818" spans="51:53" x14ac:dyDescent="0.25">
      <c r="AY818">
        <v>817</v>
      </c>
      <c r="AZ818">
        <v>97.51</v>
      </c>
      <c r="BA818">
        <f t="shared" si="46"/>
        <v>-5.3999999999999204</v>
      </c>
    </row>
    <row r="819" spans="51:53" x14ac:dyDescent="0.25">
      <c r="AY819">
        <v>818</v>
      </c>
      <c r="AZ819">
        <v>97.28</v>
      </c>
      <c r="BA819">
        <f t="shared" si="46"/>
        <v>-4.6000000000000796</v>
      </c>
    </row>
    <row r="820" spans="51:53" x14ac:dyDescent="0.25">
      <c r="AY820">
        <v>819</v>
      </c>
      <c r="AZ820">
        <v>97.01</v>
      </c>
      <c r="BA820">
        <f t="shared" si="46"/>
        <v>-5.3999999999999204</v>
      </c>
    </row>
    <row r="821" spans="51:53" x14ac:dyDescent="0.25">
      <c r="AY821">
        <v>820</v>
      </c>
      <c r="AZ821">
        <v>96.93</v>
      </c>
      <c r="BA821">
        <f t="shared" si="46"/>
        <v>-1.5999999999999659</v>
      </c>
    </row>
    <row r="822" spans="51:53" x14ac:dyDescent="0.25">
      <c r="AY822">
        <v>821</v>
      </c>
      <c r="AZ822">
        <v>96.77</v>
      </c>
      <c r="BA822">
        <f t="shared" si="46"/>
        <v>-3.200000000000216</v>
      </c>
    </row>
    <row r="823" spans="51:53" x14ac:dyDescent="0.25">
      <c r="AY823">
        <v>822</v>
      </c>
      <c r="AZ823">
        <v>96.54</v>
      </c>
      <c r="BA823">
        <f t="shared" si="46"/>
        <v>-4.5999999999997954</v>
      </c>
    </row>
    <row r="824" spans="51:53" x14ac:dyDescent="0.25">
      <c r="AY824">
        <v>823</v>
      </c>
      <c r="AZ824">
        <v>96.31</v>
      </c>
      <c r="BA824">
        <f t="shared" si="46"/>
        <v>-4.6000000000000796</v>
      </c>
    </row>
    <row r="825" spans="51:53" x14ac:dyDescent="0.25">
      <c r="AY825">
        <v>824</v>
      </c>
      <c r="AZ825">
        <v>96.08</v>
      </c>
      <c r="BA825">
        <f t="shared" si="46"/>
        <v>-4.6000000000000796</v>
      </c>
    </row>
    <row r="826" spans="51:53" x14ac:dyDescent="0.25">
      <c r="AY826">
        <v>825</v>
      </c>
      <c r="AZ826">
        <v>95.85</v>
      </c>
      <c r="BA826">
        <f t="shared" si="46"/>
        <v>-4.6000000000000796</v>
      </c>
    </row>
    <row r="827" spans="51:53" x14ac:dyDescent="0.25">
      <c r="AY827">
        <v>826</v>
      </c>
      <c r="AZ827">
        <v>95.5</v>
      </c>
      <c r="BA827">
        <f t="shared" si="46"/>
        <v>-6.9999999999998863</v>
      </c>
    </row>
    <row r="828" spans="51:53" x14ac:dyDescent="0.25">
      <c r="AY828">
        <v>827</v>
      </c>
      <c r="AZ828">
        <v>95.23</v>
      </c>
      <c r="BA828">
        <f t="shared" si="46"/>
        <v>-5.3999999999999204</v>
      </c>
    </row>
    <row r="829" spans="51:53" x14ac:dyDescent="0.25">
      <c r="AY829">
        <v>828</v>
      </c>
      <c r="AZ829">
        <v>94.92</v>
      </c>
      <c r="BA829">
        <f t="shared" si="46"/>
        <v>-6.2000000000000455</v>
      </c>
    </row>
    <row r="830" spans="51:53" x14ac:dyDescent="0.25">
      <c r="AY830">
        <v>829</v>
      </c>
      <c r="AZ830">
        <v>94.88</v>
      </c>
      <c r="BA830">
        <f t="shared" si="46"/>
        <v>-0.80000000000012506</v>
      </c>
    </row>
    <row r="831" spans="51:53" x14ac:dyDescent="0.25">
      <c r="AY831">
        <v>830</v>
      </c>
      <c r="AZ831">
        <v>95.65</v>
      </c>
      <c r="BA831">
        <f t="shared" si="46"/>
        <v>15.400000000000205</v>
      </c>
    </row>
    <row r="832" spans="51:53" x14ac:dyDescent="0.25">
      <c r="AY832">
        <v>831</v>
      </c>
      <c r="AZ832">
        <v>96.35</v>
      </c>
      <c r="BA832">
        <f t="shared" si="46"/>
        <v>13.999999999999773</v>
      </c>
    </row>
    <row r="833" spans="51:53" x14ac:dyDescent="0.25">
      <c r="AY833">
        <v>832</v>
      </c>
      <c r="AZ833">
        <v>96.54</v>
      </c>
      <c r="BA833">
        <f t="shared" si="46"/>
        <v>3.8000000000002387</v>
      </c>
    </row>
    <row r="834" spans="51:53" x14ac:dyDescent="0.25">
      <c r="AY834">
        <v>833</v>
      </c>
      <c r="AZ834">
        <v>96.66</v>
      </c>
      <c r="BA834">
        <f t="shared" si="46"/>
        <v>2.3999999999998067</v>
      </c>
    </row>
    <row r="835" spans="51:53" x14ac:dyDescent="0.25">
      <c r="AY835">
        <v>834</v>
      </c>
      <c r="AZ835">
        <v>96.66</v>
      </c>
      <c r="BA835">
        <f t="shared" si="46"/>
        <v>0</v>
      </c>
    </row>
    <row r="836" spans="51:53" x14ac:dyDescent="0.25">
      <c r="AY836">
        <v>835</v>
      </c>
      <c r="AZ836">
        <v>96.47</v>
      </c>
      <c r="BA836">
        <f t="shared" ref="BA836:BA899" si="47">(AZ836-AZ835)/0.05</f>
        <v>-3.7999999999999545</v>
      </c>
    </row>
    <row r="837" spans="51:53" x14ac:dyDescent="0.25">
      <c r="AY837">
        <v>836</v>
      </c>
      <c r="AZ837">
        <v>96.23</v>
      </c>
      <c r="BA837">
        <f t="shared" si="47"/>
        <v>-4.7999999999998977</v>
      </c>
    </row>
    <row r="838" spans="51:53" x14ac:dyDescent="0.25">
      <c r="AY838">
        <v>837</v>
      </c>
      <c r="AZ838">
        <v>95.96</v>
      </c>
      <c r="BA838">
        <f t="shared" si="47"/>
        <v>-5.4000000000002046</v>
      </c>
    </row>
    <row r="839" spans="51:53" x14ac:dyDescent="0.25">
      <c r="AY839">
        <v>838</v>
      </c>
      <c r="AZ839">
        <v>95.73</v>
      </c>
      <c r="BA839">
        <f t="shared" si="47"/>
        <v>-4.5999999999997954</v>
      </c>
    </row>
    <row r="840" spans="51:53" x14ac:dyDescent="0.25">
      <c r="AY840">
        <v>839</v>
      </c>
      <c r="AZ840">
        <v>95.54</v>
      </c>
      <c r="BA840">
        <f t="shared" si="47"/>
        <v>-3.7999999999999545</v>
      </c>
    </row>
    <row r="841" spans="51:53" x14ac:dyDescent="0.25">
      <c r="AY841">
        <v>840</v>
      </c>
      <c r="AZ841">
        <v>95.5</v>
      </c>
      <c r="BA841">
        <f t="shared" si="47"/>
        <v>-0.80000000000012506</v>
      </c>
    </row>
    <row r="842" spans="51:53" x14ac:dyDescent="0.25">
      <c r="AY842">
        <v>841</v>
      </c>
      <c r="AZ842">
        <v>95.31</v>
      </c>
      <c r="BA842">
        <f t="shared" si="47"/>
        <v>-3.7999999999999545</v>
      </c>
    </row>
    <row r="843" spans="51:53" x14ac:dyDescent="0.25">
      <c r="AY843">
        <v>842</v>
      </c>
      <c r="AZ843">
        <v>95.15</v>
      </c>
      <c r="BA843">
        <f t="shared" si="47"/>
        <v>-3.1999999999999318</v>
      </c>
    </row>
    <row r="844" spans="51:53" x14ac:dyDescent="0.25">
      <c r="AY844">
        <v>843</v>
      </c>
      <c r="AZ844">
        <v>94.92</v>
      </c>
      <c r="BA844">
        <f t="shared" si="47"/>
        <v>-4.6000000000000796</v>
      </c>
    </row>
    <row r="845" spans="51:53" x14ac:dyDescent="0.25">
      <c r="AY845">
        <v>844</v>
      </c>
      <c r="AZ845">
        <v>94.84</v>
      </c>
      <c r="BA845">
        <f t="shared" si="47"/>
        <v>-1.5999999999999659</v>
      </c>
    </row>
    <row r="846" spans="51:53" x14ac:dyDescent="0.25">
      <c r="AY846">
        <v>845</v>
      </c>
      <c r="AZ846">
        <v>94.61</v>
      </c>
      <c r="BA846">
        <f t="shared" si="47"/>
        <v>-4.6000000000000796</v>
      </c>
    </row>
    <row r="847" spans="51:53" x14ac:dyDescent="0.25">
      <c r="AY847">
        <v>846</v>
      </c>
      <c r="AZ847">
        <v>94.38</v>
      </c>
      <c r="BA847">
        <f t="shared" si="47"/>
        <v>-4.6000000000000796</v>
      </c>
    </row>
    <row r="848" spans="51:53" x14ac:dyDescent="0.25">
      <c r="AY848">
        <v>847</v>
      </c>
      <c r="AZ848">
        <v>94.15</v>
      </c>
      <c r="BA848">
        <f t="shared" si="47"/>
        <v>-4.5999999999997954</v>
      </c>
    </row>
    <row r="849" spans="51:53" x14ac:dyDescent="0.25">
      <c r="AY849">
        <v>848</v>
      </c>
      <c r="AZ849">
        <v>93.88</v>
      </c>
      <c r="BA849">
        <f t="shared" si="47"/>
        <v>-5.4000000000002046</v>
      </c>
    </row>
    <row r="850" spans="51:53" x14ac:dyDescent="0.25">
      <c r="AY850">
        <v>849</v>
      </c>
      <c r="AZ850">
        <v>93.72</v>
      </c>
      <c r="BA850">
        <f t="shared" si="47"/>
        <v>-3.1999999999999318</v>
      </c>
    </row>
    <row r="851" spans="51:53" x14ac:dyDescent="0.25">
      <c r="AY851">
        <v>850</v>
      </c>
      <c r="AZ851">
        <v>94.07</v>
      </c>
      <c r="BA851">
        <f t="shared" si="47"/>
        <v>6.9999999999998863</v>
      </c>
    </row>
    <row r="852" spans="51:53" x14ac:dyDescent="0.25">
      <c r="AY852">
        <v>851</v>
      </c>
      <c r="AZ852">
        <v>94.92</v>
      </c>
      <c r="BA852">
        <f t="shared" si="47"/>
        <v>17.000000000000171</v>
      </c>
    </row>
    <row r="853" spans="51:53" x14ac:dyDescent="0.25">
      <c r="AY853">
        <v>852</v>
      </c>
      <c r="AZ853">
        <v>95.15</v>
      </c>
      <c r="BA853">
        <f t="shared" si="47"/>
        <v>4.6000000000000796</v>
      </c>
    </row>
    <row r="854" spans="51:53" x14ac:dyDescent="0.25">
      <c r="AY854">
        <v>853</v>
      </c>
      <c r="AZ854">
        <v>95.31</v>
      </c>
      <c r="BA854">
        <f t="shared" si="47"/>
        <v>3.1999999999999318</v>
      </c>
    </row>
    <row r="855" spans="51:53" x14ac:dyDescent="0.25">
      <c r="AY855">
        <v>854</v>
      </c>
      <c r="AZ855">
        <v>95.35</v>
      </c>
      <c r="BA855">
        <f t="shared" si="47"/>
        <v>0.79999999999984084</v>
      </c>
    </row>
    <row r="856" spans="51:53" x14ac:dyDescent="0.25">
      <c r="AY856">
        <v>855</v>
      </c>
      <c r="AZ856">
        <v>95.31</v>
      </c>
      <c r="BA856">
        <f t="shared" si="47"/>
        <v>-0.79999999999984084</v>
      </c>
    </row>
    <row r="857" spans="51:53" x14ac:dyDescent="0.25">
      <c r="AY857">
        <v>856</v>
      </c>
      <c r="AZ857">
        <v>95.15</v>
      </c>
      <c r="BA857">
        <f t="shared" si="47"/>
        <v>-3.1999999999999318</v>
      </c>
    </row>
    <row r="858" spans="51:53" x14ac:dyDescent="0.25">
      <c r="AY858">
        <v>857</v>
      </c>
      <c r="AZ858">
        <v>94.88</v>
      </c>
      <c r="BA858">
        <f t="shared" si="47"/>
        <v>-5.4000000000002046</v>
      </c>
    </row>
    <row r="859" spans="51:53" x14ac:dyDescent="0.25">
      <c r="AY859">
        <v>858</v>
      </c>
      <c r="AZ859">
        <v>94.73</v>
      </c>
      <c r="BA859">
        <f t="shared" si="47"/>
        <v>-2.9999999999998295</v>
      </c>
    </row>
    <row r="860" spans="51:53" x14ac:dyDescent="0.25">
      <c r="AY860">
        <v>859</v>
      </c>
      <c r="AZ860">
        <v>94.57</v>
      </c>
      <c r="BA860">
        <f t="shared" si="47"/>
        <v>-3.200000000000216</v>
      </c>
    </row>
    <row r="861" spans="51:53" x14ac:dyDescent="0.25">
      <c r="AY861">
        <v>860</v>
      </c>
      <c r="AZ861">
        <v>94.42</v>
      </c>
      <c r="BA861">
        <f t="shared" si="47"/>
        <v>-2.9999999999998295</v>
      </c>
    </row>
    <row r="862" spans="51:53" x14ac:dyDescent="0.25">
      <c r="AY862">
        <v>861</v>
      </c>
      <c r="AZ862">
        <v>94.34</v>
      </c>
      <c r="BA862">
        <f t="shared" si="47"/>
        <v>-1.5999999999999659</v>
      </c>
    </row>
    <row r="863" spans="51:53" x14ac:dyDescent="0.25">
      <c r="AY863">
        <v>862</v>
      </c>
      <c r="AZ863">
        <v>94.19</v>
      </c>
      <c r="BA863">
        <f t="shared" si="47"/>
        <v>-3.0000000000001137</v>
      </c>
    </row>
    <row r="864" spans="51:53" x14ac:dyDescent="0.25">
      <c r="AY864">
        <v>863</v>
      </c>
      <c r="AZ864">
        <v>93.99</v>
      </c>
      <c r="BA864">
        <f t="shared" si="47"/>
        <v>-4.0000000000000568</v>
      </c>
    </row>
    <row r="865" spans="51:53" x14ac:dyDescent="0.25">
      <c r="AY865">
        <v>864</v>
      </c>
      <c r="AZ865">
        <v>93.84</v>
      </c>
      <c r="BA865">
        <f t="shared" si="47"/>
        <v>-2.9999999999998295</v>
      </c>
    </row>
    <row r="866" spans="51:53" x14ac:dyDescent="0.25">
      <c r="AY866">
        <v>865</v>
      </c>
      <c r="AZ866">
        <v>93.61</v>
      </c>
      <c r="BA866">
        <f t="shared" si="47"/>
        <v>-4.6000000000000796</v>
      </c>
    </row>
    <row r="867" spans="51:53" x14ac:dyDescent="0.25">
      <c r="AY867">
        <v>866</v>
      </c>
      <c r="AZ867">
        <v>93.45</v>
      </c>
      <c r="BA867">
        <f t="shared" si="47"/>
        <v>-3.1999999999999318</v>
      </c>
    </row>
    <row r="868" spans="51:53" x14ac:dyDescent="0.25">
      <c r="AY868">
        <v>867</v>
      </c>
      <c r="AZ868">
        <v>93.3</v>
      </c>
      <c r="BA868">
        <f t="shared" si="47"/>
        <v>-3.0000000000001137</v>
      </c>
    </row>
    <row r="869" spans="51:53" x14ac:dyDescent="0.25">
      <c r="AY869">
        <v>868</v>
      </c>
      <c r="AZ869">
        <v>93.07</v>
      </c>
      <c r="BA869">
        <f t="shared" si="47"/>
        <v>-4.6000000000000796</v>
      </c>
    </row>
    <row r="870" spans="51:53" x14ac:dyDescent="0.25">
      <c r="AY870">
        <v>869</v>
      </c>
      <c r="AZ870">
        <v>92.87</v>
      </c>
      <c r="BA870">
        <f t="shared" si="47"/>
        <v>-3.9999999999997726</v>
      </c>
    </row>
    <row r="871" spans="51:53" x14ac:dyDescent="0.25">
      <c r="AY871">
        <v>870</v>
      </c>
      <c r="AZ871">
        <v>93.07</v>
      </c>
      <c r="BA871">
        <f t="shared" si="47"/>
        <v>3.9999999999997726</v>
      </c>
    </row>
    <row r="872" spans="51:53" x14ac:dyDescent="0.25">
      <c r="AY872">
        <v>871</v>
      </c>
      <c r="AZ872">
        <v>93.61</v>
      </c>
      <c r="BA872">
        <f t="shared" si="47"/>
        <v>10.800000000000125</v>
      </c>
    </row>
    <row r="873" spans="51:53" x14ac:dyDescent="0.25">
      <c r="AY873">
        <v>872</v>
      </c>
      <c r="AZ873">
        <v>93.88</v>
      </c>
      <c r="BA873">
        <f t="shared" si="47"/>
        <v>5.3999999999999204</v>
      </c>
    </row>
    <row r="874" spans="51:53" x14ac:dyDescent="0.25">
      <c r="AY874">
        <v>873</v>
      </c>
      <c r="AZ874">
        <v>94.07</v>
      </c>
      <c r="BA874">
        <f t="shared" si="47"/>
        <v>3.7999999999999545</v>
      </c>
    </row>
    <row r="875" spans="51:53" x14ac:dyDescent="0.25">
      <c r="AY875">
        <v>874</v>
      </c>
      <c r="AZ875">
        <v>94.15</v>
      </c>
      <c r="BA875">
        <f t="shared" si="47"/>
        <v>1.6000000000002501</v>
      </c>
    </row>
    <row r="876" spans="51:53" x14ac:dyDescent="0.25">
      <c r="AY876">
        <v>875</v>
      </c>
      <c r="AZ876">
        <v>94.15</v>
      </c>
      <c r="BA876">
        <f t="shared" si="47"/>
        <v>0</v>
      </c>
    </row>
    <row r="877" spans="51:53" x14ac:dyDescent="0.25">
      <c r="AY877">
        <v>876</v>
      </c>
      <c r="AZ877">
        <v>93.95</v>
      </c>
      <c r="BA877">
        <f t="shared" si="47"/>
        <v>-4.0000000000000568</v>
      </c>
    </row>
    <row r="878" spans="51:53" x14ac:dyDescent="0.25">
      <c r="AY878">
        <v>877</v>
      </c>
      <c r="AZ878">
        <v>93.68</v>
      </c>
      <c r="BA878">
        <f t="shared" si="47"/>
        <v>-5.3999999999999204</v>
      </c>
    </row>
    <row r="879" spans="51:53" x14ac:dyDescent="0.25">
      <c r="AY879">
        <v>878</v>
      </c>
      <c r="AZ879">
        <v>93.53</v>
      </c>
      <c r="BA879">
        <f t="shared" si="47"/>
        <v>-3.0000000000001137</v>
      </c>
    </row>
    <row r="880" spans="51:53" x14ac:dyDescent="0.25">
      <c r="AY880">
        <v>879</v>
      </c>
      <c r="AZ880">
        <v>93.34</v>
      </c>
      <c r="BA880">
        <f t="shared" si="47"/>
        <v>-3.7999999999999545</v>
      </c>
    </row>
    <row r="881" spans="51:53" x14ac:dyDescent="0.25">
      <c r="AY881">
        <v>880</v>
      </c>
      <c r="AZ881">
        <v>93.3</v>
      </c>
      <c r="BA881">
        <f t="shared" si="47"/>
        <v>-0.80000000000012506</v>
      </c>
    </row>
    <row r="882" spans="51:53" x14ac:dyDescent="0.25">
      <c r="AY882">
        <v>881</v>
      </c>
      <c r="AZ882">
        <v>93.14</v>
      </c>
      <c r="BA882">
        <f t="shared" si="47"/>
        <v>-3.1999999999999318</v>
      </c>
    </row>
    <row r="883" spans="51:53" x14ac:dyDescent="0.25">
      <c r="AY883">
        <v>882</v>
      </c>
      <c r="AZ883">
        <v>92.95</v>
      </c>
      <c r="BA883">
        <f t="shared" si="47"/>
        <v>-3.7999999999999545</v>
      </c>
    </row>
    <row r="884" spans="51:53" x14ac:dyDescent="0.25">
      <c r="AY884">
        <v>883</v>
      </c>
      <c r="AZ884">
        <v>92.84</v>
      </c>
      <c r="BA884">
        <f t="shared" si="47"/>
        <v>-2.1999999999999886</v>
      </c>
    </row>
    <row r="885" spans="51:53" x14ac:dyDescent="0.25">
      <c r="AY885">
        <v>884</v>
      </c>
      <c r="AZ885">
        <v>92.64</v>
      </c>
      <c r="BA885">
        <f t="shared" si="47"/>
        <v>-4.0000000000000568</v>
      </c>
    </row>
    <row r="886" spans="51:53" x14ac:dyDescent="0.25">
      <c r="AY886">
        <v>885</v>
      </c>
      <c r="AZ886">
        <v>92.45</v>
      </c>
      <c r="BA886">
        <f t="shared" si="47"/>
        <v>-3.7999999999999545</v>
      </c>
    </row>
    <row r="887" spans="51:53" x14ac:dyDescent="0.25">
      <c r="AY887">
        <v>886</v>
      </c>
      <c r="AZ887">
        <v>92.22</v>
      </c>
      <c r="BA887">
        <f t="shared" si="47"/>
        <v>-4.6000000000000796</v>
      </c>
    </row>
    <row r="888" spans="51:53" x14ac:dyDescent="0.25">
      <c r="AY888">
        <v>887</v>
      </c>
      <c r="AZ888">
        <v>92.06</v>
      </c>
      <c r="BA888">
        <f t="shared" si="47"/>
        <v>-3.1999999999999318</v>
      </c>
    </row>
    <row r="889" spans="51:53" x14ac:dyDescent="0.25">
      <c r="AY889">
        <v>888</v>
      </c>
      <c r="AZ889">
        <v>91.79</v>
      </c>
      <c r="BA889">
        <f t="shared" si="47"/>
        <v>-5.3999999999999204</v>
      </c>
    </row>
    <row r="890" spans="51:53" x14ac:dyDescent="0.25">
      <c r="AY890">
        <v>889</v>
      </c>
      <c r="AZ890">
        <v>91.64</v>
      </c>
      <c r="BA890">
        <f t="shared" si="47"/>
        <v>-3.0000000000001137</v>
      </c>
    </row>
    <row r="891" spans="51:53" x14ac:dyDescent="0.25">
      <c r="AY891">
        <v>890</v>
      </c>
      <c r="AZ891">
        <v>91.6</v>
      </c>
      <c r="BA891">
        <f t="shared" si="47"/>
        <v>-0.80000000000012506</v>
      </c>
    </row>
    <row r="892" spans="51:53" x14ac:dyDescent="0.25">
      <c r="AY892">
        <v>891</v>
      </c>
      <c r="AZ892">
        <v>92.06</v>
      </c>
      <c r="BA892">
        <f t="shared" si="47"/>
        <v>9.2000000000001592</v>
      </c>
    </row>
    <row r="893" spans="51:53" x14ac:dyDescent="0.25">
      <c r="AY893">
        <v>892</v>
      </c>
      <c r="AZ893">
        <v>92.45</v>
      </c>
      <c r="BA893">
        <f t="shared" si="47"/>
        <v>7.8000000000000114</v>
      </c>
    </row>
    <row r="894" spans="51:53" x14ac:dyDescent="0.25">
      <c r="AY894">
        <v>893</v>
      </c>
      <c r="AZ894">
        <v>92.56</v>
      </c>
      <c r="BA894">
        <f t="shared" si="47"/>
        <v>2.1999999999999886</v>
      </c>
    </row>
    <row r="895" spans="51:53" x14ac:dyDescent="0.25">
      <c r="AY895">
        <v>894</v>
      </c>
      <c r="AZ895">
        <v>88.47</v>
      </c>
      <c r="BA895">
        <f t="shared" si="47"/>
        <v>-81.800000000000068</v>
      </c>
    </row>
    <row r="896" spans="51:53" x14ac:dyDescent="0.25">
      <c r="AY896">
        <v>895</v>
      </c>
      <c r="AZ896">
        <v>84.07</v>
      </c>
      <c r="BA896">
        <f t="shared" si="47"/>
        <v>-88.000000000000114</v>
      </c>
    </row>
    <row r="897" spans="51:53" x14ac:dyDescent="0.25">
      <c r="AY897">
        <v>896</v>
      </c>
      <c r="AZ897">
        <v>80.400000000000006</v>
      </c>
      <c r="BA897">
        <f t="shared" si="47"/>
        <v>-73.39999999999975</v>
      </c>
    </row>
    <row r="898" spans="51:53" x14ac:dyDescent="0.25">
      <c r="AY898">
        <v>897</v>
      </c>
      <c r="AZ898">
        <v>77.27</v>
      </c>
      <c r="BA898">
        <f t="shared" si="47"/>
        <v>-62.600000000000193</v>
      </c>
    </row>
    <row r="899" spans="51:53" x14ac:dyDescent="0.25">
      <c r="AY899">
        <v>898</v>
      </c>
      <c r="AZ899">
        <v>74.38</v>
      </c>
      <c r="BA899">
        <f t="shared" si="47"/>
        <v>-57.800000000000011</v>
      </c>
    </row>
    <row r="900" spans="51:53" x14ac:dyDescent="0.25">
      <c r="AY900">
        <v>899</v>
      </c>
      <c r="AZ900">
        <v>71.790000000000006</v>
      </c>
      <c r="BA900">
        <f t="shared" ref="BA900:BA926" si="48">(AZ900-AZ899)/0.05</f>
        <v>-51.799999999999784</v>
      </c>
    </row>
    <row r="901" spans="51:53" x14ac:dyDescent="0.25">
      <c r="AY901">
        <v>900</v>
      </c>
      <c r="AZ901">
        <v>69.2</v>
      </c>
      <c r="BA901">
        <f t="shared" si="48"/>
        <v>-51.800000000000068</v>
      </c>
    </row>
    <row r="902" spans="51:53" x14ac:dyDescent="0.25">
      <c r="AY902">
        <v>901</v>
      </c>
      <c r="AZ902">
        <v>66.849999999999994</v>
      </c>
      <c r="BA902">
        <f t="shared" si="48"/>
        <v>-47.000000000000171</v>
      </c>
    </row>
    <row r="903" spans="51:53" x14ac:dyDescent="0.25">
      <c r="AY903">
        <v>902</v>
      </c>
      <c r="AZ903">
        <v>64.64</v>
      </c>
      <c r="BA903">
        <f t="shared" si="48"/>
        <v>-44.199999999999875</v>
      </c>
    </row>
    <row r="904" spans="51:53" x14ac:dyDescent="0.25">
      <c r="AY904">
        <v>903</v>
      </c>
      <c r="AZ904">
        <v>62.44</v>
      </c>
      <c r="BA904">
        <f t="shared" si="48"/>
        <v>-44.000000000000057</v>
      </c>
    </row>
    <row r="905" spans="51:53" x14ac:dyDescent="0.25">
      <c r="AY905">
        <v>904</v>
      </c>
      <c r="AZ905">
        <v>60.24</v>
      </c>
      <c r="BA905">
        <f t="shared" si="48"/>
        <v>-43.999999999999915</v>
      </c>
    </row>
    <row r="906" spans="51:53" x14ac:dyDescent="0.25">
      <c r="AY906">
        <v>905</v>
      </c>
      <c r="AZ906">
        <v>58.23</v>
      </c>
      <c r="BA906">
        <f t="shared" si="48"/>
        <v>-40.200000000000102</v>
      </c>
    </row>
    <row r="907" spans="51:53" x14ac:dyDescent="0.25">
      <c r="AY907">
        <v>906</v>
      </c>
      <c r="AZ907">
        <v>56.23</v>
      </c>
      <c r="BA907">
        <f t="shared" si="48"/>
        <v>-40</v>
      </c>
    </row>
    <row r="908" spans="51:53" x14ac:dyDescent="0.25">
      <c r="AY908">
        <v>907</v>
      </c>
      <c r="AZ908">
        <v>54.41</v>
      </c>
      <c r="BA908">
        <f t="shared" si="48"/>
        <v>-36.400000000000006</v>
      </c>
    </row>
    <row r="909" spans="51:53" x14ac:dyDescent="0.25">
      <c r="AY909">
        <v>908</v>
      </c>
      <c r="AZ909">
        <v>52.6</v>
      </c>
      <c r="BA909">
        <f t="shared" si="48"/>
        <v>-36.199999999999903</v>
      </c>
    </row>
    <row r="910" spans="51:53" x14ac:dyDescent="0.25">
      <c r="AY910">
        <v>909</v>
      </c>
      <c r="AZ910">
        <v>50.82</v>
      </c>
      <c r="BA910">
        <f t="shared" si="48"/>
        <v>-35.600000000000023</v>
      </c>
    </row>
    <row r="911" spans="51:53" x14ac:dyDescent="0.25">
      <c r="AY911">
        <v>910</v>
      </c>
      <c r="AZ911">
        <v>49.12</v>
      </c>
      <c r="BA911">
        <f t="shared" si="48"/>
        <v>-34.000000000000057</v>
      </c>
    </row>
    <row r="912" spans="51:53" x14ac:dyDescent="0.25">
      <c r="AY912">
        <v>911</v>
      </c>
      <c r="AZ912">
        <v>47.69</v>
      </c>
      <c r="BA912">
        <f t="shared" si="48"/>
        <v>-28.599999999999994</v>
      </c>
    </row>
    <row r="913" spans="51:53" x14ac:dyDescent="0.25">
      <c r="AY913">
        <v>912</v>
      </c>
      <c r="AZ913">
        <v>46.38</v>
      </c>
      <c r="BA913">
        <f t="shared" si="48"/>
        <v>-26.199999999999903</v>
      </c>
    </row>
    <row r="914" spans="51:53" x14ac:dyDescent="0.25">
      <c r="AY914">
        <v>913</v>
      </c>
      <c r="AZ914">
        <v>44.95</v>
      </c>
      <c r="BA914">
        <f t="shared" si="48"/>
        <v>-28.599999999999994</v>
      </c>
    </row>
    <row r="915" spans="51:53" x14ac:dyDescent="0.25">
      <c r="AY915">
        <v>914</v>
      </c>
      <c r="AZ915">
        <v>43.6</v>
      </c>
      <c r="BA915">
        <f t="shared" si="48"/>
        <v>-27.000000000000028</v>
      </c>
    </row>
    <row r="916" spans="51:53" x14ac:dyDescent="0.25">
      <c r="AY916">
        <v>915</v>
      </c>
      <c r="AZ916">
        <v>42.25</v>
      </c>
      <c r="BA916">
        <f t="shared" si="48"/>
        <v>-27.000000000000028</v>
      </c>
    </row>
    <row r="917" spans="51:53" x14ac:dyDescent="0.25">
      <c r="AY917">
        <v>916</v>
      </c>
      <c r="AZ917">
        <v>40.9</v>
      </c>
      <c r="BA917">
        <f t="shared" si="48"/>
        <v>-27.000000000000028</v>
      </c>
    </row>
    <row r="918" spans="51:53" x14ac:dyDescent="0.25">
      <c r="AY918">
        <v>917</v>
      </c>
      <c r="AZ918">
        <v>39.54</v>
      </c>
      <c r="BA918">
        <f t="shared" si="48"/>
        <v>-27.199999999999989</v>
      </c>
    </row>
    <row r="919" spans="51:53" x14ac:dyDescent="0.25">
      <c r="AY919">
        <v>918</v>
      </c>
      <c r="AZ919">
        <v>38.229999999999997</v>
      </c>
      <c r="BA919">
        <f t="shared" si="48"/>
        <v>-26.200000000000045</v>
      </c>
    </row>
    <row r="920" spans="51:53" x14ac:dyDescent="0.25">
      <c r="AY920">
        <v>919</v>
      </c>
      <c r="AZ920">
        <v>36.99</v>
      </c>
      <c r="BA920">
        <f t="shared" si="48"/>
        <v>-24.799999999999898</v>
      </c>
    </row>
    <row r="921" spans="51:53" x14ac:dyDescent="0.25">
      <c r="AY921">
        <v>920</v>
      </c>
      <c r="AZ921">
        <v>35.880000000000003</v>
      </c>
      <c r="BA921">
        <f t="shared" si="48"/>
        <v>-22.199999999999989</v>
      </c>
    </row>
    <row r="922" spans="51:53" x14ac:dyDescent="0.25">
      <c r="AY922">
        <v>921</v>
      </c>
      <c r="AZ922">
        <v>34.72</v>
      </c>
      <c r="BA922">
        <f t="shared" si="48"/>
        <v>-23.200000000000074</v>
      </c>
    </row>
    <row r="923" spans="51:53" x14ac:dyDescent="0.25">
      <c r="AY923">
        <v>922</v>
      </c>
      <c r="AZ923">
        <v>33.6</v>
      </c>
      <c r="BA923">
        <f t="shared" si="48"/>
        <v>-22.399999999999949</v>
      </c>
    </row>
    <row r="924" spans="51:53" x14ac:dyDescent="0.25">
      <c r="AY924">
        <v>923</v>
      </c>
      <c r="AZ924">
        <v>32.590000000000003</v>
      </c>
      <c r="BA924">
        <f t="shared" si="48"/>
        <v>-20.19999999999996</v>
      </c>
    </row>
    <row r="925" spans="51:53" x14ac:dyDescent="0.25">
      <c r="AY925">
        <v>924</v>
      </c>
      <c r="AZ925">
        <v>31.47</v>
      </c>
      <c r="BA925">
        <f t="shared" si="48"/>
        <v>-22.400000000000091</v>
      </c>
    </row>
    <row r="926" spans="51:53" x14ac:dyDescent="0.25">
      <c r="AY926">
        <v>925</v>
      </c>
      <c r="AZ926">
        <v>30.51</v>
      </c>
      <c r="BA926">
        <f t="shared" si="48"/>
        <v>-19.199999999999946</v>
      </c>
    </row>
    <row r="927" spans="51:53" x14ac:dyDescent="0.25">
      <c r="BA927">
        <f>MAX(BA3:BA926)</f>
        <v>22.400000000000091</v>
      </c>
    </row>
  </sheetData>
  <conditionalFormatting sqref="J2:J344 BA3:BA927">
    <cfRule type="cellIs" dxfId="0" priority="6" operator="greaterThan">
      <formula>0</formula>
    </cfRule>
  </conditionalFormatting>
  <conditionalFormatting sqref="C2:C419">
    <cfRule type="cellIs" dxfId="4" priority="5" operator="greaterThan">
      <formula>0</formula>
    </cfRule>
  </conditionalFormatting>
  <conditionalFormatting sqref="T3:T396">
    <cfRule type="cellIs" dxfId="3" priority="4" operator="greaterThan">
      <formula>0</formula>
    </cfRule>
  </conditionalFormatting>
  <conditionalFormatting sqref="AE3:AE403">
    <cfRule type="cellIs" dxfId="2" priority="3" operator="greaterThanOrEqual">
      <formula>0</formula>
    </cfRule>
  </conditionalFormatting>
  <conditionalFormatting sqref="AP3:AP440">
    <cfRule type="cellIs" dxfId="1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3"/>
  <sheetViews>
    <sheetView topLeftCell="AI1" workbookViewId="0">
      <selection activeCell="AS29" sqref="AS29:AS31"/>
    </sheetView>
  </sheetViews>
  <sheetFormatPr baseColWidth="10" defaultRowHeight="15" x14ac:dyDescent="0.25"/>
  <cols>
    <col min="1" max="4" width="11.42578125" style="4"/>
    <col min="5" max="5" width="8.5703125" style="4" customWidth="1"/>
    <col min="6" max="6" width="11.42578125" style="4"/>
    <col min="7" max="7" width="14.85546875" style="4" bestFit="1" customWidth="1"/>
    <col min="8" max="8" width="11.42578125" style="4"/>
    <col min="9" max="9" width="3" style="12" customWidth="1"/>
    <col min="10" max="14" width="7.7109375" style="4" customWidth="1"/>
    <col min="15" max="15" width="11.5703125" style="4" bestFit="1" customWidth="1"/>
    <col min="16" max="16" width="14.85546875" style="4" bestFit="1" customWidth="1"/>
    <col min="17" max="17" width="11.42578125" style="4"/>
    <col min="18" max="18" width="2.42578125" style="12" customWidth="1"/>
    <col min="19" max="23" width="11.42578125" style="4"/>
    <col min="24" max="24" width="11.5703125" style="4" bestFit="1" customWidth="1"/>
    <col min="25" max="25" width="14.85546875" style="4" bestFit="1" customWidth="1"/>
    <col min="26" max="26" width="11.42578125" style="4"/>
    <col min="27" max="27" width="2.28515625" style="12" customWidth="1"/>
    <col min="28" max="32" width="7.7109375" style="4" hidden="1" customWidth="1"/>
    <col min="33" max="34" width="0" style="4" hidden="1" customWidth="1"/>
    <col min="35" max="35" width="2.28515625" style="12" customWidth="1"/>
    <col min="36" max="43" width="11.42578125" style="4"/>
    <col min="44" max="44" width="2.28515625" style="12" customWidth="1"/>
    <col min="45" max="52" width="11.42578125" style="4"/>
    <col min="53" max="53" width="2.28515625" style="12" customWidth="1"/>
    <col min="54" max="16384" width="11.42578125" style="4"/>
  </cols>
  <sheetData>
    <row r="1" spans="1:61" customFormat="1" x14ac:dyDescent="0.25">
      <c r="A1" s="24" t="s">
        <v>13</v>
      </c>
      <c r="B1" s="24"/>
      <c r="E1" t="s">
        <v>7</v>
      </c>
      <c r="F1" t="s">
        <v>8</v>
      </c>
      <c r="G1" t="s">
        <v>9</v>
      </c>
      <c r="H1" t="s">
        <v>10</v>
      </c>
      <c r="I1" s="8"/>
      <c r="K1" t="s">
        <v>5</v>
      </c>
      <c r="N1" t="s">
        <v>7</v>
      </c>
      <c r="O1" t="s">
        <v>8</v>
      </c>
      <c r="P1" t="s">
        <v>9</v>
      </c>
      <c r="Q1" t="s">
        <v>10</v>
      </c>
      <c r="R1" s="8"/>
      <c r="S1" s="24" t="s">
        <v>3</v>
      </c>
      <c r="T1" s="24"/>
      <c r="W1" t="s">
        <v>7</v>
      </c>
      <c r="X1" t="s">
        <v>8</v>
      </c>
      <c r="Y1" t="s">
        <v>9</v>
      </c>
      <c r="Z1" t="s">
        <v>10</v>
      </c>
      <c r="AA1" s="8"/>
      <c r="AB1" s="2" t="s">
        <v>4</v>
      </c>
      <c r="AC1" s="2"/>
      <c r="AE1" t="s">
        <v>7</v>
      </c>
      <c r="AF1" t="s">
        <v>8</v>
      </c>
      <c r="AG1" t="s">
        <v>9</v>
      </c>
      <c r="AH1" t="s">
        <v>10</v>
      </c>
      <c r="AI1" s="8"/>
      <c r="AK1" t="s">
        <v>11</v>
      </c>
      <c r="AL1">
        <v>70</v>
      </c>
      <c r="AN1" t="s">
        <v>7</v>
      </c>
      <c r="AO1" t="s">
        <v>8</v>
      </c>
      <c r="AP1" t="s">
        <v>9</v>
      </c>
      <c r="AQ1" t="s">
        <v>10</v>
      </c>
      <c r="AR1" s="8"/>
      <c r="AS1" t="s">
        <v>12</v>
      </c>
      <c r="AW1" t="s">
        <v>7</v>
      </c>
      <c r="AX1" t="s">
        <v>8</v>
      </c>
      <c r="AY1" t="s">
        <v>9</v>
      </c>
      <c r="AZ1" t="s">
        <v>10</v>
      </c>
      <c r="BA1" s="8"/>
      <c r="BB1" t="s">
        <v>14</v>
      </c>
      <c r="BF1" s="19" t="s">
        <v>7</v>
      </c>
      <c r="BG1" s="19" t="s">
        <v>8</v>
      </c>
      <c r="BH1" s="19" t="s">
        <v>9</v>
      </c>
      <c r="BI1" s="19" t="s">
        <v>10</v>
      </c>
    </row>
    <row r="2" spans="1:61" x14ac:dyDescent="0.25">
      <c r="A2" s="4">
        <v>2</v>
      </c>
      <c r="B2" s="4">
        <v>0</v>
      </c>
      <c r="C2" s="4">
        <v>0</v>
      </c>
      <c r="D2" s="7">
        <f>C2/C$24</f>
        <v>0</v>
      </c>
      <c r="E2" s="4">
        <f>A2*C2</f>
        <v>0</v>
      </c>
      <c r="F2" s="4">
        <f>E$24-E2</f>
        <v>560.6</v>
      </c>
      <c r="G2" s="7">
        <f>E2/E$23</f>
        <v>0</v>
      </c>
      <c r="H2" s="7">
        <f>E2/E$24</f>
        <v>0</v>
      </c>
      <c r="I2" s="11"/>
      <c r="J2" s="4">
        <v>2</v>
      </c>
      <c r="K2" s="4">
        <v>0</v>
      </c>
      <c r="L2" s="4">
        <v>0</v>
      </c>
      <c r="M2" s="7">
        <f>L2/L$43</f>
        <v>0</v>
      </c>
      <c r="N2" s="4">
        <f>J2*L2</f>
        <v>0</v>
      </c>
      <c r="O2" s="4">
        <f>N$43-N2</f>
        <v>145.17500000000001</v>
      </c>
      <c r="P2" s="7">
        <f>N2/N$42</f>
        <v>0</v>
      </c>
      <c r="Q2" s="7">
        <f>N2/N$43</f>
        <v>0</v>
      </c>
      <c r="S2" s="4">
        <v>4</v>
      </c>
      <c r="T2" s="4">
        <v>168</v>
      </c>
      <c r="U2" s="4">
        <v>5</v>
      </c>
      <c r="V2" s="7">
        <f>U2/U$53</f>
        <v>0.16129032258064516</v>
      </c>
      <c r="W2" s="4">
        <f>S2*U2</f>
        <v>20</v>
      </c>
      <c r="X2" s="4">
        <f>W$53-W2</f>
        <v>271.98</v>
      </c>
      <c r="Y2" s="7">
        <f>W2/W$52</f>
        <v>3.7037037037037035E-2</v>
      </c>
      <c r="Z2" s="7">
        <f>W2/W$53</f>
        <v>6.8497842317966975E-2</v>
      </c>
      <c r="AA2" s="11"/>
      <c r="AB2" s="4">
        <v>3</v>
      </c>
      <c r="AC2" s="4">
        <v>0</v>
      </c>
      <c r="AD2" s="4">
        <v>0</v>
      </c>
      <c r="AE2" s="4">
        <f>AB2*AD2</f>
        <v>0</v>
      </c>
      <c r="AF2" s="4">
        <f>AE$24-AE2</f>
        <v>180</v>
      </c>
      <c r="AG2" s="7">
        <f>AE2/AE$42</f>
        <v>0</v>
      </c>
      <c r="AH2" s="7">
        <f>AE2/AE$43</f>
        <v>0</v>
      </c>
      <c r="AI2" s="11"/>
      <c r="AJ2" s="4">
        <v>3</v>
      </c>
      <c r="AK2" s="4">
        <v>135</v>
      </c>
      <c r="AL2" s="4">
        <v>2</v>
      </c>
      <c r="AM2" s="7">
        <f>AL2/AL$39</f>
        <v>0.1</v>
      </c>
      <c r="AN2" s="4">
        <f>AJ2*AL2</f>
        <v>6</v>
      </c>
      <c r="AO2" s="4">
        <f>AN$51-AN2</f>
        <v>166.39583333333334</v>
      </c>
      <c r="AP2" s="7">
        <f>AN2/AN$50</f>
        <v>1.2500000000000001E-2</v>
      </c>
      <c r="AQ2" s="7">
        <f>AN2/AN$51</f>
        <v>3.4803625377643505E-2</v>
      </c>
      <c r="AR2" s="11"/>
      <c r="AS2" s="4">
        <v>3</v>
      </c>
      <c r="AT2" s="4">
        <v>130</v>
      </c>
      <c r="AU2" s="4">
        <v>3</v>
      </c>
      <c r="AV2" s="7">
        <f>AU2/AU$39</f>
        <v>7.4999999999999997E-2</v>
      </c>
      <c r="AW2" s="4">
        <f>AS2*AU2</f>
        <v>9</v>
      </c>
      <c r="AX2" s="4">
        <f>AW$39-AW2</f>
        <v>462.05555555555554</v>
      </c>
      <c r="AY2" s="7">
        <f t="shared" ref="AY2:AY37" si="0">AW2/AW$38</f>
        <v>8.3876980428704562E-3</v>
      </c>
      <c r="AZ2" s="7">
        <f t="shared" ref="AZ2:AZ37" si="1">AW2/AW$39</f>
        <v>1.9106026654086568E-2</v>
      </c>
      <c r="BA2" s="11"/>
      <c r="BB2" s="4">
        <v>4</v>
      </c>
      <c r="BC2" s="4">
        <v>136</v>
      </c>
      <c r="BD2" s="4">
        <v>1</v>
      </c>
      <c r="BE2" s="7">
        <f>BD2/BD$45</f>
        <v>2.5000000000000001E-2</v>
      </c>
      <c r="BF2" s="4">
        <f>BB2*BD2</f>
        <v>4</v>
      </c>
      <c r="BG2" s="4">
        <f>BF$45-BF2</f>
        <v>322</v>
      </c>
      <c r="BH2" s="7">
        <f>BF2/BF$44</f>
        <v>3.3085194375516956E-3</v>
      </c>
      <c r="BI2" s="7">
        <f>BF2/BF$45</f>
        <v>1.2269938650306749E-2</v>
      </c>
    </row>
    <row r="3" spans="1:61" x14ac:dyDescent="0.25">
      <c r="A3" s="4">
        <v>4</v>
      </c>
      <c r="B3" s="4">
        <v>115</v>
      </c>
      <c r="C3" s="4">
        <v>1</v>
      </c>
      <c r="D3" s="7">
        <f t="shared" ref="D3:D22" si="2">C3/C$24</f>
        <v>2.2727272727272728E-2</v>
      </c>
      <c r="E3" s="4">
        <f t="shared" ref="E3:E22" si="3">A3*C3</f>
        <v>4</v>
      </c>
      <c r="F3" s="4">
        <f t="shared" ref="F3:F22" si="4">E$24-E3</f>
        <v>556.6</v>
      </c>
      <c r="G3" s="7">
        <f t="shared" ref="G3:G22" si="5">E3/E$23</f>
        <v>3.134796238244514E-3</v>
      </c>
      <c r="H3" s="7">
        <f t="shared" ref="H3:H22" si="6">E3/E$24</f>
        <v>7.1352122725651087E-3</v>
      </c>
      <c r="I3" s="11"/>
      <c r="J3" s="4">
        <v>3</v>
      </c>
      <c r="K3" s="4">
        <v>0</v>
      </c>
      <c r="L3" s="4">
        <v>0</v>
      </c>
      <c r="M3" s="7">
        <f t="shared" ref="M3:M41" si="7">L3/L$43</f>
        <v>0</v>
      </c>
      <c r="N3" s="4">
        <f t="shared" ref="N3:N41" si="8">J3*L3</f>
        <v>0</v>
      </c>
      <c r="O3" s="4">
        <f t="shared" ref="O3:O40" si="9">L$42-N3</f>
        <v>9.3249999999999993</v>
      </c>
      <c r="P3" s="7">
        <f t="shared" ref="P3:P40" si="10">N3/N$42</f>
        <v>0</v>
      </c>
      <c r="Q3" s="7">
        <f t="shared" ref="Q3:Q40" si="11">N3/N$43</f>
        <v>0</v>
      </c>
      <c r="S3" s="4">
        <v>5</v>
      </c>
      <c r="T3" s="4">
        <v>165</v>
      </c>
      <c r="U3" s="4">
        <v>7</v>
      </c>
      <c r="V3" s="7">
        <f t="shared" ref="V3:V51" si="12">U3/U$53</f>
        <v>0.22580645161290322</v>
      </c>
      <c r="W3" s="4">
        <f t="shared" ref="W3:W51" si="13">S3*U3</f>
        <v>35</v>
      </c>
      <c r="X3" s="4">
        <f t="shared" ref="X3:X51" si="14">W$53-W3</f>
        <v>256.98</v>
      </c>
      <c r="Y3" s="7">
        <f t="shared" ref="Y3:Y50" si="15">W3/W$52</f>
        <v>6.4814814814814811E-2</v>
      </c>
      <c r="Z3" s="7">
        <f t="shared" ref="Z3:Z51" si="16">W3/W$53</f>
        <v>0.11987122405644221</v>
      </c>
      <c r="AA3" s="11"/>
      <c r="AB3" s="4">
        <v>1</v>
      </c>
      <c r="AC3" s="4">
        <v>0</v>
      </c>
      <c r="AD3" s="4">
        <v>0</v>
      </c>
      <c r="AE3" s="4">
        <f t="shared" ref="AE3:AE41" si="17">AB3*AD3</f>
        <v>0</v>
      </c>
      <c r="AF3" s="4">
        <f t="shared" ref="AF3:AF41" si="18">AD$51-AE3</f>
        <v>0</v>
      </c>
      <c r="AG3" s="7">
        <f t="shared" ref="AG3:AG41" si="19">AE3/AE$42</f>
        <v>0</v>
      </c>
      <c r="AH3" s="7">
        <f t="shared" ref="AH3:AH41" si="20">AE3/AE$43</f>
        <v>0</v>
      </c>
      <c r="AI3" s="11"/>
      <c r="AJ3" s="4">
        <v>3</v>
      </c>
      <c r="AK3" s="4">
        <v>130</v>
      </c>
      <c r="AL3" s="4">
        <v>2</v>
      </c>
      <c r="AM3" s="7">
        <f t="shared" ref="AM3:AM49" si="21">AL3/AL$39</f>
        <v>0.1</v>
      </c>
      <c r="AN3" s="4">
        <f t="shared" ref="AN3:AN49" si="22">AJ3*AL3</f>
        <v>6</v>
      </c>
      <c r="AO3" s="4">
        <f t="shared" ref="AO3:AO49" si="23">AN$51-AN3</f>
        <v>166.39583333333334</v>
      </c>
      <c r="AP3" s="7">
        <f t="shared" ref="AP3:AP49" si="24">AN3/AN$50</f>
        <v>1.2500000000000001E-2</v>
      </c>
      <c r="AQ3" s="7">
        <f t="shared" ref="AQ3:AQ49" si="25">AN3/AN$51</f>
        <v>3.4803625377643505E-2</v>
      </c>
      <c r="AR3" s="11"/>
      <c r="AS3" s="4">
        <v>5</v>
      </c>
      <c r="AT3" s="4">
        <v>125</v>
      </c>
      <c r="AU3" s="4">
        <v>4</v>
      </c>
      <c r="AV3" s="7">
        <f t="shared" ref="AV3:AV38" si="26">AU3/AU$39</f>
        <v>0.1</v>
      </c>
      <c r="AW3" s="4">
        <f t="shared" ref="AW3:AW37" si="27">AS3*AU3</f>
        <v>20</v>
      </c>
      <c r="AX3" s="4">
        <f t="shared" ref="AX3:AX37" si="28">AW$39-AW3</f>
        <v>451.05555555555554</v>
      </c>
      <c r="AY3" s="7">
        <f t="shared" si="0"/>
        <v>1.8639328984156569E-2</v>
      </c>
      <c r="AZ3" s="7">
        <f t="shared" si="1"/>
        <v>4.2457837009081262E-2</v>
      </c>
      <c r="BA3" s="11"/>
      <c r="BB3" s="4">
        <v>4</v>
      </c>
      <c r="BC3" s="4">
        <v>130</v>
      </c>
      <c r="BD3" s="4">
        <v>2</v>
      </c>
      <c r="BE3" s="7">
        <f t="shared" ref="BE3:BE43" si="29">BD3/BD$45</f>
        <v>0.05</v>
      </c>
      <c r="BF3" s="4">
        <f t="shared" ref="BF3:BF43" si="30">BB3*BD3</f>
        <v>8</v>
      </c>
      <c r="BG3" s="4">
        <f t="shared" ref="BG3:BG37" si="31">BF$45-BF3</f>
        <v>318</v>
      </c>
      <c r="BH3" s="7">
        <f t="shared" ref="BH3:BH37" si="32">BF3/BF$44</f>
        <v>6.6170388751033912E-3</v>
      </c>
      <c r="BI3" s="7">
        <f t="shared" ref="BI3:BI37" si="33">BF3/BF$45</f>
        <v>2.4539877300613498E-2</v>
      </c>
    </row>
    <row r="4" spans="1:61" x14ac:dyDescent="0.25">
      <c r="A4" s="4">
        <v>5</v>
      </c>
      <c r="B4" s="4">
        <v>110</v>
      </c>
      <c r="C4" s="4">
        <v>3</v>
      </c>
      <c r="D4" s="7">
        <f t="shared" si="2"/>
        <v>6.8181818181818177E-2</v>
      </c>
      <c r="E4" s="4">
        <f t="shared" si="3"/>
        <v>15</v>
      </c>
      <c r="F4" s="4">
        <f t="shared" si="4"/>
        <v>545.6</v>
      </c>
      <c r="G4" s="7">
        <f t="shared" si="5"/>
        <v>1.1755485893416929E-2</v>
      </c>
      <c r="H4" s="7">
        <f t="shared" si="6"/>
        <v>2.6757046022119157E-2</v>
      </c>
      <c r="I4" s="11"/>
      <c r="J4" s="4">
        <v>3</v>
      </c>
      <c r="K4" s="4">
        <v>125</v>
      </c>
      <c r="L4" s="4">
        <v>1</v>
      </c>
      <c r="M4" s="7">
        <f t="shared" si="7"/>
        <v>5.5555555555555552E-2</v>
      </c>
      <c r="N4" s="4">
        <f t="shared" si="8"/>
        <v>3</v>
      </c>
      <c r="O4" s="4">
        <f t="shared" si="9"/>
        <v>6.3249999999999993</v>
      </c>
      <c r="P4" s="7">
        <f t="shared" si="10"/>
        <v>8.8235294117647058E-3</v>
      </c>
      <c r="Q4" s="7">
        <f t="shared" si="11"/>
        <v>2.066471499913897E-2</v>
      </c>
      <c r="S4" s="4">
        <v>6</v>
      </c>
      <c r="T4" s="4">
        <v>162</v>
      </c>
      <c r="U4" s="4">
        <v>8</v>
      </c>
      <c r="V4" s="7">
        <f t="shared" si="12"/>
        <v>0.25806451612903225</v>
      </c>
      <c r="W4" s="4">
        <f t="shared" si="13"/>
        <v>48</v>
      </c>
      <c r="X4" s="4">
        <f t="shared" si="14"/>
        <v>243.98000000000002</v>
      </c>
      <c r="Y4" s="7">
        <f t="shared" si="15"/>
        <v>8.8888888888888892E-2</v>
      </c>
      <c r="Z4" s="7">
        <f t="shared" si="16"/>
        <v>0.16439482156312074</v>
      </c>
      <c r="AA4" s="11"/>
      <c r="AB4" s="4">
        <v>3</v>
      </c>
      <c r="AC4" s="4">
        <v>145</v>
      </c>
      <c r="AD4" s="4">
        <v>1</v>
      </c>
      <c r="AE4" s="4">
        <f t="shared" si="17"/>
        <v>3</v>
      </c>
      <c r="AF4" s="4">
        <f t="shared" si="18"/>
        <v>-3</v>
      </c>
      <c r="AG4" s="7">
        <f t="shared" si="19"/>
        <v>8.3333333333333332E-3</v>
      </c>
      <c r="AH4" s="7">
        <f t="shared" si="20"/>
        <v>2.2779043280182234E-2</v>
      </c>
      <c r="AI4" s="11"/>
      <c r="AJ4" s="4">
        <v>5</v>
      </c>
      <c r="AK4" s="4">
        <v>125</v>
      </c>
      <c r="AL4" s="4">
        <v>3</v>
      </c>
      <c r="AM4" s="7">
        <f t="shared" si="21"/>
        <v>0.15</v>
      </c>
      <c r="AN4" s="4">
        <f t="shared" si="22"/>
        <v>15</v>
      </c>
      <c r="AO4" s="4">
        <f t="shared" si="23"/>
        <v>157.39583333333334</v>
      </c>
      <c r="AP4" s="7">
        <f t="shared" si="24"/>
        <v>3.125E-2</v>
      </c>
      <c r="AQ4" s="7">
        <f t="shared" si="25"/>
        <v>8.7009063444108761E-2</v>
      </c>
      <c r="AR4" s="11"/>
      <c r="AS4" s="4">
        <v>5</v>
      </c>
      <c r="AT4" s="4">
        <v>120</v>
      </c>
      <c r="AU4" s="4">
        <v>5</v>
      </c>
      <c r="AV4" s="7">
        <f t="shared" si="26"/>
        <v>0.125</v>
      </c>
      <c r="AW4" s="4">
        <f t="shared" si="27"/>
        <v>25</v>
      </c>
      <c r="AX4" s="4">
        <f t="shared" si="28"/>
        <v>446.05555555555554</v>
      </c>
      <c r="AY4" s="7">
        <f t="shared" si="0"/>
        <v>2.3299161230195712E-2</v>
      </c>
      <c r="AZ4" s="7">
        <f t="shared" si="1"/>
        <v>5.3072296261351577E-2</v>
      </c>
      <c r="BA4" s="11"/>
      <c r="BB4" s="4">
        <v>1</v>
      </c>
      <c r="BC4" s="4">
        <v>0</v>
      </c>
      <c r="BD4" s="4">
        <v>0</v>
      </c>
      <c r="BE4" s="7">
        <f t="shared" si="29"/>
        <v>0</v>
      </c>
      <c r="BF4" s="4">
        <f t="shared" si="30"/>
        <v>0</v>
      </c>
      <c r="BG4" s="4">
        <f t="shared" si="31"/>
        <v>326</v>
      </c>
      <c r="BH4" s="7">
        <f t="shared" si="32"/>
        <v>0</v>
      </c>
      <c r="BI4" s="7">
        <f t="shared" si="33"/>
        <v>0</v>
      </c>
    </row>
    <row r="5" spans="1:61" x14ac:dyDescent="0.25">
      <c r="A5" s="4">
        <v>6</v>
      </c>
      <c r="B5" s="4">
        <v>105</v>
      </c>
      <c r="C5" s="4">
        <v>6</v>
      </c>
      <c r="D5" s="7">
        <f t="shared" si="2"/>
        <v>0.13636363636363635</v>
      </c>
      <c r="E5" s="4">
        <f t="shared" si="3"/>
        <v>36</v>
      </c>
      <c r="F5" s="4">
        <f t="shared" si="4"/>
        <v>524.6</v>
      </c>
      <c r="G5" s="7">
        <f t="shared" si="5"/>
        <v>2.8213166144200628E-2</v>
      </c>
      <c r="H5" s="7">
        <f t="shared" si="6"/>
        <v>6.4216910453085974E-2</v>
      </c>
      <c r="I5" s="11"/>
      <c r="J5" s="4">
        <v>4</v>
      </c>
      <c r="K5" s="4">
        <v>0</v>
      </c>
      <c r="L5" s="4">
        <v>0</v>
      </c>
      <c r="M5" s="7">
        <f t="shared" si="7"/>
        <v>0</v>
      </c>
      <c r="N5" s="4">
        <f t="shared" si="8"/>
        <v>0</v>
      </c>
      <c r="O5" s="4">
        <f t="shared" si="9"/>
        <v>9.3249999999999993</v>
      </c>
      <c r="P5" s="7">
        <f t="shared" si="10"/>
        <v>0</v>
      </c>
      <c r="Q5" s="7">
        <f t="shared" si="11"/>
        <v>0</v>
      </c>
      <c r="S5" s="4">
        <v>6</v>
      </c>
      <c r="T5" s="4">
        <v>159</v>
      </c>
      <c r="U5" s="4">
        <v>10</v>
      </c>
      <c r="V5" s="7">
        <f t="shared" si="12"/>
        <v>0.32258064516129031</v>
      </c>
      <c r="W5" s="4">
        <f t="shared" si="13"/>
        <v>60</v>
      </c>
      <c r="X5" s="4">
        <f t="shared" si="14"/>
        <v>231.98000000000002</v>
      </c>
      <c r="Y5" s="7">
        <f t="shared" si="15"/>
        <v>0.1111111111111111</v>
      </c>
      <c r="Z5" s="7">
        <f t="shared" si="16"/>
        <v>0.20549352695390094</v>
      </c>
      <c r="AA5" s="11"/>
      <c r="AB5" s="4">
        <v>2</v>
      </c>
      <c r="AC5" s="4">
        <v>142</v>
      </c>
      <c r="AD5" s="4">
        <v>1</v>
      </c>
      <c r="AE5" s="4">
        <f t="shared" si="17"/>
        <v>2</v>
      </c>
      <c r="AF5" s="4">
        <f t="shared" si="18"/>
        <v>-2</v>
      </c>
      <c r="AG5" s="7">
        <f t="shared" si="19"/>
        <v>5.5555555555555558E-3</v>
      </c>
      <c r="AH5" s="7">
        <f t="shared" si="20"/>
        <v>1.5186028853454823E-2</v>
      </c>
      <c r="AI5" s="11"/>
      <c r="AJ5" s="4">
        <v>1</v>
      </c>
      <c r="AK5" s="4">
        <v>0</v>
      </c>
      <c r="AL5" s="4">
        <v>0</v>
      </c>
      <c r="AM5" s="7">
        <f t="shared" si="21"/>
        <v>0</v>
      </c>
      <c r="AN5" s="4">
        <f t="shared" si="22"/>
        <v>0</v>
      </c>
      <c r="AO5" s="4">
        <f t="shared" si="23"/>
        <v>172.39583333333334</v>
      </c>
      <c r="AP5" s="7">
        <f t="shared" si="24"/>
        <v>0</v>
      </c>
      <c r="AQ5" s="7">
        <f t="shared" si="25"/>
        <v>0</v>
      </c>
      <c r="AR5" s="11"/>
      <c r="AS5" s="4">
        <v>1</v>
      </c>
      <c r="AT5" s="4">
        <v>0</v>
      </c>
      <c r="AU5" s="4">
        <v>0</v>
      </c>
      <c r="AV5" s="7">
        <f t="shared" si="26"/>
        <v>0</v>
      </c>
      <c r="AW5" s="4">
        <f t="shared" si="27"/>
        <v>0</v>
      </c>
      <c r="AX5" s="4">
        <f t="shared" si="28"/>
        <v>471.05555555555554</v>
      </c>
      <c r="AY5" s="7">
        <f t="shared" si="0"/>
        <v>0</v>
      </c>
      <c r="AZ5" s="7">
        <f t="shared" si="1"/>
        <v>0</v>
      </c>
      <c r="BA5" s="11"/>
      <c r="BB5" s="4">
        <v>4</v>
      </c>
      <c r="BC5" s="4">
        <v>126</v>
      </c>
      <c r="BD5" s="4">
        <v>5</v>
      </c>
      <c r="BE5" s="7">
        <f t="shared" si="29"/>
        <v>0.125</v>
      </c>
      <c r="BF5" s="4">
        <f t="shared" si="30"/>
        <v>20</v>
      </c>
      <c r="BG5" s="4">
        <f t="shared" si="31"/>
        <v>306</v>
      </c>
      <c r="BH5" s="7">
        <f t="shared" si="32"/>
        <v>1.6542597187758478E-2</v>
      </c>
      <c r="BI5" s="7">
        <f t="shared" si="33"/>
        <v>6.1349693251533742E-2</v>
      </c>
    </row>
    <row r="6" spans="1:61" x14ac:dyDescent="0.25">
      <c r="A6" s="4">
        <v>8</v>
      </c>
      <c r="B6" s="4">
        <v>101</v>
      </c>
      <c r="C6" s="4">
        <v>10</v>
      </c>
      <c r="D6" s="7">
        <f t="shared" si="2"/>
        <v>0.22727272727272727</v>
      </c>
      <c r="E6" s="4">
        <f t="shared" si="3"/>
        <v>80</v>
      </c>
      <c r="F6" s="4">
        <f t="shared" si="4"/>
        <v>480.6</v>
      </c>
      <c r="G6" s="7">
        <f t="shared" si="5"/>
        <v>6.2695924764890276E-2</v>
      </c>
      <c r="H6" s="7">
        <f t="shared" si="6"/>
        <v>0.14270424545130217</v>
      </c>
      <c r="I6" s="11"/>
      <c r="J6" s="4">
        <v>5</v>
      </c>
      <c r="K6" s="4">
        <v>119</v>
      </c>
      <c r="L6" s="4">
        <v>1</v>
      </c>
      <c r="M6" s="7">
        <f t="shared" si="7"/>
        <v>5.5555555555555552E-2</v>
      </c>
      <c r="N6" s="4">
        <f t="shared" si="8"/>
        <v>5</v>
      </c>
      <c r="O6" s="4">
        <f t="shared" si="9"/>
        <v>4.3249999999999993</v>
      </c>
      <c r="P6" s="7">
        <f t="shared" si="10"/>
        <v>1.4705882352941176E-2</v>
      </c>
      <c r="Q6" s="7">
        <f t="shared" si="11"/>
        <v>3.4441191665231616E-2</v>
      </c>
      <c r="S6" s="4">
        <v>5</v>
      </c>
      <c r="T6" s="4">
        <v>156</v>
      </c>
      <c r="U6" s="4">
        <v>10</v>
      </c>
      <c r="V6" s="7">
        <f t="shared" si="12"/>
        <v>0.32258064516129031</v>
      </c>
      <c r="W6" s="4">
        <f t="shared" si="13"/>
        <v>50</v>
      </c>
      <c r="X6" s="4">
        <f t="shared" si="14"/>
        <v>241.98000000000002</v>
      </c>
      <c r="Y6" s="7">
        <f t="shared" si="15"/>
        <v>9.2592592592592587E-2</v>
      </c>
      <c r="Z6" s="7">
        <f t="shared" si="16"/>
        <v>0.17124460579491746</v>
      </c>
      <c r="AA6" s="11"/>
      <c r="AB6" s="4">
        <v>5</v>
      </c>
      <c r="AC6" s="4">
        <v>139</v>
      </c>
      <c r="AD6" s="4">
        <v>2</v>
      </c>
      <c r="AE6" s="4">
        <f t="shared" si="17"/>
        <v>10</v>
      </c>
      <c r="AF6" s="4">
        <f t="shared" si="18"/>
        <v>-10</v>
      </c>
      <c r="AG6" s="7">
        <f t="shared" si="19"/>
        <v>2.7777777777777776E-2</v>
      </c>
      <c r="AH6" s="7">
        <f t="shared" si="20"/>
        <v>7.5930144267274111E-2</v>
      </c>
      <c r="AI6" s="11"/>
      <c r="AJ6" s="4">
        <v>5</v>
      </c>
      <c r="AK6" s="4">
        <v>122</v>
      </c>
      <c r="AL6" s="4">
        <v>5</v>
      </c>
      <c r="AM6" s="7">
        <f t="shared" si="21"/>
        <v>0.25</v>
      </c>
      <c r="AN6" s="4">
        <f t="shared" si="22"/>
        <v>25</v>
      </c>
      <c r="AO6" s="4">
        <f t="shared" si="23"/>
        <v>147.39583333333334</v>
      </c>
      <c r="AP6" s="7">
        <f t="shared" si="24"/>
        <v>5.2083333333333336E-2</v>
      </c>
      <c r="AQ6" s="7">
        <f t="shared" si="25"/>
        <v>0.14501510574018125</v>
      </c>
      <c r="AR6" s="11"/>
      <c r="AS6" s="4">
        <v>6</v>
      </c>
      <c r="AT6" s="4">
        <v>117</v>
      </c>
      <c r="AU6" s="4">
        <v>6</v>
      </c>
      <c r="AV6" s="7">
        <f t="shared" si="26"/>
        <v>0.15</v>
      </c>
      <c r="AW6" s="4">
        <f t="shared" si="27"/>
        <v>36</v>
      </c>
      <c r="AX6" s="4">
        <f t="shared" si="28"/>
        <v>435.05555555555554</v>
      </c>
      <c r="AY6" s="7">
        <f t="shared" si="0"/>
        <v>3.3550792171481825E-2</v>
      </c>
      <c r="AZ6" s="7">
        <f t="shared" si="1"/>
        <v>7.6424106616346271E-2</v>
      </c>
      <c r="BA6" s="11"/>
      <c r="BB6" s="4">
        <v>5</v>
      </c>
      <c r="BC6" s="4">
        <v>121</v>
      </c>
      <c r="BD6" s="4">
        <v>5</v>
      </c>
      <c r="BE6" s="7">
        <f t="shared" si="29"/>
        <v>0.125</v>
      </c>
      <c r="BF6" s="4">
        <f t="shared" si="30"/>
        <v>25</v>
      </c>
      <c r="BG6" s="4">
        <f t="shared" si="31"/>
        <v>301</v>
      </c>
      <c r="BH6" s="7">
        <f t="shared" si="32"/>
        <v>2.0678246484698098E-2</v>
      </c>
      <c r="BI6" s="7">
        <f t="shared" si="33"/>
        <v>7.6687116564417179E-2</v>
      </c>
    </row>
    <row r="7" spans="1:61" x14ac:dyDescent="0.25">
      <c r="A7" s="4">
        <v>10</v>
      </c>
      <c r="B7" s="9">
        <v>96</v>
      </c>
      <c r="C7" s="9">
        <v>13</v>
      </c>
      <c r="D7" s="7">
        <f t="shared" si="2"/>
        <v>0.29545454545454547</v>
      </c>
      <c r="E7" s="9">
        <f t="shared" si="3"/>
        <v>130</v>
      </c>
      <c r="F7" s="9">
        <f t="shared" si="4"/>
        <v>430.6</v>
      </c>
      <c r="G7" s="14">
        <f t="shared" si="5"/>
        <v>0.10188087774294671</v>
      </c>
      <c r="H7" s="14">
        <f t="shared" si="6"/>
        <v>0.23189439885836602</v>
      </c>
      <c r="I7" s="11"/>
      <c r="J7" s="4">
        <v>5</v>
      </c>
      <c r="K7" s="4">
        <v>116</v>
      </c>
      <c r="L7" s="4">
        <v>1</v>
      </c>
      <c r="M7" s="7">
        <f t="shared" si="7"/>
        <v>5.5555555555555552E-2</v>
      </c>
      <c r="N7" s="4">
        <f t="shared" si="8"/>
        <v>5</v>
      </c>
      <c r="O7" s="4">
        <f t="shared" si="9"/>
        <v>4.3249999999999993</v>
      </c>
      <c r="P7" s="7">
        <f t="shared" si="10"/>
        <v>1.4705882352941176E-2</v>
      </c>
      <c r="Q7" s="7">
        <f t="shared" si="11"/>
        <v>3.4441191665231616E-2</v>
      </c>
      <c r="S7" s="4">
        <v>1</v>
      </c>
      <c r="T7" s="4">
        <v>0</v>
      </c>
      <c r="U7" s="4">
        <v>0</v>
      </c>
      <c r="V7" s="7">
        <f t="shared" si="12"/>
        <v>0</v>
      </c>
      <c r="W7" s="4">
        <f t="shared" si="13"/>
        <v>0</v>
      </c>
      <c r="X7" s="4">
        <f t="shared" si="14"/>
        <v>291.98</v>
      </c>
      <c r="Y7" s="7">
        <f t="shared" si="15"/>
        <v>0</v>
      </c>
      <c r="Z7" s="7">
        <f t="shared" si="16"/>
        <v>0</v>
      </c>
      <c r="AA7" s="11"/>
      <c r="AB7" s="4">
        <v>6</v>
      </c>
      <c r="AC7" s="4">
        <v>136</v>
      </c>
      <c r="AD7" s="4">
        <v>3</v>
      </c>
      <c r="AE7" s="4">
        <f t="shared" si="17"/>
        <v>18</v>
      </c>
      <c r="AF7" s="4">
        <f t="shared" si="18"/>
        <v>-18</v>
      </c>
      <c r="AG7" s="7">
        <f t="shared" si="19"/>
        <v>0.05</v>
      </c>
      <c r="AH7" s="7">
        <f t="shared" si="20"/>
        <v>0.1366742596810934</v>
      </c>
      <c r="AI7" s="11"/>
      <c r="AJ7" s="4">
        <v>1</v>
      </c>
      <c r="AK7" s="4">
        <v>0</v>
      </c>
      <c r="AL7" s="4">
        <v>0</v>
      </c>
      <c r="AM7" s="7">
        <f t="shared" si="21"/>
        <v>0</v>
      </c>
      <c r="AN7" s="4">
        <f t="shared" si="22"/>
        <v>0</v>
      </c>
      <c r="AO7" s="4">
        <f t="shared" si="23"/>
        <v>172.39583333333334</v>
      </c>
      <c r="AP7" s="7">
        <f t="shared" si="24"/>
        <v>0</v>
      </c>
      <c r="AQ7" s="7">
        <f t="shared" si="25"/>
        <v>0</v>
      </c>
      <c r="AR7" s="11"/>
      <c r="AS7" s="4">
        <v>1</v>
      </c>
      <c r="AT7" s="4">
        <v>0</v>
      </c>
      <c r="AU7" s="4">
        <v>0</v>
      </c>
      <c r="AV7" s="7">
        <f t="shared" si="26"/>
        <v>0</v>
      </c>
      <c r="AW7" s="4">
        <f t="shared" si="27"/>
        <v>0</v>
      </c>
      <c r="AX7" s="4">
        <f t="shared" si="28"/>
        <v>471.05555555555554</v>
      </c>
      <c r="AY7" s="7">
        <f t="shared" si="0"/>
        <v>0</v>
      </c>
      <c r="AZ7" s="7">
        <f t="shared" si="1"/>
        <v>0</v>
      </c>
      <c r="BA7" s="11"/>
      <c r="BB7" s="4">
        <v>5</v>
      </c>
      <c r="BC7" s="4">
        <v>117</v>
      </c>
      <c r="BD7" s="4">
        <v>6</v>
      </c>
      <c r="BE7" s="7">
        <f t="shared" si="29"/>
        <v>0.15</v>
      </c>
      <c r="BF7" s="4">
        <f t="shared" si="30"/>
        <v>30</v>
      </c>
      <c r="BG7" s="4">
        <f t="shared" si="31"/>
        <v>296</v>
      </c>
      <c r="BH7" s="7">
        <f t="shared" si="32"/>
        <v>2.4813895781637719E-2</v>
      </c>
      <c r="BI7" s="7">
        <f t="shared" si="33"/>
        <v>9.202453987730061E-2</v>
      </c>
    </row>
    <row r="8" spans="1:61" x14ac:dyDescent="0.25">
      <c r="A8" s="4">
        <v>11</v>
      </c>
      <c r="B8" s="9">
        <v>92</v>
      </c>
      <c r="C8" s="9">
        <v>18</v>
      </c>
      <c r="D8" s="7">
        <f t="shared" si="2"/>
        <v>0.40909090909090912</v>
      </c>
      <c r="E8" s="9">
        <f t="shared" si="3"/>
        <v>198</v>
      </c>
      <c r="F8" s="9">
        <f t="shared" si="4"/>
        <v>362.6</v>
      </c>
      <c r="G8" s="14">
        <f t="shared" si="5"/>
        <v>0.15517241379310345</v>
      </c>
      <c r="H8" s="14">
        <f t="shared" si="6"/>
        <v>0.35319300749197285</v>
      </c>
      <c r="I8" s="11"/>
      <c r="J8" s="4">
        <v>6</v>
      </c>
      <c r="K8" s="4">
        <v>113</v>
      </c>
      <c r="L8" s="4">
        <v>3</v>
      </c>
      <c r="M8" s="7">
        <f t="shared" si="7"/>
        <v>0.16666666666666666</v>
      </c>
      <c r="N8" s="4">
        <f t="shared" si="8"/>
        <v>18</v>
      </c>
      <c r="O8" s="4">
        <f t="shared" si="9"/>
        <v>-8.6750000000000007</v>
      </c>
      <c r="P8" s="7">
        <f t="shared" si="10"/>
        <v>5.2941176470588235E-2</v>
      </c>
      <c r="Q8" s="7">
        <f t="shared" si="11"/>
        <v>0.12398828999483381</v>
      </c>
      <c r="S8" s="4">
        <v>7</v>
      </c>
      <c r="T8" s="4">
        <v>154</v>
      </c>
      <c r="U8" s="4">
        <v>10</v>
      </c>
      <c r="V8" s="7">
        <f t="shared" si="12"/>
        <v>0.32258064516129031</v>
      </c>
      <c r="W8" s="4">
        <f t="shared" si="13"/>
        <v>70</v>
      </c>
      <c r="X8" s="4">
        <f t="shared" si="14"/>
        <v>221.98000000000002</v>
      </c>
      <c r="Y8" s="7">
        <f t="shared" si="15"/>
        <v>0.12962962962962962</v>
      </c>
      <c r="Z8" s="7">
        <f t="shared" si="16"/>
        <v>0.23974244811288442</v>
      </c>
      <c r="AA8" s="11"/>
      <c r="AB8" s="4">
        <v>7</v>
      </c>
      <c r="AC8" s="4">
        <v>134</v>
      </c>
      <c r="AD8" s="4">
        <v>5</v>
      </c>
      <c r="AE8" s="4">
        <f t="shared" si="17"/>
        <v>35</v>
      </c>
      <c r="AF8" s="4">
        <f t="shared" si="18"/>
        <v>-35</v>
      </c>
      <c r="AG8" s="7">
        <f t="shared" si="19"/>
        <v>9.7222222222222224E-2</v>
      </c>
      <c r="AH8" s="7">
        <f t="shared" si="20"/>
        <v>0.26575550493545941</v>
      </c>
      <c r="AI8" s="11"/>
      <c r="AJ8" s="4">
        <v>6</v>
      </c>
      <c r="AK8" s="4">
        <v>119</v>
      </c>
      <c r="AL8" s="4">
        <v>6</v>
      </c>
      <c r="AM8" s="7">
        <f t="shared" si="21"/>
        <v>0.3</v>
      </c>
      <c r="AN8" s="4">
        <f t="shared" si="22"/>
        <v>36</v>
      </c>
      <c r="AO8" s="4">
        <f t="shared" si="23"/>
        <v>136.39583333333334</v>
      </c>
      <c r="AP8" s="7">
        <f t="shared" si="24"/>
        <v>7.4999999999999997E-2</v>
      </c>
      <c r="AQ8" s="7">
        <f t="shared" si="25"/>
        <v>0.20882175226586103</v>
      </c>
      <c r="AR8" s="11"/>
      <c r="AS8" s="4">
        <v>8</v>
      </c>
      <c r="AT8" s="4">
        <v>113</v>
      </c>
      <c r="AU8" s="4">
        <v>11</v>
      </c>
      <c r="AV8" s="7">
        <f t="shared" si="26"/>
        <v>0.27500000000000002</v>
      </c>
      <c r="AW8" s="4">
        <f t="shared" si="27"/>
        <v>88</v>
      </c>
      <c r="AX8" s="4">
        <f t="shared" si="28"/>
        <v>383.05555555555554</v>
      </c>
      <c r="AY8" s="7">
        <f t="shared" si="0"/>
        <v>8.2013047530288916E-2</v>
      </c>
      <c r="AZ8" s="7">
        <f t="shared" si="1"/>
        <v>0.18681448283995755</v>
      </c>
      <c r="BA8" s="11"/>
      <c r="BB8" s="4">
        <v>5</v>
      </c>
      <c r="BC8" s="4">
        <v>113</v>
      </c>
      <c r="BD8" s="4">
        <v>9</v>
      </c>
      <c r="BE8" s="7">
        <f t="shared" si="29"/>
        <v>0.22500000000000001</v>
      </c>
      <c r="BF8" s="4">
        <f t="shared" si="30"/>
        <v>45</v>
      </c>
      <c r="BG8" s="4">
        <f t="shared" si="31"/>
        <v>281</v>
      </c>
      <c r="BH8" s="7">
        <f t="shared" si="32"/>
        <v>3.7220843672456573E-2</v>
      </c>
      <c r="BI8" s="7">
        <f t="shared" si="33"/>
        <v>0.13803680981595093</v>
      </c>
    </row>
    <row r="9" spans="1:61" x14ac:dyDescent="0.25">
      <c r="A9" s="4">
        <v>11</v>
      </c>
      <c r="B9" s="9">
        <v>88</v>
      </c>
      <c r="C9" s="9">
        <v>19</v>
      </c>
      <c r="D9" s="7">
        <f t="shared" si="2"/>
        <v>0.43181818181818182</v>
      </c>
      <c r="E9" s="9">
        <f t="shared" si="3"/>
        <v>209</v>
      </c>
      <c r="F9" s="9">
        <f t="shared" si="4"/>
        <v>351.6</v>
      </c>
      <c r="G9" s="14">
        <f t="shared" si="5"/>
        <v>0.16379310344827586</v>
      </c>
      <c r="H9" s="14">
        <f t="shared" si="6"/>
        <v>0.37281484124152692</v>
      </c>
      <c r="I9" s="11"/>
      <c r="J9" s="4">
        <v>7</v>
      </c>
      <c r="K9" s="4">
        <v>110</v>
      </c>
      <c r="L9" s="4">
        <v>4</v>
      </c>
      <c r="M9" s="7">
        <f t="shared" si="7"/>
        <v>0.22222222222222221</v>
      </c>
      <c r="N9" s="4">
        <f t="shared" si="8"/>
        <v>28</v>
      </c>
      <c r="O9" s="4">
        <f t="shared" si="9"/>
        <v>-18.675000000000001</v>
      </c>
      <c r="P9" s="7">
        <f t="shared" si="10"/>
        <v>8.2352941176470587E-2</v>
      </c>
      <c r="Q9" s="7">
        <f t="shared" si="11"/>
        <v>0.19287067332529703</v>
      </c>
      <c r="S9" s="4">
        <v>8</v>
      </c>
      <c r="T9" s="4">
        <v>152</v>
      </c>
      <c r="U9" s="4">
        <v>14</v>
      </c>
      <c r="V9" s="7">
        <f t="shared" si="12"/>
        <v>0.45161290322580644</v>
      </c>
      <c r="W9" s="4">
        <f t="shared" si="13"/>
        <v>112</v>
      </c>
      <c r="X9" s="4">
        <f t="shared" si="14"/>
        <v>179.98000000000002</v>
      </c>
      <c r="Y9" s="7">
        <f t="shared" si="15"/>
        <v>0.2074074074074074</v>
      </c>
      <c r="Z9" s="7">
        <f t="shared" si="16"/>
        <v>0.38358791698061506</v>
      </c>
      <c r="AA9" s="11"/>
      <c r="AB9" s="4">
        <v>9</v>
      </c>
      <c r="AC9" s="4">
        <v>131</v>
      </c>
      <c r="AD9" s="4">
        <v>6</v>
      </c>
      <c r="AE9" s="4">
        <f t="shared" si="17"/>
        <v>54</v>
      </c>
      <c r="AF9" s="4">
        <f t="shared" si="18"/>
        <v>-54</v>
      </c>
      <c r="AG9" s="7">
        <f t="shared" si="19"/>
        <v>0.15</v>
      </c>
      <c r="AH9" s="7">
        <f t="shared" si="20"/>
        <v>0.41002277904328022</v>
      </c>
      <c r="AI9" s="11"/>
      <c r="AJ9" s="4">
        <v>6</v>
      </c>
      <c r="AK9" s="4">
        <v>116</v>
      </c>
      <c r="AL9" s="4">
        <v>8</v>
      </c>
      <c r="AM9" s="7">
        <f t="shared" si="21"/>
        <v>0.4</v>
      </c>
      <c r="AN9" s="4">
        <f t="shared" si="22"/>
        <v>48</v>
      </c>
      <c r="AO9" s="4">
        <f t="shared" si="23"/>
        <v>124.39583333333334</v>
      </c>
      <c r="AP9" s="7">
        <f t="shared" si="24"/>
        <v>0.1</v>
      </c>
      <c r="AQ9" s="7">
        <f t="shared" si="25"/>
        <v>0.27842900302114804</v>
      </c>
      <c r="AR9" s="11"/>
      <c r="AS9" s="4">
        <v>8</v>
      </c>
      <c r="AT9" s="4">
        <v>110</v>
      </c>
      <c r="AU9" s="4">
        <v>15</v>
      </c>
      <c r="AV9" s="7">
        <f t="shared" si="26"/>
        <v>0.375</v>
      </c>
      <c r="AW9" s="4">
        <f t="shared" si="27"/>
        <v>120</v>
      </c>
      <c r="AX9" s="4">
        <f t="shared" si="28"/>
        <v>351.05555555555554</v>
      </c>
      <c r="AY9" s="7">
        <f t="shared" si="0"/>
        <v>0.11183597390493942</v>
      </c>
      <c r="AZ9" s="7">
        <f t="shared" si="1"/>
        <v>0.25474702205448757</v>
      </c>
      <c r="BA9" s="11"/>
      <c r="BB9" s="4">
        <v>6</v>
      </c>
      <c r="BC9" s="4">
        <v>109</v>
      </c>
      <c r="BD9" s="4">
        <v>8</v>
      </c>
      <c r="BE9" s="7">
        <f t="shared" si="29"/>
        <v>0.2</v>
      </c>
      <c r="BF9" s="4">
        <f t="shared" si="30"/>
        <v>48</v>
      </c>
      <c r="BG9" s="4">
        <f t="shared" si="31"/>
        <v>278</v>
      </c>
      <c r="BH9" s="7">
        <f t="shared" si="32"/>
        <v>3.9702233250620347E-2</v>
      </c>
      <c r="BI9" s="7">
        <f t="shared" si="33"/>
        <v>0.14723926380368099</v>
      </c>
    </row>
    <row r="10" spans="1:61" x14ac:dyDescent="0.25">
      <c r="A10" s="4">
        <v>17</v>
      </c>
      <c r="B10" s="4">
        <v>85</v>
      </c>
      <c r="C10" s="4">
        <v>27</v>
      </c>
      <c r="D10" s="7">
        <f t="shared" si="2"/>
        <v>0.61363636363636365</v>
      </c>
      <c r="E10" s="4">
        <f t="shared" si="3"/>
        <v>459</v>
      </c>
      <c r="F10" s="4">
        <f t="shared" si="4"/>
        <v>101.60000000000002</v>
      </c>
      <c r="G10" s="7">
        <f t="shared" si="5"/>
        <v>0.35971786833855801</v>
      </c>
      <c r="H10" s="7">
        <f t="shared" si="6"/>
        <v>0.81876560827684619</v>
      </c>
      <c r="I10" s="11"/>
      <c r="J10" s="4">
        <v>7</v>
      </c>
      <c r="K10" s="4">
        <v>108</v>
      </c>
      <c r="L10" s="4">
        <v>5</v>
      </c>
      <c r="M10" s="7">
        <f t="shared" si="7"/>
        <v>0.27777777777777779</v>
      </c>
      <c r="N10" s="4">
        <f t="shared" si="8"/>
        <v>35</v>
      </c>
      <c r="O10" s="4">
        <f t="shared" si="9"/>
        <v>-25.675000000000001</v>
      </c>
      <c r="P10" s="7">
        <f t="shared" si="10"/>
        <v>0.10294117647058823</v>
      </c>
      <c r="Q10" s="7">
        <f t="shared" si="11"/>
        <v>0.2410883416566213</v>
      </c>
      <c r="S10" s="4">
        <v>7</v>
      </c>
      <c r="T10" s="4">
        <v>150</v>
      </c>
      <c r="U10" s="4">
        <v>15</v>
      </c>
      <c r="V10" s="7">
        <f t="shared" si="12"/>
        <v>0.4838709677419355</v>
      </c>
      <c r="W10" s="4">
        <f t="shared" si="13"/>
        <v>105</v>
      </c>
      <c r="X10" s="4">
        <f t="shared" si="14"/>
        <v>186.98000000000002</v>
      </c>
      <c r="Y10" s="7">
        <f t="shared" si="15"/>
        <v>0.19444444444444445</v>
      </c>
      <c r="Z10" s="7">
        <f t="shared" si="16"/>
        <v>0.35961367216932666</v>
      </c>
      <c r="AA10" s="11"/>
      <c r="AB10" s="4">
        <v>9</v>
      </c>
      <c r="AC10" s="4">
        <v>129</v>
      </c>
      <c r="AD10" s="4">
        <v>7</v>
      </c>
      <c r="AE10" s="4">
        <f t="shared" si="17"/>
        <v>63</v>
      </c>
      <c r="AF10" s="4">
        <f t="shared" si="18"/>
        <v>-63</v>
      </c>
      <c r="AG10" s="7">
        <f t="shared" si="19"/>
        <v>0.17499999999999999</v>
      </c>
      <c r="AH10" s="7">
        <f t="shared" si="20"/>
        <v>0.4783599088838269</v>
      </c>
      <c r="AI10" s="11"/>
      <c r="AJ10" s="4">
        <v>1</v>
      </c>
      <c r="AK10" s="4">
        <v>0</v>
      </c>
      <c r="AL10" s="4">
        <v>0</v>
      </c>
      <c r="AM10" s="7">
        <f t="shared" si="21"/>
        <v>0</v>
      </c>
      <c r="AN10" s="4">
        <f t="shared" si="22"/>
        <v>0</v>
      </c>
      <c r="AO10" s="4">
        <f t="shared" si="23"/>
        <v>172.39583333333334</v>
      </c>
      <c r="AP10" s="7">
        <f t="shared" si="24"/>
        <v>0</v>
      </c>
      <c r="AQ10" s="7">
        <f t="shared" si="25"/>
        <v>0</v>
      </c>
      <c r="AR10" s="11"/>
      <c r="AS10" s="4">
        <v>1</v>
      </c>
      <c r="AT10" s="4">
        <v>0</v>
      </c>
      <c r="AU10" s="4">
        <v>0</v>
      </c>
      <c r="AV10" s="7">
        <f t="shared" si="26"/>
        <v>0</v>
      </c>
      <c r="AW10" s="4">
        <f t="shared" si="27"/>
        <v>0</v>
      </c>
      <c r="AX10" s="4">
        <f t="shared" si="28"/>
        <v>471.05555555555554</v>
      </c>
      <c r="AY10" s="7">
        <f t="shared" si="0"/>
        <v>0</v>
      </c>
      <c r="AZ10" s="7">
        <f t="shared" si="1"/>
        <v>0</v>
      </c>
      <c r="BA10" s="11"/>
      <c r="BB10" s="4">
        <v>1</v>
      </c>
      <c r="BC10" s="4">
        <v>0</v>
      </c>
      <c r="BD10" s="4">
        <v>0</v>
      </c>
      <c r="BE10" s="7">
        <f t="shared" si="29"/>
        <v>0</v>
      </c>
      <c r="BF10" s="4">
        <f t="shared" si="30"/>
        <v>0</v>
      </c>
      <c r="BG10" s="4">
        <f t="shared" si="31"/>
        <v>326</v>
      </c>
      <c r="BH10" s="7">
        <f t="shared" si="32"/>
        <v>0</v>
      </c>
      <c r="BI10" s="7">
        <f t="shared" si="33"/>
        <v>0</v>
      </c>
    </row>
    <row r="11" spans="1:61" x14ac:dyDescent="0.25">
      <c r="A11" s="4">
        <v>19</v>
      </c>
      <c r="B11" s="4">
        <v>82</v>
      </c>
      <c r="C11" s="4">
        <v>29</v>
      </c>
      <c r="D11" s="7">
        <f t="shared" si="2"/>
        <v>0.65909090909090906</v>
      </c>
      <c r="E11" s="4">
        <f t="shared" si="3"/>
        <v>551</v>
      </c>
      <c r="F11" s="4">
        <f t="shared" si="4"/>
        <v>9.6000000000000227</v>
      </c>
      <c r="G11" s="7">
        <f t="shared" si="5"/>
        <v>0.43181818181818182</v>
      </c>
      <c r="H11" s="7">
        <f t="shared" si="6"/>
        <v>0.98287549054584367</v>
      </c>
      <c r="I11" s="11"/>
      <c r="J11" s="4">
        <v>7</v>
      </c>
      <c r="K11" s="4">
        <v>105</v>
      </c>
      <c r="L11" s="4">
        <v>5</v>
      </c>
      <c r="M11" s="7">
        <f t="shared" si="7"/>
        <v>0.27777777777777779</v>
      </c>
      <c r="N11" s="4">
        <f t="shared" si="8"/>
        <v>35</v>
      </c>
      <c r="O11" s="4">
        <f t="shared" si="9"/>
        <v>-25.675000000000001</v>
      </c>
      <c r="P11" s="7">
        <f t="shared" si="10"/>
        <v>0.10294117647058823</v>
      </c>
      <c r="Q11" s="7">
        <f t="shared" si="11"/>
        <v>0.2410883416566213</v>
      </c>
      <c r="S11" s="4">
        <v>9</v>
      </c>
      <c r="T11" s="9">
        <v>147</v>
      </c>
      <c r="U11" s="9">
        <v>16</v>
      </c>
      <c r="V11" s="7">
        <f t="shared" si="12"/>
        <v>0.5161290322580645</v>
      </c>
      <c r="W11" s="9">
        <f t="shared" si="13"/>
        <v>144</v>
      </c>
      <c r="X11" s="9">
        <f t="shared" si="14"/>
        <v>147.98000000000002</v>
      </c>
      <c r="Y11" s="14">
        <f t="shared" si="15"/>
        <v>0.26666666666666666</v>
      </c>
      <c r="Z11" s="14">
        <f t="shared" si="16"/>
        <v>0.49318446468936228</v>
      </c>
      <c r="AA11" s="11"/>
      <c r="AB11" s="4">
        <v>9</v>
      </c>
      <c r="AC11" s="4">
        <v>127</v>
      </c>
      <c r="AD11" s="4">
        <v>8</v>
      </c>
      <c r="AE11" s="4">
        <f t="shared" si="17"/>
        <v>72</v>
      </c>
      <c r="AF11" s="4">
        <f t="shared" si="18"/>
        <v>-72</v>
      </c>
      <c r="AG11" s="7">
        <f t="shared" si="19"/>
        <v>0.2</v>
      </c>
      <c r="AH11" s="7">
        <f t="shared" si="20"/>
        <v>0.54669703872437359</v>
      </c>
      <c r="AI11" s="11"/>
      <c r="AJ11" s="4">
        <v>6</v>
      </c>
      <c r="AK11" s="4">
        <v>112</v>
      </c>
      <c r="AL11" s="4">
        <v>6</v>
      </c>
      <c r="AM11" s="7">
        <f t="shared" si="21"/>
        <v>0.3</v>
      </c>
      <c r="AN11" s="4">
        <f t="shared" si="22"/>
        <v>36</v>
      </c>
      <c r="AO11" s="4">
        <f t="shared" si="23"/>
        <v>136.39583333333334</v>
      </c>
      <c r="AP11" s="7">
        <f t="shared" si="24"/>
        <v>7.4999999999999997E-2</v>
      </c>
      <c r="AQ11" s="7">
        <f t="shared" si="25"/>
        <v>0.20882175226586103</v>
      </c>
      <c r="AR11" s="11"/>
      <c r="AS11" s="4">
        <v>9</v>
      </c>
      <c r="AT11" s="4">
        <v>107</v>
      </c>
      <c r="AU11" s="4">
        <v>15</v>
      </c>
      <c r="AV11" s="7">
        <f t="shared" si="26"/>
        <v>0.375</v>
      </c>
      <c r="AW11" s="4">
        <f t="shared" si="27"/>
        <v>135</v>
      </c>
      <c r="AX11" s="4">
        <f t="shared" si="28"/>
        <v>336.05555555555554</v>
      </c>
      <c r="AY11" s="7">
        <f t="shared" si="0"/>
        <v>0.12581547064305684</v>
      </c>
      <c r="AZ11" s="7">
        <f t="shared" si="1"/>
        <v>0.28659039981129852</v>
      </c>
      <c r="BA11" s="11"/>
      <c r="BB11" s="4">
        <v>8</v>
      </c>
      <c r="BC11" s="4">
        <v>106</v>
      </c>
      <c r="BD11" s="4">
        <v>12</v>
      </c>
      <c r="BE11" s="7">
        <f t="shared" si="29"/>
        <v>0.3</v>
      </c>
      <c r="BF11" s="4">
        <f t="shared" si="30"/>
        <v>96</v>
      </c>
      <c r="BG11" s="4">
        <f t="shared" si="31"/>
        <v>230</v>
      </c>
      <c r="BH11" s="7">
        <f t="shared" si="32"/>
        <v>7.9404466501240695E-2</v>
      </c>
      <c r="BI11" s="7">
        <f t="shared" si="33"/>
        <v>0.29447852760736198</v>
      </c>
    </row>
    <row r="12" spans="1:61" x14ac:dyDescent="0.25">
      <c r="A12" s="4">
        <v>21</v>
      </c>
      <c r="B12" s="4">
        <v>79</v>
      </c>
      <c r="C12" s="4">
        <v>32</v>
      </c>
      <c r="D12" s="7">
        <f t="shared" si="2"/>
        <v>0.72727272727272729</v>
      </c>
      <c r="E12" s="4">
        <f t="shared" si="3"/>
        <v>672</v>
      </c>
      <c r="F12" s="4">
        <f t="shared" si="4"/>
        <v>-111.39999999999998</v>
      </c>
      <c r="G12" s="7">
        <f t="shared" si="5"/>
        <v>0.52664576802507834</v>
      </c>
      <c r="H12" s="7">
        <f t="shared" si="6"/>
        <v>1.1987156617909382</v>
      </c>
      <c r="I12" s="11"/>
      <c r="J12" s="4">
        <v>1</v>
      </c>
      <c r="K12" s="4">
        <v>0</v>
      </c>
      <c r="L12" s="4">
        <v>0</v>
      </c>
      <c r="M12" s="7">
        <f t="shared" si="7"/>
        <v>0</v>
      </c>
      <c r="N12" s="4">
        <f t="shared" si="8"/>
        <v>0</v>
      </c>
      <c r="O12" s="4">
        <f t="shared" si="9"/>
        <v>9.3249999999999993</v>
      </c>
      <c r="P12" s="7">
        <f t="shared" si="10"/>
        <v>0</v>
      </c>
      <c r="Q12" s="7">
        <f t="shared" si="11"/>
        <v>0</v>
      </c>
      <c r="S12" s="4">
        <v>9</v>
      </c>
      <c r="T12" s="4">
        <v>145</v>
      </c>
      <c r="U12" s="4">
        <v>16</v>
      </c>
      <c r="V12" s="7">
        <f t="shared" si="12"/>
        <v>0.5161290322580645</v>
      </c>
      <c r="W12" s="4">
        <f t="shared" si="13"/>
        <v>144</v>
      </c>
      <c r="X12" s="4">
        <f t="shared" si="14"/>
        <v>147.98000000000002</v>
      </c>
      <c r="Y12" s="7">
        <f t="shared" si="15"/>
        <v>0.26666666666666666</v>
      </c>
      <c r="Z12" s="7">
        <f t="shared" si="16"/>
        <v>0.49318446468936228</v>
      </c>
      <c r="AA12" s="11"/>
      <c r="AB12" s="4">
        <v>11</v>
      </c>
      <c r="AC12" s="9">
        <v>124</v>
      </c>
      <c r="AD12" s="9">
        <v>10</v>
      </c>
      <c r="AE12" s="9">
        <f t="shared" si="17"/>
        <v>110</v>
      </c>
      <c r="AF12" s="9">
        <f t="shared" si="18"/>
        <v>-110</v>
      </c>
      <c r="AG12" s="7">
        <f t="shared" si="19"/>
        <v>0.30555555555555558</v>
      </c>
      <c r="AH12" s="7">
        <f t="shared" si="20"/>
        <v>0.83523158694001531</v>
      </c>
      <c r="AI12" s="11"/>
      <c r="AJ12" s="4">
        <v>6</v>
      </c>
      <c r="AK12" s="4">
        <v>109</v>
      </c>
      <c r="AL12" s="4">
        <v>8</v>
      </c>
      <c r="AM12" s="7">
        <f t="shared" si="21"/>
        <v>0.4</v>
      </c>
      <c r="AN12" s="4">
        <f t="shared" si="22"/>
        <v>48</v>
      </c>
      <c r="AO12" s="4">
        <f t="shared" si="23"/>
        <v>124.39583333333334</v>
      </c>
      <c r="AP12" s="7">
        <f t="shared" si="24"/>
        <v>0.1</v>
      </c>
      <c r="AQ12" s="7">
        <f t="shared" si="25"/>
        <v>0.27842900302114804</v>
      </c>
      <c r="AR12" s="11"/>
      <c r="AS12" s="4">
        <v>1</v>
      </c>
      <c r="AT12" s="4">
        <v>0</v>
      </c>
      <c r="AU12" s="4">
        <v>0</v>
      </c>
      <c r="AV12" s="7">
        <f t="shared" si="26"/>
        <v>0</v>
      </c>
      <c r="AW12" s="4">
        <f t="shared" si="27"/>
        <v>0</v>
      </c>
      <c r="AX12" s="4">
        <f t="shared" si="28"/>
        <v>471.05555555555554</v>
      </c>
      <c r="AY12" s="7">
        <f t="shared" si="0"/>
        <v>0</v>
      </c>
      <c r="AZ12" s="7">
        <f t="shared" si="1"/>
        <v>0</v>
      </c>
      <c r="BA12" s="11"/>
      <c r="BB12" s="4">
        <v>9</v>
      </c>
      <c r="BC12" s="4">
        <v>102</v>
      </c>
      <c r="BD12" s="4">
        <v>15</v>
      </c>
      <c r="BE12" s="7">
        <f t="shared" si="29"/>
        <v>0.375</v>
      </c>
      <c r="BF12" s="4">
        <f t="shared" si="30"/>
        <v>135</v>
      </c>
      <c r="BG12" s="4">
        <f t="shared" si="31"/>
        <v>191</v>
      </c>
      <c r="BH12" s="7">
        <f t="shared" si="32"/>
        <v>0.11166253101736973</v>
      </c>
      <c r="BI12" s="7">
        <f t="shared" si="33"/>
        <v>0.41411042944785276</v>
      </c>
    </row>
    <row r="13" spans="1:61" x14ac:dyDescent="0.25">
      <c r="A13" s="4">
        <v>25</v>
      </c>
      <c r="B13" s="4">
        <v>77</v>
      </c>
      <c r="C13" s="4">
        <v>37</v>
      </c>
      <c r="D13" s="7">
        <f t="shared" si="2"/>
        <v>0.84090909090909094</v>
      </c>
      <c r="E13" s="4">
        <f t="shared" si="3"/>
        <v>925</v>
      </c>
      <c r="F13" s="4">
        <f t="shared" si="4"/>
        <v>-364.4</v>
      </c>
      <c r="G13" s="7">
        <f t="shared" si="5"/>
        <v>0.72492163009404387</v>
      </c>
      <c r="H13" s="7">
        <f t="shared" si="6"/>
        <v>1.6500178380306814</v>
      </c>
      <c r="I13" s="11"/>
      <c r="J13" s="4">
        <v>8</v>
      </c>
      <c r="K13" s="9">
        <v>103</v>
      </c>
      <c r="L13" s="9">
        <v>6</v>
      </c>
      <c r="M13" s="7">
        <f t="shared" si="7"/>
        <v>0.33333333333333331</v>
      </c>
      <c r="N13" s="9">
        <f t="shared" si="8"/>
        <v>48</v>
      </c>
      <c r="O13" s="9">
        <f t="shared" si="9"/>
        <v>-38.674999999999997</v>
      </c>
      <c r="P13" s="14">
        <f t="shared" si="10"/>
        <v>0.14117647058823529</v>
      </c>
      <c r="Q13" s="14">
        <f t="shared" si="11"/>
        <v>0.33063543998622352</v>
      </c>
      <c r="S13" s="9">
        <v>8</v>
      </c>
      <c r="T13" s="9">
        <v>143</v>
      </c>
      <c r="U13" s="9">
        <v>14</v>
      </c>
      <c r="V13" s="7">
        <f t="shared" si="12"/>
        <v>0.45161290322580644</v>
      </c>
      <c r="W13" s="9">
        <f t="shared" si="13"/>
        <v>112</v>
      </c>
      <c r="X13" s="4">
        <f t="shared" si="14"/>
        <v>179.98000000000002</v>
      </c>
      <c r="Y13" s="7">
        <f t="shared" si="15"/>
        <v>0.2074074074074074</v>
      </c>
      <c r="Z13" s="7">
        <f t="shared" si="16"/>
        <v>0.38358791698061506</v>
      </c>
      <c r="AA13" s="11"/>
      <c r="AB13" s="4">
        <v>10</v>
      </c>
      <c r="AC13" s="9">
        <v>122</v>
      </c>
      <c r="AD13" s="9">
        <v>10</v>
      </c>
      <c r="AE13" s="9">
        <f t="shared" si="17"/>
        <v>100</v>
      </c>
      <c r="AF13" s="9">
        <f t="shared" si="18"/>
        <v>-100</v>
      </c>
      <c r="AG13" s="7">
        <f t="shared" si="19"/>
        <v>0.27777777777777779</v>
      </c>
      <c r="AH13" s="7">
        <f t="shared" si="20"/>
        <v>0.75930144267274113</v>
      </c>
      <c r="AI13" s="11"/>
      <c r="AJ13" s="4">
        <v>7</v>
      </c>
      <c r="AK13" s="4">
        <v>106</v>
      </c>
      <c r="AL13" s="4">
        <v>10</v>
      </c>
      <c r="AM13" s="7">
        <f t="shared" si="21"/>
        <v>0.5</v>
      </c>
      <c r="AN13" s="4">
        <f t="shared" si="22"/>
        <v>70</v>
      </c>
      <c r="AO13" s="4">
        <f t="shared" si="23"/>
        <v>102.39583333333334</v>
      </c>
      <c r="AP13" s="7">
        <f t="shared" si="24"/>
        <v>0.14583333333333334</v>
      </c>
      <c r="AQ13" s="7">
        <f t="shared" si="25"/>
        <v>0.40604229607250752</v>
      </c>
      <c r="AR13" s="11"/>
      <c r="AS13" s="4">
        <v>1</v>
      </c>
      <c r="AT13" s="4">
        <v>0</v>
      </c>
      <c r="AU13" s="4">
        <v>0</v>
      </c>
      <c r="AV13" s="7">
        <f t="shared" si="26"/>
        <v>0</v>
      </c>
      <c r="AW13" s="4">
        <f t="shared" si="27"/>
        <v>0</v>
      </c>
      <c r="AX13" s="4">
        <f t="shared" si="28"/>
        <v>471.05555555555554</v>
      </c>
      <c r="AY13" s="7">
        <f t="shared" si="0"/>
        <v>0</v>
      </c>
      <c r="AZ13" s="7">
        <f t="shared" si="1"/>
        <v>0</v>
      </c>
      <c r="BA13" s="11"/>
      <c r="BB13" s="4">
        <v>1</v>
      </c>
      <c r="BC13" s="4">
        <v>0</v>
      </c>
      <c r="BD13" s="4">
        <v>0</v>
      </c>
      <c r="BE13" s="7">
        <f t="shared" si="29"/>
        <v>0</v>
      </c>
      <c r="BF13" s="4">
        <f t="shared" si="30"/>
        <v>0</v>
      </c>
      <c r="BG13" s="4">
        <f t="shared" si="31"/>
        <v>326</v>
      </c>
      <c r="BH13" s="7">
        <f t="shared" si="32"/>
        <v>0</v>
      </c>
      <c r="BI13" s="7">
        <f t="shared" si="33"/>
        <v>0</v>
      </c>
    </row>
    <row r="14" spans="1:61" x14ac:dyDescent="0.25">
      <c r="A14" s="4">
        <v>27</v>
      </c>
      <c r="B14" s="4">
        <v>75</v>
      </c>
      <c r="C14" s="4">
        <v>44</v>
      </c>
      <c r="D14" s="7">
        <f t="shared" si="2"/>
        <v>1</v>
      </c>
      <c r="E14" s="4">
        <f t="shared" si="3"/>
        <v>1188</v>
      </c>
      <c r="F14" s="4">
        <f t="shared" si="4"/>
        <v>-627.4</v>
      </c>
      <c r="G14" s="7">
        <f t="shared" si="5"/>
        <v>0.93103448275862066</v>
      </c>
      <c r="H14" s="7">
        <f t="shared" si="6"/>
        <v>2.119158044951837</v>
      </c>
      <c r="I14" s="11"/>
      <c r="J14" s="4">
        <v>8</v>
      </c>
      <c r="K14" s="9">
        <v>100</v>
      </c>
      <c r="L14" s="9">
        <v>7</v>
      </c>
      <c r="M14" s="7">
        <f t="shared" si="7"/>
        <v>0.3888888888888889</v>
      </c>
      <c r="N14" s="9">
        <f t="shared" si="8"/>
        <v>56</v>
      </c>
      <c r="O14" s="9">
        <f t="shared" si="9"/>
        <v>-46.674999999999997</v>
      </c>
      <c r="P14" s="14">
        <f t="shared" si="10"/>
        <v>0.16470588235294117</v>
      </c>
      <c r="Q14" s="14">
        <f t="shared" si="11"/>
        <v>0.38574134665059406</v>
      </c>
      <c r="S14" s="9">
        <v>9</v>
      </c>
      <c r="T14" s="9">
        <v>141</v>
      </c>
      <c r="U14" s="9">
        <v>17</v>
      </c>
      <c r="V14" s="7">
        <f t="shared" si="12"/>
        <v>0.54838709677419351</v>
      </c>
      <c r="W14" s="9">
        <f t="shared" si="13"/>
        <v>153</v>
      </c>
      <c r="X14" s="4">
        <f t="shared" si="14"/>
        <v>138.98000000000002</v>
      </c>
      <c r="Y14" s="7">
        <f t="shared" si="15"/>
        <v>0.28333333333333333</v>
      </c>
      <c r="Z14" s="7">
        <f t="shared" si="16"/>
        <v>0.5240084937324474</v>
      </c>
      <c r="AA14" s="11"/>
      <c r="AB14" s="4">
        <v>10</v>
      </c>
      <c r="AC14" s="4">
        <v>119</v>
      </c>
      <c r="AD14" s="4">
        <v>9</v>
      </c>
      <c r="AE14" s="4">
        <f t="shared" si="17"/>
        <v>90</v>
      </c>
      <c r="AF14" s="4">
        <f t="shared" si="18"/>
        <v>-90</v>
      </c>
      <c r="AG14" s="7">
        <f t="shared" si="19"/>
        <v>0.25</v>
      </c>
      <c r="AH14" s="7">
        <f t="shared" si="20"/>
        <v>0.68337129840546706</v>
      </c>
      <c r="AI14" s="11"/>
      <c r="AJ14" s="4">
        <v>1</v>
      </c>
      <c r="AK14" s="4">
        <v>0</v>
      </c>
      <c r="AL14" s="4">
        <v>0</v>
      </c>
      <c r="AM14" s="7">
        <f t="shared" si="21"/>
        <v>0</v>
      </c>
      <c r="AN14" s="4">
        <f t="shared" si="22"/>
        <v>0</v>
      </c>
      <c r="AO14" s="4">
        <f t="shared" si="23"/>
        <v>172.39583333333334</v>
      </c>
      <c r="AP14" s="7">
        <f t="shared" si="24"/>
        <v>0</v>
      </c>
      <c r="AQ14" s="7">
        <f t="shared" si="25"/>
        <v>0</v>
      </c>
      <c r="AR14" s="11"/>
      <c r="AS14" s="4">
        <v>10</v>
      </c>
      <c r="AT14" s="9">
        <v>104</v>
      </c>
      <c r="AU14" s="9">
        <v>20</v>
      </c>
      <c r="AV14" s="7">
        <f t="shared" si="26"/>
        <v>0.5</v>
      </c>
      <c r="AW14" s="9">
        <f t="shared" si="27"/>
        <v>200</v>
      </c>
      <c r="AX14" s="4">
        <f t="shared" si="28"/>
        <v>271.05555555555554</v>
      </c>
      <c r="AY14" s="14">
        <f t="shared" si="0"/>
        <v>0.1863932898415657</v>
      </c>
      <c r="AZ14" s="14">
        <f t="shared" si="1"/>
        <v>0.42457837009081262</v>
      </c>
      <c r="BA14" s="11"/>
      <c r="BB14" s="4">
        <v>1</v>
      </c>
      <c r="BC14" s="4">
        <v>0</v>
      </c>
      <c r="BD14" s="4">
        <v>0</v>
      </c>
      <c r="BE14" s="7">
        <f t="shared" si="29"/>
        <v>0</v>
      </c>
      <c r="BF14" s="17">
        <f t="shared" si="30"/>
        <v>0</v>
      </c>
      <c r="BG14" s="4">
        <f t="shared" si="31"/>
        <v>326</v>
      </c>
      <c r="BH14" s="7">
        <f t="shared" si="32"/>
        <v>0</v>
      </c>
      <c r="BI14" s="7">
        <f t="shared" si="33"/>
        <v>0</v>
      </c>
    </row>
    <row r="15" spans="1:61" x14ac:dyDescent="0.25">
      <c r="A15" s="4">
        <v>29</v>
      </c>
      <c r="B15" s="15">
        <v>72</v>
      </c>
      <c r="C15" s="15">
        <v>44</v>
      </c>
      <c r="D15" s="7">
        <f t="shared" si="2"/>
        <v>1</v>
      </c>
      <c r="E15" s="15">
        <f t="shared" si="3"/>
        <v>1276</v>
      </c>
      <c r="F15" s="15">
        <f t="shared" si="4"/>
        <v>-715.4</v>
      </c>
      <c r="G15" s="16">
        <f t="shared" si="5"/>
        <v>1</v>
      </c>
      <c r="H15" s="7">
        <f t="shared" si="6"/>
        <v>2.2761327149482695</v>
      </c>
      <c r="I15" s="11"/>
      <c r="J15" s="4">
        <v>9</v>
      </c>
      <c r="K15" s="9">
        <v>98</v>
      </c>
      <c r="L15" s="9">
        <v>8</v>
      </c>
      <c r="M15" s="7">
        <f t="shared" si="7"/>
        <v>0.44444444444444442</v>
      </c>
      <c r="N15" s="9">
        <f t="shared" si="8"/>
        <v>72</v>
      </c>
      <c r="O15" s="9">
        <f t="shared" si="9"/>
        <v>-62.674999999999997</v>
      </c>
      <c r="P15" s="14">
        <f t="shared" si="10"/>
        <v>0.21176470588235294</v>
      </c>
      <c r="Q15" s="14">
        <f t="shared" si="11"/>
        <v>0.49595315997933526</v>
      </c>
      <c r="S15" s="4">
        <v>11</v>
      </c>
      <c r="T15" s="4">
        <v>139</v>
      </c>
      <c r="U15" s="4">
        <v>16</v>
      </c>
      <c r="V15" s="7">
        <f t="shared" si="12"/>
        <v>0.5161290322580645</v>
      </c>
      <c r="W15" s="4">
        <f t="shared" si="13"/>
        <v>176</v>
      </c>
      <c r="X15" s="4">
        <f t="shared" si="14"/>
        <v>115.98000000000002</v>
      </c>
      <c r="Y15" s="7">
        <f t="shared" si="15"/>
        <v>0.32592592592592595</v>
      </c>
      <c r="Z15" s="7">
        <f t="shared" si="16"/>
        <v>0.60278101239810944</v>
      </c>
      <c r="AA15" s="11"/>
      <c r="AB15" s="4">
        <v>9</v>
      </c>
      <c r="AC15" s="4">
        <v>116</v>
      </c>
      <c r="AD15" s="4">
        <v>7</v>
      </c>
      <c r="AE15" s="4">
        <f t="shared" si="17"/>
        <v>63</v>
      </c>
      <c r="AF15" s="4">
        <f t="shared" si="18"/>
        <v>-63</v>
      </c>
      <c r="AG15" s="7">
        <f t="shared" si="19"/>
        <v>0.17499999999999999</v>
      </c>
      <c r="AH15" s="7">
        <f t="shared" si="20"/>
        <v>0.4783599088838269</v>
      </c>
      <c r="AI15" s="11"/>
      <c r="AJ15" s="4">
        <v>8</v>
      </c>
      <c r="AK15" s="9">
        <v>104</v>
      </c>
      <c r="AL15" s="9">
        <v>11</v>
      </c>
      <c r="AM15" s="7">
        <f t="shared" si="21"/>
        <v>0.55000000000000004</v>
      </c>
      <c r="AN15" s="9">
        <f t="shared" si="22"/>
        <v>88</v>
      </c>
      <c r="AO15" s="4">
        <f t="shared" si="23"/>
        <v>84.395833333333343</v>
      </c>
      <c r="AP15" s="14">
        <f t="shared" si="24"/>
        <v>0.18333333333333332</v>
      </c>
      <c r="AQ15" s="14">
        <f t="shared" si="25"/>
        <v>0.51045317220543807</v>
      </c>
      <c r="AR15" s="11"/>
      <c r="AS15" s="4">
        <v>12</v>
      </c>
      <c r="AT15" s="9">
        <v>102</v>
      </c>
      <c r="AU15" s="9">
        <v>23</v>
      </c>
      <c r="AV15" s="7">
        <f t="shared" si="26"/>
        <v>0.57499999999999996</v>
      </c>
      <c r="AW15" s="9">
        <f t="shared" si="27"/>
        <v>276</v>
      </c>
      <c r="AX15" s="4">
        <f t="shared" si="28"/>
        <v>195.05555555555554</v>
      </c>
      <c r="AY15" s="14">
        <f t="shared" si="0"/>
        <v>0.25722273998136069</v>
      </c>
      <c r="AZ15" s="14">
        <f t="shared" si="1"/>
        <v>0.58591815072532138</v>
      </c>
      <c r="BA15" s="11"/>
      <c r="BB15" s="4">
        <v>8</v>
      </c>
      <c r="BC15" s="4">
        <v>99</v>
      </c>
      <c r="BD15" s="4">
        <v>16</v>
      </c>
      <c r="BE15" s="7">
        <f t="shared" si="29"/>
        <v>0.4</v>
      </c>
      <c r="BF15" s="17">
        <f t="shared" si="30"/>
        <v>128</v>
      </c>
      <c r="BG15" s="4">
        <f t="shared" si="31"/>
        <v>198</v>
      </c>
      <c r="BH15" s="7">
        <f t="shared" si="32"/>
        <v>0.10587262200165426</v>
      </c>
      <c r="BI15" s="7">
        <f t="shared" si="33"/>
        <v>0.39263803680981596</v>
      </c>
    </row>
    <row r="16" spans="1:61" x14ac:dyDescent="0.25">
      <c r="A16" s="4">
        <v>29</v>
      </c>
      <c r="B16" s="4">
        <v>70</v>
      </c>
      <c r="C16" s="4">
        <v>41</v>
      </c>
      <c r="D16" s="7">
        <f t="shared" si="2"/>
        <v>0.93181818181818177</v>
      </c>
      <c r="E16" s="4">
        <f t="shared" si="3"/>
        <v>1189</v>
      </c>
      <c r="F16" s="4">
        <f t="shared" si="4"/>
        <v>-628.4</v>
      </c>
      <c r="G16" s="7">
        <f t="shared" si="5"/>
        <v>0.93181818181818177</v>
      </c>
      <c r="H16" s="7">
        <f t="shared" si="6"/>
        <v>2.1209418480199784</v>
      </c>
      <c r="I16" s="11"/>
      <c r="J16" s="4">
        <v>10</v>
      </c>
      <c r="K16" s="4">
        <v>96</v>
      </c>
      <c r="L16" s="4">
        <v>11</v>
      </c>
      <c r="M16" s="7">
        <f t="shared" si="7"/>
        <v>0.61111111111111116</v>
      </c>
      <c r="N16" s="4">
        <f t="shared" si="8"/>
        <v>110</v>
      </c>
      <c r="O16" s="4">
        <f t="shared" si="9"/>
        <v>-100.675</v>
      </c>
      <c r="P16" s="7">
        <f t="shared" si="10"/>
        <v>0.3235294117647059</v>
      </c>
      <c r="Q16" s="7">
        <f t="shared" si="11"/>
        <v>0.75770621663509552</v>
      </c>
      <c r="S16" s="4">
        <v>1</v>
      </c>
      <c r="T16" s="4">
        <v>0</v>
      </c>
      <c r="U16" s="4">
        <v>0</v>
      </c>
      <c r="V16" s="7">
        <f t="shared" si="12"/>
        <v>0</v>
      </c>
      <c r="W16" s="4">
        <f t="shared" si="13"/>
        <v>0</v>
      </c>
      <c r="X16" s="4">
        <f t="shared" si="14"/>
        <v>291.98</v>
      </c>
      <c r="Y16" s="7">
        <f t="shared" si="15"/>
        <v>0</v>
      </c>
      <c r="Z16" s="7">
        <f t="shared" si="16"/>
        <v>0</v>
      </c>
      <c r="AA16" s="11"/>
      <c r="AB16" s="4">
        <v>10</v>
      </c>
      <c r="AC16" s="4">
        <v>114</v>
      </c>
      <c r="AD16" s="4">
        <v>10</v>
      </c>
      <c r="AE16" s="4">
        <f t="shared" si="17"/>
        <v>100</v>
      </c>
      <c r="AF16" s="4">
        <f t="shared" si="18"/>
        <v>-100</v>
      </c>
      <c r="AG16" s="7">
        <f t="shared" si="19"/>
        <v>0.27777777777777779</v>
      </c>
      <c r="AH16" s="7">
        <f t="shared" si="20"/>
        <v>0.75930144267274113</v>
      </c>
      <c r="AI16" s="11"/>
      <c r="AJ16" s="4">
        <v>1</v>
      </c>
      <c r="AK16" s="9">
        <v>0</v>
      </c>
      <c r="AL16" s="9">
        <v>0</v>
      </c>
      <c r="AM16" s="7">
        <f t="shared" si="21"/>
        <v>0</v>
      </c>
      <c r="AN16" s="9">
        <f t="shared" si="22"/>
        <v>0</v>
      </c>
      <c r="AO16" s="4">
        <f t="shared" si="23"/>
        <v>172.39583333333334</v>
      </c>
      <c r="AP16" s="14">
        <f t="shared" si="24"/>
        <v>0</v>
      </c>
      <c r="AQ16" s="14">
        <f t="shared" si="25"/>
        <v>0</v>
      </c>
      <c r="AR16" s="11"/>
      <c r="AS16" s="4">
        <v>12</v>
      </c>
      <c r="AT16" s="4">
        <v>99</v>
      </c>
      <c r="AU16" s="4">
        <v>24</v>
      </c>
      <c r="AV16" s="7">
        <f t="shared" si="26"/>
        <v>0.6</v>
      </c>
      <c r="AW16" s="4">
        <f t="shared" si="27"/>
        <v>288</v>
      </c>
      <c r="AX16" s="4">
        <f t="shared" si="28"/>
        <v>183.05555555555554</v>
      </c>
      <c r="AY16" s="7">
        <f t="shared" si="0"/>
        <v>0.2684063373718546</v>
      </c>
      <c r="AZ16" s="7">
        <f t="shared" si="1"/>
        <v>0.61139285293077017</v>
      </c>
      <c r="BA16" s="11"/>
      <c r="BB16" s="4">
        <v>1</v>
      </c>
      <c r="BC16" s="4">
        <v>0</v>
      </c>
      <c r="BD16" s="4">
        <v>0</v>
      </c>
      <c r="BE16" s="7">
        <f t="shared" si="29"/>
        <v>0</v>
      </c>
      <c r="BF16" s="17">
        <f t="shared" si="30"/>
        <v>0</v>
      </c>
      <c r="BG16" s="4">
        <f t="shared" si="31"/>
        <v>326</v>
      </c>
      <c r="BH16" s="7">
        <f t="shared" si="32"/>
        <v>0</v>
      </c>
      <c r="BI16" s="7">
        <f t="shared" si="33"/>
        <v>0</v>
      </c>
    </row>
    <row r="17" spans="1:61" x14ac:dyDescent="0.25">
      <c r="A17" s="4">
        <v>31</v>
      </c>
      <c r="B17" s="4">
        <v>68</v>
      </c>
      <c r="C17" s="4">
        <v>37</v>
      </c>
      <c r="D17" s="7">
        <f t="shared" si="2"/>
        <v>0.84090909090909094</v>
      </c>
      <c r="E17" s="4">
        <f t="shared" si="3"/>
        <v>1147</v>
      </c>
      <c r="F17" s="4">
        <f t="shared" si="4"/>
        <v>-586.4</v>
      </c>
      <c r="G17" s="7">
        <f t="shared" si="5"/>
        <v>0.89890282131661448</v>
      </c>
      <c r="H17" s="7">
        <f t="shared" si="6"/>
        <v>2.046022119158045</v>
      </c>
      <c r="I17" s="11"/>
      <c r="J17" s="4">
        <v>10</v>
      </c>
      <c r="K17" s="4">
        <v>94</v>
      </c>
      <c r="L17" s="4">
        <v>12</v>
      </c>
      <c r="M17" s="7">
        <f t="shared" si="7"/>
        <v>0.66666666666666663</v>
      </c>
      <c r="N17" s="4">
        <f t="shared" si="8"/>
        <v>120</v>
      </c>
      <c r="O17" s="4">
        <f t="shared" si="9"/>
        <v>-110.675</v>
      </c>
      <c r="P17" s="7">
        <f t="shared" si="10"/>
        <v>0.35294117647058826</v>
      </c>
      <c r="Q17" s="7">
        <f t="shared" si="11"/>
        <v>0.82658859996555878</v>
      </c>
      <c r="S17" s="4">
        <v>12</v>
      </c>
      <c r="T17" s="4">
        <v>138</v>
      </c>
      <c r="U17" s="4">
        <v>19</v>
      </c>
      <c r="V17" s="7">
        <f t="shared" si="12"/>
        <v>0.61290322580645162</v>
      </c>
      <c r="W17" s="4">
        <f t="shared" si="13"/>
        <v>228</v>
      </c>
      <c r="X17" s="4">
        <f t="shared" si="14"/>
        <v>63.980000000000018</v>
      </c>
      <c r="Y17" s="7">
        <f t="shared" si="15"/>
        <v>0.42222222222222222</v>
      </c>
      <c r="Z17" s="7">
        <f t="shared" si="16"/>
        <v>0.78087540242482356</v>
      </c>
      <c r="AA17" s="11"/>
      <c r="AB17" s="4">
        <v>1</v>
      </c>
      <c r="AC17" s="4">
        <v>0</v>
      </c>
      <c r="AD17" s="4">
        <v>0</v>
      </c>
      <c r="AE17" s="4">
        <f t="shared" si="17"/>
        <v>0</v>
      </c>
      <c r="AF17" s="4">
        <f t="shared" si="18"/>
        <v>0</v>
      </c>
      <c r="AG17" s="7">
        <f t="shared" si="19"/>
        <v>0</v>
      </c>
      <c r="AH17" s="7">
        <f t="shared" si="20"/>
        <v>0</v>
      </c>
      <c r="AI17" s="11"/>
      <c r="AJ17" s="4">
        <v>7</v>
      </c>
      <c r="AK17" s="4">
        <v>101</v>
      </c>
      <c r="AL17" s="4">
        <v>12</v>
      </c>
      <c r="AM17" s="7">
        <f t="shared" si="21"/>
        <v>0.6</v>
      </c>
      <c r="AN17" s="4">
        <f t="shared" si="22"/>
        <v>84</v>
      </c>
      <c r="AO17" s="4">
        <f t="shared" si="23"/>
        <v>88.395833333333343</v>
      </c>
      <c r="AP17" s="7">
        <f t="shared" si="24"/>
        <v>0.17499999999999999</v>
      </c>
      <c r="AQ17" s="7">
        <f t="shared" si="25"/>
        <v>0.48725075528700906</v>
      </c>
      <c r="AR17" s="11"/>
      <c r="AS17" s="4">
        <v>16</v>
      </c>
      <c r="AT17" s="4">
        <v>97</v>
      </c>
      <c r="AU17" s="4">
        <v>25</v>
      </c>
      <c r="AV17" s="7">
        <f t="shared" si="26"/>
        <v>0.625</v>
      </c>
      <c r="AW17" s="4">
        <f t="shared" si="27"/>
        <v>400</v>
      </c>
      <c r="AX17" s="4">
        <f t="shared" si="28"/>
        <v>71.055555555555543</v>
      </c>
      <c r="AY17" s="7">
        <f t="shared" si="0"/>
        <v>0.37278657968313139</v>
      </c>
      <c r="AZ17" s="7">
        <f t="shared" si="1"/>
        <v>0.84915674018162524</v>
      </c>
      <c r="BA17" s="11"/>
      <c r="BB17" s="4">
        <v>1</v>
      </c>
      <c r="BC17" s="4">
        <v>0</v>
      </c>
      <c r="BD17" s="4">
        <v>0</v>
      </c>
      <c r="BE17" s="7">
        <f t="shared" si="29"/>
        <v>0</v>
      </c>
      <c r="BF17" s="4">
        <f t="shared" si="30"/>
        <v>0</v>
      </c>
      <c r="BG17" s="4">
        <f t="shared" si="31"/>
        <v>326</v>
      </c>
      <c r="BH17" s="7">
        <f t="shared" si="32"/>
        <v>0</v>
      </c>
      <c r="BI17" s="7">
        <f t="shared" si="33"/>
        <v>0</v>
      </c>
    </row>
    <row r="18" spans="1:61" x14ac:dyDescent="0.25">
      <c r="A18" s="4">
        <v>30</v>
      </c>
      <c r="B18" s="6">
        <v>65</v>
      </c>
      <c r="C18" s="6">
        <v>30</v>
      </c>
      <c r="D18" s="7">
        <f t="shared" si="2"/>
        <v>0.68181818181818177</v>
      </c>
      <c r="E18" s="6">
        <f t="shared" si="3"/>
        <v>900</v>
      </c>
      <c r="F18" s="6">
        <f t="shared" si="4"/>
        <v>-339.4</v>
      </c>
      <c r="G18" s="18">
        <f t="shared" si="5"/>
        <v>0.70532915360501569</v>
      </c>
      <c r="H18" s="7">
        <f t="shared" si="6"/>
        <v>1.6054227613271495</v>
      </c>
      <c r="I18" s="11"/>
      <c r="J18" s="4">
        <v>11</v>
      </c>
      <c r="K18" s="4">
        <v>92</v>
      </c>
      <c r="L18" s="4">
        <v>12</v>
      </c>
      <c r="M18" s="7">
        <f t="shared" si="7"/>
        <v>0.66666666666666663</v>
      </c>
      <c r="N18" s="4">
        <f t="shared" si="8"/>
        <v>132</v>
      </c>
      <c r="O18" s="4">
        <f t="shared" si="9"/>
        <v>-122.675</v>
      </c>
      <c r="P18" s="7">
        <f t="shared" si="10"/>
        <v>0.38823529411764707</v>
      </c>
      <c r="Q18" s="7">
        <f t="shared" si="11"/>
        <v>0.90924745996211465</v>
      </c>
      <c r="S18" s="4">
        <v>11</v>
      </c>
      <c r="T18" s="4">
        <v>136</v>
      </c>
      <c r="U18" s="4">
        <v>17</v>
      </c>
      <c r="V18" s="7">
        <f t="shared" si="12"/>
        <v>0.54838709677419351</v>
      </c>
      <c r="W18" s="4">
        <f t="shared" si="13"/>
        <v>187</v>
      </c>
      <c r="X18" s="4">
        <f t="shared" si="14"/>
        <v>104.98000000000002</v>
      </c>
      <c r="Y18" s="7">
        <f t="shared" si="15"/>
        <v>0.34629629629629627</v>
      </c>
      <c r="Z18" s="7">
        <f t="shared" si="16"/>
        <v>0.64045482567299128</v>
      </c>
      <c r="AA18" s="11"/>
      <c r="AB18" s="4">
        <v>11</v>
      </c>
      <c r="AC18" s="4">
        <v>112</v>
      </c>
      <c r="AD18" s="4">
        <v>11</v>
      </c>
      <c r="AE18" s="4">
        <f t="shared" si="17"/>
        <v>121</v>
      </c>
      <c r="AF18" s="4">
        <f t="shared" si="18"/>
        <v>-121</v>
      </c>
      <c r="AG18" s="7">
        <f t="shared" si="19"/>
        <v>0.33611111111111114</v>
      </c>
      <c r="AH18" s="7">
        <f t="shared" si="20"/>
        <v>0.91875474563401682</v>
      </c>
      <c r="AI18" s="11"/>
      <c r="AJ18" s="4">
        <v>9</v>
      </c>
      <c r="AK18" s="4">
        <v>99</v>
      </c>
      <c r="AL18" s="4">
        <v>13</v>
      </c>
      <c r="AM18" s="7">
        <f t="shared" si="21"/>
        <v>0.65</v>
      </c>
      <c r="AN18" s="4">
        <f t="shared" si="22"/>
        <v>117</v>
      </c>
      <c r="AO18" s="4">
        <f t="shared" si="23"/>
        <v>55.395833333333343</v>
      </c>
      <c r="AP18" s="7">
        <f t="shared" si="24"/>
        <v>0.24374999999999999</v>
      </c>
      <c r="AQ18" s="7">
        <f t="shared" si="25"/>
        <v>0.6786706948640483</v>
      </c>
      <c r="AR18" s="11"/>
      <c r="AS18" s="4">
        <v>19</v>
      </c>
      <c r="AT18" s="4">
        <v>95</v>
      </c>
      <c r="AU18" s="4">
        <v>30</v>
      </c>
      <c r="AV18" s="7">
        <f t="shared" si="26"/>
        <v>0.75</v>
      </c>
      <c r="AW18" s="4">
        <f t="shared" si="27"/>
        <v>570</v>
      </c>
      <c r="AX18" s="4">
        <f t="shared" si="28"/>
        <v>-98.944444444444457</v>
      </c>
      <c r="AY18" s="7">
        <f t="shared" si="0"/>
        <v>0.53122087604846224</v>
      </c>
      <c r="AZ18" s="7">
        <f t="shared" si="1"/>
        <v>1.2100483547588159</v>
      </c>
      <c r="BA18" s="11"/>
      <c r="BB18" s="4">
        <v>1</v>
      </c>
      <c r="BC18" s="4">
        <v>0</v>
      </c>
      <c r="BD18" s="4">
        <v>0</v>
      </c>
      <c r="BE18" s="7">
        <f t="shared" si="29"/>
        <v>0</v>
      </c>
      <c r="BF18" s="4">
        <f t="shared" si="30"/>
        <v>0</v>
      </c>
      <c r="BG18" s="4">
        <f t="shared" si="31"/>
        <v>326</v>
      </c>
      <c r="BH18" s="7">
        <f t="shared" si="32"/>
        <v>0</v>
      </c>
      <c r="BI18" s="7">
        <f t="shared" si="33"/>
        <v>0</v>
      </c>
    </row>
    <row r="19" spans="1:61" x14ac:dyDescent="0.25">
      <c r="A19" s="4">
        <v>27</v>
      </c>
      <c r="B19" s="4">
        <v>64</v>
      </c>
      <c r="C19" s="4">
        <v>25</v>
      </c>
      <c r="D19" s="7">
        <f t="shared" si="2"/>
        <v>0.56818181818181823</v>
      </c>
      <c r="E19" s="4">
        <f t="shared" si="3"/>
        <v>675</v>
      </c>
      <c r="F19" s="4">
        <f t="shared" si="4"/>
        <v>-114.39999999999998</v>
      </c>
      <c r="G19" s="7">
        <f t="shared" si="5"/>
        <v>0.52899686520376177</v>
      </c>
      <c r="H19" s="7">
        <f t="shared" si="6"/>
        <v>1.204067070995362</v>
      </c>
      <c r="I19" s="11"/>
      <c r="J19" s="4">
        <v>12</v>
      </c>
      <c r="K19" s="4">
        <v>90</v>
      </c>
      <c r="L19" s="4">
        <v>13</v>
      </c>
      <c r="M19" s="7">
        <f t="shared" si="7"/>
        <v>0.72222222222222221</v>
      </c>
      <c r="N19" s="4">
        <f t="shared" si="8"/>
        <v>156</v>
      </c>
      <c r="O19" s="4">
        <f t="shared" si="9"/>
        <v>-146.67500000000001</v>
      </c>
      <c r="P19" s="7">
        <f t="shared" si="10"/>
        <v>0.45882352941176469</v>
      </c>
      <c r="Q19" s="7">
        <f t="shared" si="11"/>
        <v>1.0745651799552263</v>
      </c>
      <c r="S19" s="4">
        <v>10</v>
      </c>
      <c r="T19" s="4">
        <v>134</v>
      </c>
      <c r="U19" s="4">
        <v>15</v>
      </c>
      <c r="V19" s="7">
        <f t="shared" si="12"/>
        <v>0.4838709677419355</v>
      </c>
      <c r="W19" s="4">
        <f t="shared" si="13"/>
        <v>150</v>
      </c>
      <c r="X19" s="4">
        <f t="shared" si="14"/>
        <v>141.98000000000002</v>
      </c>
      <c r="Y19" s="7">
        <f t="shared" si="15"/>
        <v>0.27777777777777779</v>
      </c>
      <c r="Z19" s="7">
        <f t="shared" si="16"/>
        <v>0.51373381738475232</v>
      </c>
      <c r="AA19" s="11"/>
      <c r="AB19" s="4">
        <v>10</v>
      </c>
      <c r="AC19" s="4">
        <v>110</v>
      </c>
      <c r="AD19" s="4">
        <v>10</v>
      </c>
      <c r="AE19" s="4">
        <f t="shared" si="17"/>
        <v>100</v>
      </c>
      <c r="AF19" s="4">
        <f t="shared" si="18"/>
        <v>-100</v>
      </c>
      <c r="AG19" s="7">
        <f t="shared" si="19"/>
        <v>0.27777777777777779</v>
      </c>
      <c r="AH19" s="7">
        <f t="shared" si="20"/>
        <v>0.75930144267274113</v>
      </c>
      <c r="AI19" s="11"/>
      <c r="AJ19" s="4">
        <v>1</v>
      </c>
      <c r="AK19" s="4">
        <v>0</v>
      </c>
      <c r="AL19" s="4">
        <v>0</v>
      </c>
      <c r="AM19" s="7">
        <f t="shared" si="21"/>
        <v>0</v>
      </c>
      <c r="AN19" s="4">
        <f t="shared" si="22"/>
        <v>0</v>
      </c>
      <c r="AO19" s="4">
        <f t="shared" si="23"/>
        <v>172.39583333333334</v>
      </c>
      <c r="AP19" s="7">
        <f t="shared" si="24"/>
        <v>0</v>
      </c>
      <c r="AQ19" s="7">
        <f t="shared" si="25"/>
        <v>0</v>
      </c>
      <c r="AR19" s="11"/>
      <c r="AS19" s="4">
        <v>17</v>
      </c>
      <c r="AT19" s="4">
        <v>92</v>
      </c>
      <c r="AU19" s="4">
        <v>32</v>
      </c>
      <c r="AV19" s="7">
        <f t="shared" si="26"/>
        <v>0.8</v>
      </c>
      <c r="AW19" s="4">
        <f t="shared" si="27"/>
        <v>544</v>
      </c>
      <c r="AX19" s="4">
        <f t="shared" si="28"/>
        <v>-72.944444444444457</v>
      </c>
      <c r="AY19" s="7">
        <f t="shared" si="0"/>
        <v>0.50698974836905875</v>
      </c>
      <c r="AZ19" s="7">
        <f t="shared" si="1"/>
        <v>1.1548531666470103</v>
      </c>
      <c r="BA19" s="11"/>
      <c r="BB19" s="9">
        <v>11</v>
      </c>
      <c r="BC19" s="9">
        <v>96</v>
      </c>
      <c r="BD19" s="9">
        <v>22</v>
      </c>
      <c r="BE19" s="7">
        <f t="shared" si="29"/>
        <v>0.55000000000000004</v>
      </c>
      <c r="BF19" s="9">
        <f t="shared" si="30"/>
        <v>242</v>
      </c>
      <c r="BG19" s="9">
        <f t="shared" si="31"/>
        <v>84</v>
      </c>
      <c r="BH19" s="14">
        <f t="shared" si="32"/>
        <v>0.20016542597187759</v>
      </c>
      <c r="BI19" s="14">
        <f t="shared" si="33"/>
        <v>0.74233128834355833</v>
      </c>
    </row>
    <row r="20" spans="1:61" x14ac:dyDescent="0.25">
      <c r="A20" s="4">
        <v>27</v>
      </c>
      <c r="B20" s="4">
        <v>61</v>
      </c>
      <c r="C20" s="4">
        <v>22</v>
      </c>
      <c r="D20" s="7">
        <f t="shared" si="2"/>
        <v>0.5</v>
      </c>
      <c r="E20" s="4">
        <f t="shared" si="3"/>
        <v>594</v>
      </c>
      <c r="F20" s="4">
        <f t="shared" si="4"/>
        <v>-33.399999999999977</v>
      </c>
      <c r="G20" s="7">
        <f t="shared" si="5"/>
        <v>0.46551724137931033</v>
      </c>
      <c r="H20" s="7">
        <f t="shared" si="6"/>
        <v>1.0595790224759185</v>
      </c>
      <c r="I20" s="11"/>
      <c r="J20" s="4">
        <v>1</v>
      </c>
      <c r="K20" s="4">
        <v>0</v>
      </c>
      <c r="L20" s="4">
        <v>0</v>
      </c>
      <c r="M20" s="7">
        <f t="shared" si="7"/>
        <v>0</v>
      </c>
      <c r="N20" s="4">
        <f t="shared" si="8"/>
        <v>0</v>
      </c>
      <c r="O20" s="4">
        <f t="shared" si="9"/>
        <v>9.3249999999999993</v>
      </c>
      <c r="P20" s="7">
        <f t="shared" si="10"/>
        <v>0</v>
      </c>
      <c r="Q20" s="7">
        <f t="shared" si="11"/>
        <v>0</v>
      </c>
      <c r="S20" s="4">
        <v>12</v>
      </c>
      <c r="T20" s="4">
        <v>132</v>
      </c>
      <c r="U20" s="4">
        <v>15</v>
      </c>
      <c r="V20" s="7">
        <f t="shared" si="12"/>
        <v>0.4838709677419355</v>
      </c>
      <c r="W20" s="4">
        <f t="shared" si="13"/>
        <v>180</v>
      </c>
      <c r="X20" s="4">
        <f t="shared" si="14"/>
        <v>111.98000000000002</v>
      </c>
      <c r="Y20" s="7">
        <f t="shared" si="15"/>
        <v>0.33333333333333331</v>
      </c>
      <c r="Z20" s="7">
        <f t="shared" si="16"/>
        <v>0.61648058086170276</v>
      </c>
      <c r="AA20" s="11"/>
      <c r="AB20" s="4">
        <v>10</v>
      </c>
      <c r="AC20" s="4">
        <v>108</v>
      </c>
      <c r="AD20" s="4">
        <v>10</v>
      </c>
      <c r="AE20" s="4">
        <f t="shared" si="17"/>
        <v>100</v>
      </c>
      <c r="AF20" s="4">
        <f t="shared" si="18"/>
        <v>-100</v>
      </c>
      <c r="AG20" s="7">
        <f t="shared" si="19"/>
        <v>0.27777777777777779</v>
      </c>
      <c r="AH20" s="7">
        <f t="shared" si="20"/>
        <v>0.75930144267274113</v>
      </c>
      <c r="AI20" s="11"/>
      <c r="AJ20" s="4">
        <v>10</v>
      </c>
      <c r="AK20" s="4">
        <v>97</v>
      </c>
      <c r="AL20" s="4">
        <v>15</v>
      </c>
      <c r="AM20" s="7">
        <f t="shared" si="21"/>
        <v>0.75</v>
      </c>
      <c r="AN20" s="4">
        <f t="shared" si="22"/>
        <v>150</v>
      </c>
      <c r="AO20" s="4">
        <f t="shared" si="23"/>
        <v>22.395833333333343</v>
      </c>
      <c r="AP20" s="7">
        <f t="shared" si="24"/>
        <v>0.3125</v>
      </c>
      <c r="AQ20" s="7">
        <f t="shared" si="25"/>
        <v>0.87009063444108758</v>
      </c>
      <c r="AR20" s="11"/>
      <c r="AS20" s="4">
        <v>18</v>
      </c>
      <c r="AT20" s="4">
        <v>90</v>
      </c>
      <c r="AU20" s="4">
        <v>32</v>
      </c>
      <c r="AV20" s="7">
        <f t="shared" si="26"/>
        <v>0.8</v>
      </c>
      <c r="AW20" s="4">
        <f t="shared" si="27"/>
        <v>576</v>
      </c>
      <c r="AX20" s="4">
        <f t="shared" si="28"/>
        <v>-104.94444444444446</v>
      </c>
      <c r="AY20" s="7">
        <f t="shared" si="0"/>
        <v>0.5368126747437092</v>
      </c>
      <c r="AZ20" s="7">
        <f t="shared" si="1"/>
        <v>1.2227857058615403</v>
      </c>
      <c r="BA20" s="11"/>
      <c r="BB20" s="4">
        <v>1</v>
      </c>
      <c r="BC20" s="4">
        <v>0</v>
      </c>
      <c r="BD20" s="4">
        <v>0</v>
      </c>
      <c r="BE20" s="7">
        <f t="shared" si="29"/>
        <v>0</v>
      </c>
      <c r="BF20" s="4">
        <f t="shared" si="30"/>
        <v>0</v>
      </c>
      <c r="BG20" s="4">
        <f t="shared" si="31"/>
        <v>326</v>
      </c>
      <c r="BH20" s="7">
        <f t="shared" si="32"/>
        <v>0</v>
      </c>
      <c r="BI20" s="7">
        <f t="shared" si="33"/>
        <v>0</v>
      </c>
    </row>
    <row r="21" spans="1:61" x14ac:dyDescent="0.25">
      <c r="A21" s="4">
        <v>30</v>
      </c>
      <c r="B21" s="4">
        <v>60</v>
      </c>
      <c r="C21" s="4">
        <v>22</v>
      </c>
      <c r="D21" s="7">
        <f t="shared" si="2"/>
        <v>0.5</v>
      </c>
      <c r="E21" s="4">
        <f t="shared" si="3"/>
        <v>660</v>
      </c>
      <c r="F21" s="4">
        <f t="shared" si="4"/>
        <v>-99.399999999999977</v>
      </c>
      <c r="G21" s="7">
        <f t="shared" si="5"/>
        <v>0.51724137931034486</v>
      </c>
      <c r="H21" s="7">
        <f t="shared" si="6"/>
        <v>1.1773100249732429</v>
      </c>
      <c r="I21" s="11"/>
      <c r="J21" s="4">
        <v>14</v>
      </c>
      <c r="K21" s="4">
        <v>89</v>
      </c>
      <c r="L21" s="4">
        <v>13</v>
      </c>
      <c r="M21" s="7">
        <f t="shared" si="7"/>
        <v>0.72222222222222221</v>
      </c>
      <c r="N21" s="4">
        <f t="shared" si="8"/>
        <v>182</v>
      </c>
      <c r="O21" s="4">
        <f t="shared" si="9"/>
        <v>-172.67500000000001</v>
      </c>
      <c r="P21" s="7">
        <f t="shared" si="10"/>
        <v>0.53529411764705881</v>
      </c>
      <c r="Q21" s="7">
        <f t="shared" si="11"/>
        <v>1.2536593766144308</v>
      </c>
      <c r="S21" s="4">
        <v>11</v>
      </c>
      <c r="T21" s="4">
        <v>131</v>
      </c>
      <c r="U21" s="4">
        <v>22</v>
      </c>
      <c r="V21" s="7">
        <f t="shared" si="12"/>
        <v>0.70967741935483875</v>
      </c>
      <c r="W21" s="4">
        <f t="shared" si="13"/>
        <v>242</v>
      </c>
      <c r="X21" s="4">
        <f t="shared" si="14"/>
        <v>49.980000000000018</v>
      </c>
      <c r="Y21" s="7">
        <f t="shared" si="15"/>
        <v>0.44814814814814813</v>
      </c>
      <c r="Z21" s="7">
        <f t="shared" si="16"/>
        <v>0.82882389204740048</v>
      </c>
      <c r="AA21" s="11"/>
      <c r="AB21" s="4">
        <v>14</v>
      </c>
      <c r="AC21" s="4">
        <v>107</v>
      </c>
      <c r="AD21" s="4">
        <v>14</v>
      </c>
      <c r="AE21" s="4">
        <f t="shared" si="17"/>
        <v>196</v>
      </c>
      <c r="AF21" s="4">
        <f t="shared" si="18"/>
        <v>-196</v>
      </c>
      <c r="AG21" s="7">
        <f t="shared" si="19"/>
        <v>0.5444444444444444</v>
      </c>
      <c r="AH21" s="7">
        <f t="shared" si="20"/>
        <v>1.4882308276385727</v>
      </c>
      <c r="AI21" s="11"/>
      <c r="AJ21" s="4">
        <v>1</v>
      </c>
      <c r="AK21" s="4">
        <v>0</v>
      </c>
      <c r="AL21" s="4">
        <v>0</v>
      </c>
      <c r="AM21" s="7">
        <f t="shared" si="21"/>
        <v>0</v>
      </c>
      <c r="AN21" s="4">
        <f t="shared" si="22"/>
        <v>0</v>
      </c>
      <c r="AO21" s="4">
        <f t="shared" si="23"/>
        <v>172.39583333333334</v>
      </c>
      <c r="AP21" s="7">
        <f t="shared" si="24"/>
        <v>0</v>
      </c>
      <c r="AQ21" s="7">
        <f t="shared" si="25"/>
        <v>0</v>
      </c>
      <c r="AR21" s="11"/>
      <c r="AS21" s="4">
        <v>19</v>
      </c>
      <c r="AT21" s="4">
        <v>89</v>
      </c>
      <c r="AU21" s="4">
        <v>36</v>
      </c>
      <c r="AV21" s="7">
        <f t="shared" si="26"/>
        <v>0.9</v>
      </c>
      <c r="AW21" s="4">
        <f t="shared" si="27"/>
        <v>684</v>
      </c>
      <c r="AX21" s="4">
        <f t="shared" si="28"/>
        <v>-212.94444444444446</v>
      </c>
      <c r="AY21" s="7">
        <f t="shared" si="0"/>
        <v>0.63746505125815467</v>
      </c>
      <c r="AZ21" s="7">
        <f t="shared" si="1"/>
        <v>1.4520580257105791</v>
      </c>
      <c r="BA21" s="11"/>
      <c r="BB21" s="4">
        <v>13</v>
      </c>
      <c r="BC21" s="4">
        <v>93</v>
      </c>
      <c r="BD21" s="4">
        <v>25</v>
      </c>
      <c r="BE21" s="7">
        <f t="shared" si="29"/>
        <v>0.625</v>
      </c>
      <c r="BF21" s="4">
        <f t="shared" si="30"/>
        <v>325</v>
      </c>
      <c r="BG21" s="4">
        <f t="shared" si="31"/>
        <v>1</v>
      </c>
      <c r="BH21" s="7">
        <f t="shared" si="32"/>
        <v>0.26881720430107525</v>
      </c>
      <c r="BI21" s="7">
        <f t="shared" si="33"/>
        <v>0.99693251533742333</v>
      </c>
    </row>
    <row r="22" spans="1:61" x14ac:dyDescent="0.25">
      <c r="A22" s="4">
        <v>19</v>
      </c>
      <c r="B22" s="4">
        <v>58</v>
      </c>
      <c r="C22" s="4">
        <v>16</v>
      </c>
      <c r="D22" s="7">
        <f t="shared" si="2"/>
        <v>0.36363636363636365</v>
      </c>
      <c r="E22" s="4">
        <f t="shared" si="3"/>
        <v>304</v>
      </c>
      <c r="F22" s="4">
        <f t="shared" si="4"/>
        <v>256.60000000000002</v>
      </c>
      <c r="G22" s="7">
        <f t="shared" si="5"/>
        <v>0.23824451410658307</v>
      </c>
      <c r="H22" s="7">
        <f t="shared" si="6"/>
        <v>0.54227613271494823</v>
      </c>
      <c r="I22" s="11"/>
      <c r="J22" s="4">
        <v>17</v>
      </c>
      <c r="K22" s="4">
        <v>87</v>
      </c>
      <c r="L22" s="4">
        <v>17</v>
      </c>
      <c r="M22" s="7">
        <f t="shared" si="7"/>
        <v>0.94444444444444442</v>
      </c>
      <c r="N22" s="4">
        <f t="shared" si="8"/>
        <v>289</v>
      </c>
      <c r="O22" s="4">
        <f t="shared" si="9"/>
        <v>-279.67500000000001</v>
      </c>
      <c r="P22" s="7">
        <f t="shared" si="10"/>
        <v>0.85</v>
      </c>
      <c r="Q22" s="7">
        <f t="shared" si="11"/>
        <v>1.9907008782503872</v>
      </c>
      <c r="S22" s="4">
        <v>11</v>
      </c>
      <c r="T22" s="4">
        <v>129</v>
      </c>
      <c r="U22" s="4">
        <v>22</v>
      </c>
      <c r="V22" s="7">
        <f t="shared" si="12"/>
        <v>0.70967741935483875</v>
      </c>
      <c r="W22" s="4">
        <f t="shared" si="13"/>
        <v>242</v>
      </c>
      <c r="X22" s="4">
        <f t="shared" si="14"/>
        <v>49.980000000000018</v>
      </c>
      <c r="Y22" s="7">
        <f t="shared" si="15"/>
        <v>0.44814814814814813</v>
      </c>
      <c r="Z22" s="7">
        <f t="shared" si="16"/>
        <v>0.82882389204740048</v>
      </c>
      <c r="AA22" s="11"/>
      <c r="AB22" s="4">
        <v>2</v>
      </c>
      <c r="AC22" s="4">
        <v>0</v>
      </c>
      <c r="AD22" s="4">
        <v>0</v>
      </c>
      <c r="AE22" s="4">
        <f t="shared" si="17"/>
        <v>0</v>
      </c>
      <c r="AF22" s="4">
        <f t="shared" si="18"/>
        <v>0</v>
      </c>
      <c r="AG22" s="7">
        <f t="shared" si="19"/>
        <v>0</v>
      </c>
      <c r="AH22" s="7">
        <f t="shared" si="20"/>
        <v>0</v>
      </c>
      <c r="AI22" s="11"/>
      <c r="AJ22" s="4">
        <v>16</v>
      </c>
      <c r="AK22" s="4">
        <v>95</v>
      </c>
      <c r="AL22" s="4">
        <v>19</v>
      </c>
      <c r="AM22" s="7">
        <f t="shared" si="21"/>
        <v>0.95</v>
      </c>
      <c r="AN22" s="4">
        <f t="shared" si="22"/>
        <v>304</v>
      </c>
      <c r="AO22" s="4">
        <f t="shared" si="23"/>
        <v>-131.60416666666666</v>
      </c>
      <c r="AP22" s="7">
        <f t="shared" si="24"/>
        <v>0.6333333333333333</v>
      </c>
      <c r="AQ22" s="7">
        <f t="shared" si="25"/>
        <v>1.7633836858006042</v>
      </c>
      <c r="AR22" s="11"/>
      <c r="AS22" s="4">
        <v>22</v>
      </c>
      <c r="AT22" s="4">
        <v>87</v>
      </c>
      <c r="AU22" s="4">
        <v>40</v>
      </c>
      <c r="AV22" s="7">
        <f t="shared" si="26"/>
        <v>1</v>
      </c>
      <c r="AW22" s="4">
        <f t="shared" si="27"/>
        <v>880</v>
      </c>
      <c r="AX22" s="4">
        <f t="shared" si="28"/>
        <v>-408.94444444444446</v>
      </c>
      <c r="AY22" s="7">
        <f t="shared" si="0"/>
        <v>0.82013047530288907</v>
      </c>
      <c r="AZ22" s="7">
        <f t="shared" si="1"/>
        <v>1.8681448283995754</v>
      </c>
      <c r="BA22" s="11"/>
      <c r="BB22" s="4">
        <v>15</v>
      </c>
      <c r="BC22" s="4">
        <v>91</v>
      </c>
      <c r="BD22" s="4">
        <v>28</v>
      </c>
      <c r="BE22" s="7">
        <f t="shared" si="29"/>
        <v>0.7</v>
      </c>
      <c r="BF22" s="4">
        <f t="shared" si="30"/>
        <v>420</v>
      </c>
      <c r="BG22" s="4">
        <f t="shared" si="31"/>
        <v>-94</v>
      </c>
      <c r="BH22" s="7">
        <f t="shared" si="32"/>
        <v>0.34739454094292804</v>
      </c>
      <c r="BI22" s="7">
        <f t="shared" si="33"/>
        <v>1.2883435582822085</v>
      </c>
    </row>
    <row r="23" spans="1:61" x14ac:dyDescent="0.25">
      <c r="C23" s="4">
        <f>AVERAGE(C3:C22)</f>
        <v>23.8</v>
      </c>
      <c r="D23" s="7"/>
      <c r="E23" s="13">
        <f>MAX(E2:E22)</f>
        <v>1276</v>
      </c>
      <c r="G23" s="10" t="s">
        <v>6</v>
      </c>
      <c r="H23" s="10"/>
      <c r="I23" s="11"/>
      <c r="J23" s="4">
        <v>16</v>
      </c>
      <c r="K23" s="4">
        <v>86</v>
      </c>
      <c r="L23" s="4">
        <v>18</v>
      </c>
      <c r="M23" s="7">
        <f t="shared" si="7"/>
        <v>1</v>
      </c>
      <c r="N23" s="4">
        <f t="shared" si="8"/>
        <v>288</v>
      </c>
      <c r="O23" s="4">
        <f t="shared" si="9"/>
        <v>-278.67500000000001</v>
      </c>
      <c r="P23" s="7">
        <f t="shared" si="10"/>
        <v>0.84705882352941175</v>
      </c>
      <c r="Q23" s="7">
        <f>N23/N$43</f>
        <v>1.983812639917341</v>
      </c>
      <c r="S23" s="4">
        <v>11</v>
      </c>
      <c r="T23" s="4">
        <v>128</v>
      </c>
      <c r="U23" s="4">
        <v>23</v>
      </c>
      <c r="V23" s="7">
        <f t="shared" si="12"/>
        <v>0.74193548387096775</v>
      </c>
      <c r="W23" s="4">
        <f t="shared" si="13"/>
        <v>253</v>
      </c>
      <c r="X23" s="4">
        <f t="shared" si="14"/>
        <v>38.980000000000018</v>
      </c>
      <c r="Y23" s="7">
        <f t="shared" si="15"/>
        <v>0.4685185185185185</v>
      </c>
      <c r="Z23" s="7">
        <f t="shared" si="16"/>
        <v>0.86649770532228232</v>
      </c>
      <c r="AA23" s="11"/>
      <c r="AB23" s="4">
        <v>17</v>
      </c>
      <c r="AC23" s="4">
        <v>106</v>
      </c>
      <c r="AD23" s="4">
        <v>16</v>
      </c>
      <c r="AE23" s="4">
        <f t="shared" si="17"/>
        <v>272</v>
      </c>
      <c r="AF23" s="4">
        <f t="shared" si="18"/>
        <v>-272</v>
      </c>
      <c r="AG23" s="7">
        <f t="shared" si="19"/>
        <v>0.75555555555555554</v>
      </c>
      <c r="AH23" s="7">
        <f t="shared" si="20"/>
        <v>2.0652999240698557</v>
      </c>
      <c r="AI23" s="11"/>
      <c r="AJ23" s="4">
        <v>1</v>
      </c>
      <c r="AK23" s="4">
        <v>0</v>
      </c>
      <c r="AL23" s="4">
        <v>0</v>
      </c>
      <c r="AM23" s="7">
        <f t="shared" si="21"/>
        <v>0</v>
      </c>
      <c r="AN23" s="4">
        <f t="shared" si="22"/>
        <v>0</v>
      </c>
      <c r="AO23" s="4">
        <f t="shared" si="23"/>
        <v>172.39583333333334</v>
      </c>
      <c r="AP23" s="7">
        <f t="shared" si="24"/>
        <v>0</v>
      </c>
      <c r="AQ23" s="7">
        <f t="shared" si="25"/>
        <v>0</v>
      </c>
      <c r="AR23" s="11"/>
      <c r="AS23" s="4">
        <v>23</v>
      </c>
      <c r="AT23" s="4">
        <v>85</v>
      </c>
      <c r="AU23" s="4">
        <v>36</v>
      </c>
      <c r="AV23" s="7">
        <f t="shared" si="26"/>
        <v>0.9</v>
      </c>
      <c r="AW23" s="4">
        <f t="shared" si="27"/>
        <v>828</v>
      </c>
      <c r="AX23" s="4">
        <f t="shared" si="28"/>
        <v>-356.94444444444446</v>
      </c>
      <c r="AY23" s="7">
        <f t="shared" si="0"/>
        <v>0.77166821994408197</v>
      </c>
      <c r="AZ23" s="7">
        <f t="shared" si="1"/>
        <v>1.7577544521759643</v>
      </c>
      <c r="BA23" s="11"/>
      <c r="BB23" s="4">
        <v>1</v>
      </c>
      <c r="BC23" s="4">
        <v>0</v>
      </c>
      <c r="BD23" s="4">
        <v>0</v>
      </c>
      <c r="BE23" s="7">
        <f t="shared" si="29"/>
        <v>0</v>
      </c>
      <c r="BF23" s="4">
        <f t="shared" si="30"/>
        <v>0</v>
      </c>
      <c r="BG23" s="4">
        <f t="shared" si="31"/>
        <v>326</v>
      </c>
      <c r="BH23" s="7">
        <f t="shared" si="32"/>
        <v>0</v>
      </c>
      <c r="BI23" s="7">
        <f t="shared" si="33"/>
        <v>0</v>
      </c>
    </row>
    <row r="24" spans="1:61" x14ac:dyDescent="0.25">
      <c r="C24" s="4">
        <f>MAX(C2:C22)</f>
        <v>44</v>
      </c>
      <c r="E24" s="13">
        <f>AVERAGE(E3:E22)</f>
        <v>560.6</v>
      </c>
      <c r="G24" s="10"/>
      <c r="H24" s="10"/>
      <c r="I24" s="11"/>
      <c r="J24" s="4">
        <v>16</v>
      </c>
      <c r="K24" s="4">
        <v>84</v>
      </c>
      <c r="L24" s="4">
        <v>17</v>
      </c>
      <c r="M24" s="7">
        <f t="shared" si="7"/>
        <v>0.94444444444444442</v>
      </c>
      <c r="N24" s="4">
        <f t="shared" si="8"/>
        <v>272</v>
      </c>
      <c r="O24" s="4">
        <f t="shared" si="9"/>
        <v>-262.67500000000001</v>
      </c>
      <c r="P24" s="7">
        <f t="shared" si="10"/>
        <v>0.8</v>
      </c>
      <c r="Q24" s="7">
        <f t="shared" si="11"/>
        <v>1.8736008265885997</v>
      </c>
      <c r="S24" s="4">
        <v>12</v>
      </c>
      <c r="T24" s="4">
        <v>127</v>
      </c>
      <c r="U24" s="4">
        <v>28</v>
      </c>
      <c r="V24" s="7">
        <f t="shared" si="12"/>
        <v>0.90322580645161288</v>
      </c>
      <c r="W24" s="4">
        <f t="shared" si="13"/>
        <v>336</v>
      </c>
      <c r="X24" s="4">
        <f t="shared" si="14"/>
        <v>-44.019999999999982</v>
      </c>
      <c r="Y24" s="7">
        <f t="shared" si="15"/>
        <v>0.62222222222222223</v>
      </c>
      <c r="Z24" s="7">
        <f t="shared" si="16"/>
        <v>1.1507637509418454</v>
      </c>
      <c r="AA24" s="11"/>
      <c r="AB24" s="4">
        <v>15</v>
      </c>
      <c r="AC24" s="4">
        <v>104</v>
      </c>
      <c r="AD24" s="4">
        <v>12</v>
      </c>
      <c r="AE24" s="4">
        <f t="shared" si="17"/>
        <v>180</v>
      </c>
      <c r="AF24" s="4">
        <f t="shared" si="18"/>
        <v>-180</v>
      </c>
      <c r="AG24" s="7">
        <f t="shared" si="19"/>
        <v>0.5</v>
      </c>
      <c r="AH24" s="7">
        <f t="shared" si="20"/>
        <v>1.3667425968109341</v>
      </c>
      <c r="AI24" s="11"/>
      <c r="AJ24" s="4">
        <v>14</v>
      </c>
      <c r="AK24" s="4">
        <v>93</v>
      </c>
      <c r="AL24" s="4">
        <v>16</v>
      </c>
      <c r="AM24" s="7">
        <f t="shared" si="21"/>
        <v>0.8</v>
      </c>
      <c r="AN24" s="4">
        <f t="shared" si="22"/>
        <v>224</v>
      </c>
      <c r="AO24" s="4">
        <f t="shared" si="23"/>
        <v>-51.604166666666657</v>
      </c>
      <c r="AP24" s="7">
        <f t="shared" si="24"/>
        <v>0.46666666666666667</v>
      </c>
      <c r="AQ24" s="7">
        <f t="shared" si="25"/>
        <v>1.2993353474320242</v>
      </c>
      <c r="AR24" s="11"/>
      <c r="AS24" s="4">
        <v>24</v>
      </c>
      <c r="AT24" s="4">
        <v>84</v>
      </c>
      <c r="AU24" s="4">
        <v>36</v>
      </c>
      <c r="AV24" s="7">
        <f t="shared" si="26"/>
        <v>0.9</v>
      </c>
      <c r="AW24" s="4">
        <f t="shared" si="27"/>
        <v>864</v>
      </c>
      <c r="AX24" s="4">
        <f t="shared" si="28"/>
        <v>-392.94444444444446</v>
      </c>
      <c r="AY24" s="7">
        <f t="shared" si="0"/>
        <v>0.80521901211556379</v>
      </c>
      <c r="AZ24" s="7">
        <f t="shared" si="1"/>
        <v>1.8341785587923105</v>
      </c>
      <c r="BA24" s="11"/>
      <c r="BB24" s="4">
        <v>17</v>
      </c>
      <c r="BC24" s="4">
        <v>88</v>
      </c>
      <c r="BD24" s="4">
        <v>31</v>
      </c>
      <c r="BE24" s="7">
        <f t="shared" si="29"/>
        <v>0.77500000000000002</v>
      </c>
      <c r="BF24" s="4">
        <f t="shared" si="30"/>
        <v>527</v>
      </c>
      <c r="BG24" s="4">
        <f t="shared" si="31"/>
        <v>-201</v>
      </c>
      <c r="BH24" s="7">
        <f t="shared" si="32"/>
        <v>0.4358974358974359</v>
      </c>
      <c r="BI24" s="7">
        <f t="shared" si="33"/>
        <v>1.6165644171779141</v>
      </c>
    </row>
    <row r="25" spans="1:61" x14ac:dyDescent="0.25">
      <c r="G25" s="10"/>
      <c r="H25" s="10"/>
      <c r="I25" s="11"/>
      <c r="J25" s="4">
        <v>15</v>
      </c>
      <c r="K25" s="4">
        <v>83</v>
      </c>
      <c r="L25" s="4">
        <v>15</v>
      </c>
      <c r="M25" s="7">
        <f t="shared" si="7"/>
        <v>0.83333333333333337</v>
      </c>
      <c r="N25" s="4">
        <f t="shared" si="8"/>
        <v>225</v>
      </c>
      <c r="O25" s="4">
        <f t="shared" si="9"/>
        <v>-215.67500000000001</v>
      </c>
      <c r="P25" s="7">
        <f t="shared" si="10"/>
        <v>0.66176470588235292</v>
      </c>
      <c r="Q25" s="7">
        <f t="shared" si="11"/>
        <v>1.5498536249354227</v>
      </c>
      <c r="S25" s="4">
        <v>12</v>
      </c>
      <c r="T25" s="4">
        <v>125</v>
      </c>
      <c r="U25" s="4">
        <v>28</v>
      </c>
      <c r="V25" s="7">
        <f t="shared" si="12"/>
        <v>0.90322580645161288</v>
      </c>
      <c r="W25" s="4">
        <f t="shared" si="13"/>
        <v>336</v>
      </c>
      <c r="X25" s="4">
        <f t="shared" si="14"/>
        <v>-44.019999999999982</v>
      </c>
      <c r="Y25" s="7">
        <f t="shared" si="15"/>
        <v>0.62222222222222223</v>
      </c>
      <c r="Z25" s="7">
        <f t="shared" si="16"/>
        <v>1.1507637509418454</v>
      </c>
      <c r="AA25" s="11"/>
      <c r="AB25" s="4">
        <v>15</v>
      </c>
      <c r="AC25" s="4">
        <v>102</v>
      </c>
      <c r="AD25" s="4">
        <v>13</v>
      </c>
      <c r="AE25" s="4">
        <f t="shared" si="17"/>
        <v>195</v>
      </c>
      <c r="AF25" s="4">
        <f t="shared" si="18"/>
        <v>-195</v>
      </c>
      <c r="AG25" s="7">
        <f t="shared" si="19"/>
        <v>0.54166666666666663</v>
      </c>
      <c r="AH25" s="7">
        <f t="shared" si="20"/>
        <v>1.4806378132118452</v>
      </c>
      <c r="AI25" s="11"/>
      <c r="AJ25" s="4">
        <v>1</v>
      </c>
      <c r="AK25" s="4">
        <v>0</v>
      </c>
      <c r="AL25" s="4">
        <v>0</v>
      </c>
      <c r="AM25" s="7">
        <f t="shared" si="21"/>
        <v>0</v>
      </c>
      <c r="AN25" s="4">
        <f t="shared" si="22"/>
        <v>0</v>
      </c>
      <c r="AO25" s="4">
        <f t="shared" si="23"/>
        <v>172.39583333333334</v>
      </c>
      <c r="AP25" s="7">
        <f t="shared" si="24"/>
        <v>0</v>
      </c>
      <c r="AQ25" s="7">
        <f t="shared" si="25"/>
        <v>0</v>
      </c>
      <c r="AR25" s="11"/>
      <c r="AS25" s="4">
        <v>26</v>
      </c>
      <c r="AT25" s="4">
        <v>82</v>
      </c>
      <c r="AU25" s="4">
        <v>39</v>
      </c>
      <c r="AV25" s="7">
        <f t="shared" si="26"/>
        <v>0.97499999999999998</v>
      </c>
      <c r="AW25" s="4">
        <f t="shared" si="27"/>
        <v>1014</v>
      </c>
      <c r="AX25" s="4">
        <f t="shared" si="28"/>
        <v>-542.94444444444446</v>
      </c>
      <c r="AY25" s="7">
        <f t="shared" si="0"/>
        <v>0.94501397949673815</v>
      </c>
      <c r="AZ25" s="7">
        <f t="shared" si="1"/>
        <v>2.1526123363604199</v>
      </c>
      <c r="BA25" s="11"/>
      <c r="BB25" s="4">
        <v>1</v>
      </c>
      <c r="BC25" s="4">
        <v>0</v>
      </c>
      <c r="BD25" s="4">
        <v>0</v>
      </c>
      <c r="BE25" s="7">
        <f t="shared" si="29"/>
        <v>0</v>
      </c>
      <c r="BF25" s="4">
        <f t="shared" si="30"/>
        <v>0</v>
      </c>
      <c r="BG25" s="4">
        <f t="shared" si="31"/>
        <v>326</v>
      </c>
      <c r="BH25" s="7">
        <f t="shared" si="32"/>
        <v>0</v>
      </c>
      <c r="BI25" s="7">
        <f t="shared" si="33"/>
        <v>0</v>
      </c>
    </row>
    <row r="26" spans="1:61" x14ac:dyDescent="0.25">
      <c r="G26" s="10"/>
      <c r="H26" s="10"/>
      <c r="I26" s="11"/>
      <c r="J26" s="4">
        <v>17</v>
      </c>
      <c r="K26" s="4">
        <v>81</v>
      </c>
      <c r="L26" s="4">
        <v>18</v>
      </c>
      <c r="M26" s="7">
        <f t="shared" si="7"/>
        <v>1</v>
      </c>
      <c r="N26" s="4">
        <f t="shared" si="8"/>
        <v>306</v>
      </c>
      <c r="O26" s="4">
        <f t="shared" si="9"/>
        <v>-296.67500000000001</v>
      </c>
      <c r="P26" s="7">
        <f t="shared" si="10"/>
        <v>0.9</v>
      </c>
      <c r="Q26" s="7">
        <f t="shared" si="11"/>
        <v>2.1078009299121749</v>
      </c>
      <c r="S26" s="4">
        <v>13</v>
      </c>
      <c r="T26" s="4">
        <v>124</v>
      </c>
      <c r="U26" s="4">
        <v>29</v>
      </c>
      <c r="V26" s="7">
        <f t="shared" si="12"/>
        <v>0.93548387096774188</v>
      </c>
      <c r="W26" s="4">
        <f t="shared" si="13"/>
        <v>377</v>
      </c>
      <c r="X26" s="4">
        <f t="shared" si="14"/>
        <v>-85.019999999999982</v>
      </c>
      <c r="Y26" s="7">
        <f t="shared" si="15"/>
        <v>0.69814814814814818</v>
      </c>
      <c r="Z26" s="7">
        <f t="shared" si="16"/>
        <v>1.2911843276936776</v>
      </c>
      <c r="AA26" s="11"/>
      <c r="AB26" s="4">
        <v>14</v>
      </c>
      <c r="AC26" s="4">
        <v>101</v>
      </c>
      <c r="AD26" s="4">
        <v>14</v>
      </c>
      <c r="AE26" s="4">
        <f t="shared" si="17"/>
        <v>196</v>
      </c>
      <c r="AF26" s="4">
        <f t="shared" si="18"/>
        <v>-196</v>
      </c>
      <c r="AG26" s="7">
        <f t="shared" si="19"/>
        <v>0.5444444444444444</v>
      </c>
      <c r="AH26" s="7">
        <f t="shared" si="20"/>
        <v>1.4882308276385727</v>
      </c>
      <c r="AI26" s="11"/>
      <c r="AJ26" s="4">
        <v>14</v>
      </c>
      <c r="AK26" s="4">
        <v>91</v>
      </c>
      <c r="AL26" s="4">
        <v>17</v>
      </c>
      <c r="AM26" s="7">
        <f t="shared" si="21"/>
        <v>0.85</v>
      </c>
      <c r="AN26" s="4">
        <f t="shared" si="22"/>
        <v>238</v>
      </c>
      <c r="AO26" s="4">
        <f t="shared" si="23"/>
        <v>-65.604166666666657</v>
      </c>
      <c r="AP26" s="7">
        <f t="shared" si="24"/>
        <v>0.49583333333333335</v>
      </c>
      <c r="AQ26" s="7">
        <f t="shared" si="25"/>
        <v>1.3805438066465257</v>
      </c>
      <c r="AR26" s="11"/>
      <c r="AS26" s="4">
        <v>27</v>
      </c>
      <c r="AT26" s="4">
        <v>80</v>
      </c>
      <c r="AU26" s="4">
        <v>39</v>
      </c>
      <c r="AV26" s="7">
        <f t="shared" si="26"/>
        <v>0.97499999999999998</v>
      </c>
      <c r="AW26" s="4">
        <f t="shared" si="27"/>
        <v>1053</v>
      </c>
      <c r="AX26" s="4">
        <f t="shared" si="28"/>
        <v>-581.94444444444446</v>
      </c>
      <c r="AY26" s="7">
        <f t="shared" si="0"/>
        <v>0.98136067101584346</v>
      </c>
      <c r="AZ26" s="7">
        <f t="shared" si="1"/>
        <v>2.2354051185281283</v>
      </c>
      <c r="BA26" s="11"/>
      <c r="BB26" s="4">
        <v>18</v>
      </c>
      <c r="BC26" s="4">
        <v>85</v>
      </c>
      <c r="BD26" s="4">
        <v>31</v>
      </c>
      <c r="BE26" s="7">
        <f t="shared" si="29"/>
        <v>0.77500000000000002</v>
      </c>
      <c r="BF26" s="4">
        <f t="shared" si="30"/>
        <v>558</v>
      </c>
      <c r="BG26" s="4">
        <f t="shared" si="31"/>
        <v>-232</v>
      </c>
      <c r="BH26" s="7">
        <f t="shared" si="32"/>
        <v>0.46153846153846156</v>
      </c>
      <c r="BI26" s="7">
        <f t="shared" si="33"/>
        <v>1.7116564417177915</v>
      </c>
    </row>
    <row r="27" spans="1:61" x14ac:dyDescent="0.25">
      <c r="G27" s="10"/>
      <c r="H27" s="10"/>
      <c r="I27" s="11"/>
      <c r="J27" s="4">
        <v>18</v>
      </c>
      <c r="K27" s="4">
        <v>79</v>
      </c>
      <c r="L27" s="4">
        <v>16</v>
      </c>
      <c r="M27" s="7">
        <f t="shared" si="7"/>
        <v>0.88888888888888884</v>
      </c>
      <c r="N27" s="4">
        <f t="shared" si="8"/>
        <v>288</v>
      </c>
      <c r="O27" s="4">
        <f t="shared" si="9"/>
        <v>-278.67500000000001</v>
      </c>
      <c r="P27" s="7">
        <f t="shared" si="10"/>
        <v>0.84705882352941175</v>
      </c>
      <c r="Q27" s="7">
        <f t="shared" si="11"/>
        <v>1.983812639917341</v>
      </c>
      <c r="S27" s="4">
        <v>13</v>
      </c>
      <c r="T27" s="4">
        <v>122</v>
      </c>
      <c r="U27" s="4">
        <v>29</v>
      </c>
      <c r="V27" s="7">
        <f t="shared" si="12"/>
        <v>0.93548387096774188</v>
      </c>
      <c r="W27" s="4">
        <f t="shared" si="13"/>
        <v>377</v>
      </c>
      <c r="X27" s="4">
        <f t="shared" si="14"/>
        <v>-85.019999999999982</v>
      </c>
      <c r="Y27" s="7">
        <f t="shared" si="15"/>
        <v>0.69814814814814818</v>
      </c>
      <c r="Z27" s="7">
        <f t="shared" si="16"/>
        <v>1.2911843276936776</v>
      </c>
      <c r="AA27" s="11"/>
      <c r="AB27" s="4">
        <v>1</v>
      </c>
      <c r="AC27" s="4">
        <v>0</v>
      </c>
      <c r="AD27" s="4">
        <v>0</v>
      </c>
      <c r="AE27" s="4">
        <f t="shared" si="17"/>
        <v>0</v>
      </c>
      <c r="AF27" s="4">
        <f t="shared" si="18"/>
        <v>0</v>
      </c>
      <c r="AG27" s="7">
        <f t="shared" si="19"/>
        <v>0</v>
      </c>
      <c r="AH27" s="7">
        <f t="shared" si="20"/>
        <v>0</v>
      </c>
      <c r="AI27" s="11"/>
      <c r="AJ27" s="4">
        <v>1</v>
      </c>
      <c r="AK27" s="4">
        <v>0</v>
      </c>
      <c r="AL27" s="4">
        <v>0</v>
      </c>
      <c r="AM27" s="7">
        <f t="shared" si="21"/>
        <v>0</v>
      </c>
      <c r="AN27" s="4">
        <f t="shared" si="22"/>
        <v>0</v>
      </c>
      <c r="AO27" s="4">
        <f t="shared" si="23"/>
        <v>172.39583333333334</v>
      </c>
      <c r="AP27" s="7">
        <f t="shared" si="24"/>
        <v>0</v>
      </c>
      <c r="AQ27" s="7">
        <f t="shared" si="25"/>
        <v>0</v>
      </c>
      <c r="AR27" s="11"/>
      <c r="AS27" s="4">
        <v>25</v>
      </c>
      <c r="AT27" s="4">
        <v>79</v>
      </c>
      <c r="AU27" s="4">
        <v>34</v>
      </c>
      <c r="AV27" s="7">
        <f t="shared" si="26"/>
        <v>0.85</v>
      </c>
      <c r="AW27" s="4">
        <f t="shared" si="27"/>
        <v>850</v>
      </c>
      <c r="AX27" s="4">
        <f t="shared" si="28"/>
        <v>-378.94444444444446</v>
      </c>
      <c r="AY27" s="7">
        <f t="shared" si="0"/>
        <v>0.7921714818266542</v>
      </c>
      <c r="AZ27" s="7">
        <f t="shared" si="1"/>
        <v>1.8044580728859536</v>
      </c>
      <c r="BA27" s="11"/>
      <c r="BB27" s="4">
        <v>1</v>
      </c>
      <c r="BC27" s="4">
        <v>0</v>
      </c>
      <c r="BD27" s="4">
        <v>0</v>
      </c>
      <c r="BE27" s="7">
        <f t="shared" si="29"/>
        <v>0</v>
      </c>
      <c r="BF27" s="4">
        <f t="shared" si="30"/>
        <v>0</v>
      </c>
      <c r="BG27" s="4">
        <f t="shared" si="31"/>
        <v>326</v>
      </c>
      <c r="BH27" s="7">
        <f t="shared" si="32"/>
        <v>0</v>
      </c>
      <c r="BI27" s="7">
        <f t="shared" si="33"/>
        <v>0</v>
      </c>
    </row>
    <row r="28" spans="1:61" x14ac:dyDescent="0.25">
      <c r="G28" s="10"/>
      <c r="H28" s="10"/>
      <c r="I28" s="11"/>
      <c r="J28" s="4">
        <v>18</v>
      </c>
      <c r="K28" s="4">
        <v>78</v>
      </c>
      <c r="L28" s="4">
        <v>18</v>
      </c>
      <c r="M28" s="7">
        <f t="shared" si="7"/>
        <v>1</v>
      </c>
      <c r="N28" s="4">
        <f t="shared" si="8"/>
        <v>324</v>
      </c>
      <c r="O28" s="4">
        <f t="shared" si="9"/>
        <v>-314.67500000000001</v>
      </c>
      <c r="P28" s="7">
        <f t="shared" si="10"/>
        <v>0.95294117647058818</v>
      </c>
      <c r="Q28" s="7">
        <f t="shared" si="11"/>
        <v>2.2317892199070086</v>
      </c>
      <c r="S28" s="4">
        <v>16</v>
      </c>
      <c r="T28" s="4">
        <v>121</v>
      </c>
      <c r="U28" s="4">
        <v>30</v>
      </c>
      <c r="V28" s="7">
        <f t="shared" si="12"/>
        <v>0.967741935483871</v>
      </c>
      <c r="W28" s="4">
        <f t="shared" si="13"/>
        <v>480</v>
      </c>
      <c r="X28" s="4">
        <f t="shared" si="14"/>
        <v>-188.01999999999998</v>
      </c>
      <c r="Y28" s="7">
        <f t="shared" si="15"/>
        <v>0.88888888888888884</v>
      </c>
      <c r="Z28" s="7">
        <f t="shared" si="16"/>
        <v>1.6439482156312075</v>
      </c>
      <c r="AA28" s="11"/>
      <c r="AB28" s="4">
        <v>17</v>
      </c>
      <c r="AC28" s="4">
        <v>99</v>
      </c>
      <c r="AD28" s="4">
        <v>14</v>
      </c>
      <c r="AE28" s="4">
        <f t="shared" si="17"/>
        <v>238</v>
      </c>
      <c r="AF28" s="4">
        <f t="shared" si="18"/>
        <v>-238</v>
      </c>
      <c r="AG28" s="7">
        <f t="shared" si="19"/>
        <v>0.66111111111111109</v>
      </c>
      <c r="AH28" s="7">
        <f t="shared" si="20"/>
        <v>1.8071374335611239</v>
      </c>
      <c r="AI28" s="11"/>
      <c r="AJ28" s="4">
        <v>17</v>
      </c>
      <c r="AK28" s="4">
        <v>89</v>
      </c>
      <c r="AL28" s="4">
        <v>16</v>
      </c>
      <c r="AM28" s="7">
        <f t="shared" si="21"/>
        <v>0.8</v>
      </c>
      <c r="AN28" s="4">
        <f t="shared" si="22"/>
        <v>272</v>
      </c>
      <c r="AO28" s="4">
        <f t="shared" si="23"/>
        <v>-99.604166666666657</v>
      </c>
      <c r="AP28" s="7">
        <f t="shared" si="24"/>
        <v>0.56666666666666665</v>
      </c>
      <c r="AQ28" s="7">
        <f t="shared" si="25"/>
        <v>1.5777643504531722</v>
      </c>
      <c r="AR28" s="11"/>
      <c r="AS28" s="4">
        <v>27</v>
      </c>
      <c r="AT28" s="4">
        <v>77</v>
      </c>
      <c r="AU28" s="4">
        <v>35</v>
      </c>
      <c r="AV28" s="7">
        <f t="shared" si="26"/>
        <v>0.875</v>
      </c>
      <c r="AW28" s="4">
        <f t="shared" si="27"/>
        <v>945</v>
      </c>
      <c r="AX28" s="4">
        <f t="shared" si="28"/>
        <v>-473.94444444444446</v>
      </c>
      <c r="AY28" s="7">
        <f t="shared" si="0"/>
        <v>0.88070829450139798</v>
      </c>
      <c r="AZ28" s="7">
        <f t="shared" si="1"/>
        <v>2.0061327986790896</v>
      </c>
      <c r="BA28" s="11"/>
      <c r="BB28" s="4">
        <v>19</v>
      </c>
      <c r="BC28" s="4">
        <v>83</v>
      </c>
      <c r="BD28" s="4">
        <v>31</v>
      </c>
      <c r="BE28" s="7">
        <f t="shared" si="29"/>
        <v>0.77500000000000002</v>
      </c>
      <c r="BF28" s="17">
        <f t="shared" si="30"/>
        <v>589</v>
      </c>
      <c r="BG28" s="4">
        <f t="shared" si="31"/>
        <v>-263</v>
      </c>
      <c r="BH28" s="7">
        <f t="shared" si="32"/>
        <v>0.48717948717948717</v>
      </c>
      <c r="BI28" s="7">
        <f t="shared" si="33"/>
        <v>1.8067484662576687</v>
      </c>
    </row>
    <row r="29" spans="1:61" x14ac:dyDescent="0.25">
      <c r="G29" s="10"/>
      <c r="H29" s="10"/>
      <c r="I29" s="11"/>
      <c r="J29" s="4">
        <v>20</v>
      </c>
      <c r="K29" s="15">
        <v>76</v>
      </c>
      <c r="L29" s="15">
        <v>17</v>
      </c>
      <c r="M29" s="7">
        <f t="shared" si="7"/>
        <v>0.94444444444444442</v>
      </c>
      <c r="N29" s="15">
        <f t="shared" si="8"/>
        <v>340</v>
      </c>
      <c r="O29" s="15">
        <f t="shared" si="9"/>
        <v>-330.67500000000001</v>
      </c>
      <c r="P29" s="16">
        <f t="shared" si="10"/>
        <v>1</v>
      </c>
      <c r="Q29" s="7">
        <f t="shared" si="11"/>
        <v>2.3420010332357499</v>
      </c>
      <c r="S29" s="4">
        <v>15</v>
      </c>
      <c r="T29" s="4">
        <v>120</v>
      </c>
      <c r="U29" s="4">
        <v>30</v>
      </c>
      <c r="V29" s="7">
        <f t="shared" si="12"/>
        <v>0.967741935483871</v>
      </c>
      <c r="W29" s="4">
        <f t="shared" si="13"/>
        <v>450</v>
      </c>
      <c r="X29" s="4">
        <f t="shared" si="14"/>
        <v>-158.01999999999998</v>
      </c>
      <c r="Y29" s="7">
        <f t="shared" si="15"/>
        <v>0.83333333333333337</v>
      </c>
      <c r="Z29" s="7">
        <f t="shared" si="16"/>
        <v>1.541201452154257</v>
      </c>
      <c r="AA29" s="11"/>
      <c r="AB29" s="4">
        <v>19</v>
      </c>
      <c r="AC29" s="4">
        <v>98</v>
      </c>
      <c r="AD29" s="4">
        <v>16</v>
      </c>
      <c r="AE29" s="4">
        <f t="shared" si="17"/>
        <v>304</v>
      </c>
      <c r="AF29" s="4">
        <f t="shared" si="18"/>
        <v>-304</v>
      </c>
      <c r="AG29" s="7">
        <f t="shared" si="19"/>
        <v>0.84444444444444444</v>
      </c>
      <c r="AH29" s="7">
        <f t="shared" si="20"/>
        <v>2.3082763857251329</v>
      </c>
      <c r="AI29" s="11"/>
      <c r="AJ29" s="4">
        <v>19</v>
      </c>
      <c r="AK29" s="4">
        <v>88</v>
      </c>
      <c r="AL29" s="4">
        <v>19</v>
      </c>
      <c r="AM29" s="7">
        <f t="shared" si="21"/>
        <v>0.95</v>
      </c>
      <c r="AN29" s="4">
        <f t="shared" si="22"/>
        <v>361</v>
      </c>
      <c r="AO29" s="4">
        <f t="shared" si="23"/>
        <v>-188.60416666666666</v>
      </c>
      <c r="AP29" s="7">
        <f t="shared" si="24"/>
        <v>0.75208333333333333</v>
      </c>
      <c r="AQ29" s="7">
        <f t="shared" si="25"/>
        <v>2.0940181268882174</v>
      </c>
      <c r="AR29" s="11"/>
      <c r="AS29" s="4">
        <v>29</v>
      </c>
      <c r="AT29" s="15">
        <v>76</v>
      </c>
      <c r="AU29" s="15">
        <v>37</v>
      </c>
      <c r="AV29" s="7">
        <f t="shared" si="26"/>
        <v>0.92500000000000004</v>
      </c>
      <c r="AW29" s="15">
        <f t="shared" si="27"/>
        <v>1073</v>
      </c>
      <c r="AX29" s="4">
        <f t="shared" si="28"/>
        <v>-601.94444444444446</v>
      </c>
      <c r="AY29" s="16">
        <f t="shared" si="0"/>
        <v>1</v>
      </c>
      <c r="AZ29" s="7">
        <f t="shared" si="1"/>
        <v>2.2778629555372096</v>
      </c>
      <c r="BA29" s="11"/>
      <c r="BB29" s="4">
        <v>18</v>
      </c>
      <c r="BC29" s="4">
        <v>80</v>
      </c>
      <c r="BD29" s="4">
        <v>29</v>
      </c>
      <c r="BE29" s="7">
        <f t="shared" si="29"/>
        <v>0.72499999999999998</v>
      </c>
      <c r="BF29" s="17">
        <f t="shared" si="30"/>
        <v>522</v>
      </c>
      <c r="BG29" s="4">
        <f t="shared" si="31"/>
        <v>-196</v>
      </c>
      <c r="BH29" s="7">
        <f t="shared" si="32"/>
        <v>0.4317617866004963</v>
      </c>
      <c r="BI29" s="7">
        <f t="shared" si="33"/>
        <v>1.6012269938650308</v>
      </c>
    </row>
    <row r="30" spans="1:61" x14ac:dyDescent="0.25">
      <c r="G30" s="10"/>
      <c r="H30" s="10"/>
      <c r="I30" s="11"/>
      <c r="J30" s="4">
        <v>19</v>
      </c>
      <c r="K30" s="4">
        <v>75</v>
      </c>
      <c r="L30" s="4">
        <v>16</v>
      </c>
      <c r="M30" s="7">
        <f t="shared" si="7"/>
        <v>0.88888888888888884</v>
      </c>
      <c r="N30" s="4">
        <f t="shared" si="8"/>
        <v>304</v>
      </c>
      <c r="O30" s="4">
        <f t="shared" si="9"/>
        <v>-294.67500000000001</v>
      </c>
      <c r="P30" s="7">
        <f t="shared" si="10"/>
        <v>0.89411764705882357</v>
      </c>
      <c r="Q30" s="7">
        <f t="shared" si="11"/>
        <v>2.0940244532460821</v>
      </c>
      <c r="S30" s="4">
        <v>15</v>
      </c>
      <c r="T30" s="4">
        <v>118</v>
      </c>
      <c r="U30" s="4">
        <v>31</v>
      </c>
      <c r="V30" s="7">
        <f t="shared" si="12"/>
        <v>1</v>
      </c>
      <c r="W30" s="4">
        <f t="shared" si="13"/>
        <v>465</v>
      </c>
      <c r="X30" s="4">
        <f t="shared" si="14"/>
        <v>-173.01999999999998</v>
      </c>
      <c r="Y30" s="7">
        <f t="shared" si="15"/>
        <v>0.86111111111111116</v>
      </c>
      <c r="Z30" s="7">
        <f t="shared" si="16"/>
        <v>1.5925748338927324</v>
      </c>
      <c r="AA30" s="11"/>
      <c r="AB30" s="4">
        <v>1</v>
      </c>
      <c r="AC30" s="4">
        <v>0</v>
      </c>
      <c r="AD30" s="4">
        <v>0</v>
      </c>
      <c r="AE30" s="4">
        <f t="shared" si="17"/>
        <v>0</v>
      </c>
      <c r="AF30" s="4">
        <f t="shared" si="18"/>
        <v>0</v>
      </c>
      <c r="AG30" s="7">
        <f t="shared" si="19"/>
        <v>0</v>
      </c>
      <c r="AH30" s="7">
        <f t="shared" si="20"/>
        <v>0</v>
      </c>
      <c r="AI30" s="11"/>
      <c r="AJ30" s="4">
        <v>17</v>
      </c>
      <c r="AK30" s="4">
        <v>86</v>
      </c>
      <c r="AL30" s="4">
        <v>19</v>
      </c>
      <c r="AM30" s="7">
        <f t="shared" si="21"/>
        <v>0.95</v>
      </c>
      <c r="AN30" s="4">
        <f t="shared" si="22"/>
        <v>323</v>
      </c>
      <c r="AO30" s="4">
        <f t="shared" si="23"/>
        <v>-150.60416666666666</v>
      </c>
      <c r="AP30" s="7">
        <f t="shared" si="24"/>
        <v>0.67291666666666672</v>
      </c>
      <c r="AQ30" s="7">
        <f t="shared" si="25"/>
        <v>1.8735951661631418</v>
      </c>
      <c r="AR30" s="11"/>
      <c r="AS30" s="4">
        <v>25</v>
      </c>
      <c r="AT30" s="4">
        <v>74</v>
      </c>
      <c r="AU30" s="4">
        <v>30</v>
      </c>
      <c r="AV30" s="7">
        <f t="shared" si="26"/>
        <v>0.75</v>
      </c>
      <c r="AW30" s="4">
        <f t="shared" si="27"/>
        <v>750</v>
      </c>
      <c r="AX30" s="4">
        <f t="shared" si="28"/>
        <v>-278.94444444444446</v>
      </c>
      <c r="AY30" s="7">
        <f t="shared" si="0"/>
        <v>0.69897483690587137</v>
      </c>
      <c r="AZ30" s="7">
        <f t="shared" si="1"/>
        <v>1.5921688878405473</v>
      </c>
      <c r="BA30" s="11"/>
      <c r="BB30" s="4">
        <v>22</v>
      </c>
      <c r="BC30" s="4">
        <v>78</v>
      </c>
      <c r="BD30" s="4">
        <v>34</v>
      </c>
      <c r="BE30" s="7">
        <f t="shared" si="29"/>
        <v>0.85</v>
      </c>
      <c r="BF30" s="17">
        <f t="shared" si="30"/>
        <v>748</v>
      </c>
      <c r="BG30" s="4">
        <f t="shared" si="31"/>
        <v>-422</v>
      </c>
      <c r="BH30" s="7">
        <f t="shared" si="32"/>
        <v>0.61869313482216703</v>
      </c>
      <c r="BI30" s="7">
        <f t="shared" si="33"/>
        <v>2.294478527607362</v>
      </c>
    </row>
    <row r="31" spans="1:61" x14ac:dyDescent="0.25">
      <c r="G31" s="10"/>
      <c r="H31" s="10"/>
      <c r="I31" s="11"/>
      <c r="J31" s="4">
        <v>20</v>
      </c>
      <c r="K31" s="4">
        <v>74</v>
      </c>
      <c r="L31" s="4">
        <v>16</v>
      </c>
      <c r="M31" s="7">
        <f t="shared" si="7"/>
        <v>0.88888888888888884</v>
      </c>
      <c r="N31" s="4">
        <f t="shared" si="8"/>
        <v>320</v>
      </c>
      <c r="O31" s="4">
        <f t="shared" si="9"/>
        <v>-310.67500000000001</v>
      </c>
      <c r="P31" s="7">
        <f t="shared" si="10"/>
        <v>0.94117647058823528</v>
      </c>
      <c r="Q31" s="7">
        <f t="shared" si="11"/>
        <v>2.2042362665748234</v>
      </c>
      <c r="S31" s="4">
        <v>16</v>
      </c>
      <c r="T31" s="4">
        <v>117</v>
      </c>
      <c r="U31" s="4">
        <v>30</v>
      </c>
      <c r="V31" s="7">
        <f t="shared" si="12"/>
        <v>0.967741935483871</v>
      </c>
      <c r="W31" s="4">
        <f t="shared" si="13"/>
        <v>480</v>
      </c>
      <c r="X31" s="4">
        <f t="shared" si="14"/>
        <v>-188.01999999999998</v>
      </c>
      <c r="Y31" s="7">
        <f t="shared" si="15"/>
        <v>0.88888888888888884</v>
      </c>
      <c r="Z31" s="7">
        <f t="shared" si="16"/>
        <v>1.6439482156312075</v>
      </c>
      <c r="AA31" s="11"/>
      <c r="AB31" s="4">
        <v>19</v>
      </c>
      <c r="AC31" s="4">
        <v>97</v>
      </c>
      <c r="AD31" s="4">
        <v>17</v>
      </c>
      <c r="AE31" s="4">
        <f t="shared" si="17"/>
        <v>323</v>
      </c>
      <c r="AF31" s="4">
        <f t="shared" si="18"/>
        <v>-323</v>
      </c>
      <c r="AG31" s="7">
        <f t="shared" si="19"/>
        <v>0.89722222222222225</v>
      </c>
      <c r="AH31" s="7">
        <f t="shared" si="20"/>
        <v>2.452543659832954</v>
      </c>
      <c r="AI31" s="11"/>
      <c r="AJ31" s="4">
        <v>17</v>
      </c>
      <c r="AK31" s="4">
        <v>85</v>
      </c>
      <c r="AL31" s="4">
        <v>19</v>
      </c>
      <c r="AM31" s="7">
        <f t="shared" si="21"/>
        <v>0.95</v>
      </c>
      <c r="AN31" s="4">
        <f t="shared" si="22"/>
        <v>323</v>
      </c>
      <c r="AO31" s="4">
        <f t="shared" si="23"/>
        <v>-150.60416666666666</v>
      </c>
      <c r="AP31" s="7">
        <f t="shared" si="24"/>
        <v>0.67291666666666672</v>
      </c>
      <c r="AQ31" s="7">
        <f t="shared" si="25"/>
        <v>1.8735951661631418</v>
      </c>
      <c r="AR31" s="11"/>
      <c r="AS31" s="4">
        <v>26</v>
      </c>
      <c r="AT31" s="4">
        <v>73</v>
      </c>
      <c r="AU31" s="4">
        <v>30</v>
      </c>
      <c r="AV31" s="7">
        <f t="shared" si="26"/>
        <v>0.75</v>
      </c>
      <c r="AW31" s="4">
        <f t="shared" si="27"/>
        <v>780</v>
      </c>
      <c r="AX31" s="4">
        <f t="shared" si="28"/>
        <v>-308.94444444444446</v>
      </c>
      <c r="AY31" s="7">
        <f t="shared" si="0"/>
        <v>0.72693383038210624</v>
      </c>
      <c r="AZ31" s="7">
        <f t="shared" si="1"/>
        <v>1.6558556433541691</v>
      </c>
      <c r="BA31" s="11"/>
      <c r="BB31" s="4">
        <v>25</v>
      </c>
      <c r="BC31" s="4">
        <v>77</v>
      </c>
      <c r="BD31" s="4">
        <v>38</v>
      </c>
      <c r="BE31" s="7">
        <f t="shared" si="29"/>
        <v>0.95</v>
      </c>
      <c r="BF31" s="17">
        <f t="shared" si="30"/>
        <v>950</v>
      </c>
      <c r="BG31" s="4">
        <f t="shared" si="31"/>
        <v>-624</v>
      </c>
      <c r="BH31" s="7">
        <f t="shared" si="32"/>
        <v>0.78577336641852769</v>
      </c>
      <c r="BI31" s="7">
        <f t="shared" si="33"/>
        <v>2.9141104294478528</v>
      </c>
    </row>
    <row r="32" spans="1:61" x14ac:dyDescent="0.25">
      <c r="G32" s="10"/>
      <c r="H32" s="10"/>
      <c r="I32" s="11"/>
      <c r="J32" s="4">
        <v>18</v>
      </c>
      <c r="K32" s="4">
        <v>73</v>
      </c>
      <c r="L32" s="4">
        <v>14</v>
      </c>
      <c r="M32" s="7">
        <f t="shared" si="7"/>
        <v>0.77777777777777779</v>
      </c>
      <c r="N32" s="4">
        <f t="shared" si="8"/>
        <v>252</v>
      </c>
      <c r="O32" s="4">
        <f t="shared" si="9"/>
        <v>-242.67500000000001</v>
      </c>
      <c r="P32" s="7">
        <f t="shared" si="10"/>
        <v>0.74117647058823533</v>
      </c>
      <c r="Q32" s="7">
        <f t="shared" si="11"/>
        <v>1.7358360599276734</v>
      </c>
      <c r="S32" s="4">
        <v>16</v>
      </c>
      <c r="T32" s="4">
        <v>115</v>
      </c>
      <c r="U32" s="4">
        <v>31</v>
      </c>
      <c r="V32" s="7">
        <f t="shared" si="12"/>
        <v>1</v>
      </c>
      <c r="W32" s="4">
        <f t="shared" si="13"/>
        <v>496</v>
      </c>
      <c r="X32" s="4">
        <f t="shared" si="14"/>
        <v>-204.01999999999998</v>
      </c>
      <c r="Y32" s="7">
        <f t="shared" si="15"/>
        <v>0.91851851851851851</v>
      </c>
      <c r="Z32" s="7">
        <f t="shared" si="16"/>
        <v>1.698746489485581</v>
      </c>
      <c r="AA32" s="11"/>
      <c r="AB32" s="4">
        <v>20</v>
      </c>
      <c r="AC32" s="15">
        <v>95</v>
      </c>
      <c r="AD32" s="15">
        <v>18</v>
      </c>
      <c r="AE32" s="15">
        <f t="shared" si="17"/>
        <v>360</v>
      </c>
      <c r="AF32" s="15">
        <f t="shared" si="18"/>
        <v>-360</v>
      </c>
      <c r="AG32" s="16">
        <f t="shared" si="19"/>
        <v>1</v>
      </c>
      <c r="AH32" s="7">
        <f t="shared" si="20"/>
        <v>2.7334851936218683</v>
      </c>
      <c r="AI32" s="11"/>
      <c r="AJ32" s="4">
        <v>17</v>
      </c>
      <c r="AK32" s="4">
        <v>82</v>
      </c>
      <c r="AL32" s="4">
        <v>17</v>
      </c>
      <c r="AM32" s="7">
        <f t="shared" si="21"/>
        <v>0.85</v>
      </c>
      <c r="AN32" s="4">
        <f t="shared" si="22"/>
        <v>289</v>
      </c>
      <c r="AO32" s="4">
        <f t="shared" si="23"/>
        <v>-116.60416666666666</v>
      </c>
      <c r="AP32" s="7">
        <f t="shared" si="24"/>
        <v>0.6020833333333333</v>
      </c>
      <c r="AQ32" s="7">
        <f t="shared" si="25"/>
        <v>1.6763746223564955</v>
      </c>
      <c r="AR32" s="11"/>
      <c r="AS32" s="4">
        <v>27</v>
      </c>
      <c r="AT32" s="6">
        <v>72</v>
      </c>
      <c r="AU32" s="6">
        <v>31</v>
      </c>
      <c r="AV32" s="7">
        <f t="shared" si="26"/>
        <v>0.77500000000000002</v>
      </c>
      <c r="AW32" s="6">
        <f t="shared" si="27"/>
        <v>837</v>
      </c>
      <c r="AX32" s="4">
        <f t="shared" si="28"/>
        <v>-365.94444444444446</v>
      </c>
      <c r="AY32" s="18">
        <f t="shared" si="0"/>
        <v>0.78005591798695251</v>
      </c>
      <c r="AZ32" s="7">
        <f t="shared" si="1"/>
        <v>1.7768604788300508</v>
      </c>
      <c r="BA32" s="11"/>
      <c r="BB32" s="4">
        <v>28</v>
      </c>
      <c r="BC32" s="4">
        <v>75</v>
      </c>
      <c r="BD32" s="4">
        <v>40</v>
      </c>
      <c r="BE32" s="7">
        <f t="shared" si="29"/>
        <v>1</v>
      </c>
      <c r="BF32" s="17">
        <f t="shared" si="30"/>
        <v>1120</v>
      </c>
      <c r="BG32" s="4">
        <f t="shared" si="31"/>
        <v>-794</v>
      </c>
      <c r="BH32" s="7">
        <f t="shared" si="32"/>
        <v>0.92638544251447474</v>
      </c>
      <c r="BI32" s="7">
        <f t="shared" si="33"/>
        <v>3.4355828220858897</v>
      </c>
    </row>
    <row r="33" spans="7:61" x14ac:dyDescent="0.25">
      <c r="G33" s="10"/>
      <c r="H33" s="10"/>
      <c r="I33" s="11"/>
      <c r="J33" s="4">
        <v>18</v>
      </c>
      <c r="K33" s="4">
        <v>71</v>
      </c>
      <c r="L33" s="4">
        <v>13</v>
      </c>
      <c r="M33" s="7">
        <f t="shared" si="7"/>
        <v>0.72222222222222221</v>
      </c>
      <c r="N33" s="4">
        <f t="shared" si="8"/>
        <v>234</v>
      </c>
      <c r="O33" s="4">
        <f t="shared" si="9"/>
        <v>-224.67500000000001</v>
      </c>
      <c r="P33" s="7">
        <f t="shared" si="10"/>
        <v>0.68823529411764706</v>
      </c>
      <c r="Q33" s="7">
        <f t="shared" si="11"/>
        <v>1.6118477699328395</v>
      </c>
      <c r="S33" s="4">
        <v>15</v>
      </c>
      <c r="T33" s="4">
        <v>114</v>
      </c>
      <c r="U33" s="4">
        <v>30</v>
      </c>
      <c r="V33" s="7">
        <f t="shared" si="12"/>
        <v>0.967741935483871</v>
      </c>
      <c r="W33" s="4">
        <f t="shared" si="13"/>
        <v>450</v>
      </c>
      <c r="X33" s="4">
        <f t="shared" si="14"/>
        <v>-158.01999999999998</v>
      </c>
      <c r="Y33" s="7">
        <f t="shared" si="15"/>
        <v>0.83333333333333337</v>
      </c>
      <c r="Z33" s="7">
        <f t="shared" si="16"/>
        <v>1.541201452154257</v>
      </c>
      <c r="AA33" s="11"/>
      <c r="AB33" s="4">
        <v>15</v>
      </c>
      <c r="AC33" s="4">
        <v>93</v>
      </c>
      <c r="AD33" s="4">
        <v>11</v>
      </c>
      <c r="AE33" s="4">
        <f t="shared" si="17"/>
        <v>165</v>
      </c>
      <c r="AF33" s="4">
        <f t="shared" si="18"/>
        <v>-165</v>
      </c>
      <c r="AG33" s="7">
        <f t="shared" si="19"/>
        <v>0.45833333333333331</v>
      </c>
      <c r="AH33" s="7">
        <f t="shared" si="20"/>
        <v>1.2528473804100229</v>
      </c>
      <c r="AI33" s="11"/>
      <c r="AJ33" s="4">
        <v>1</v>
      </c>
      <c r="AK33" s="4">
        <v>0</v>
      </c>
      <c r="AL33" s="4">
        <v>0</v>
      </c>
      <c r="AM33" s="7">
        <f t="shared" si="21"/>
        <v>0</v>
      </c>
      <c r="AN33" s="4">
        <f t="shared" si="22"/>
        <v>0</v>
      </c>
      <c r="AO33" s="4">
        <f t="shared" si="23"/>
        <v>172.39583333333334</v>
      </c>
      <c r="AP33" s="7">
        <f t="shared" si="24"/>
        <v>0</v>
      </c>
      <c r="AQ33" s="7">
        <f t="shared" si="25"/>
        <v>0</v>
      </c>
      <c r="AR33" s="11"/>
      <c r="AS33" s="4">
        <v>28</v>
      </c>
      <c r="AT33" s="6">
        <v>70</v>
      </c>
      <c r="AU33" s="6">
        <v>26</v>
      </c>
      <c r="AV33" s="7">
        <f t="shared" si="26"/>
        <v>0.65</v>
      </c>
      <c r="AW33" s="6">
        <f t="shared" si="27"/>
        <v>728</v>
      </c>
      <c r="AX33" s="4">
        <f t="shared" si="28"/>
        <v>-256.94444444444446</v>
      </c>
      <c r="AY33" s="18">
        <f t="shared" si="0"/>
        <v>0.67847157502329913</v>
      </c>
      <c r="AZ33" s="7">
        <f t="shared" si="1"/>
        <v>1.545465267130558</v>
      </c>
      <c r="BA33" s="11"/>
      <c r="BB33" s="4">
        <v>30</v>
      </c>
      <c r="BC33" s="4">
        <v>73</v>
      </c>
      <c r="BD33" s="4">
        <v>40</v>
      </c>
      <c r="BE33" s="7">
        <f t="shared" si="29"/>
        <v>1</v>
      </c>
      <c r="BF33" s="17">
        <f t="shared" si="30"/>
        <v>1200</v>
      </c>
      <c r="BG33" s="4">
        <f t="shared" si="31"/>
        <v>-874</v>
      </c>
      <c r="BH33" s="7">
        <f t="shared" si="32"/>
        <v>0.99255583126550873</v>
      </c>
      <c r="BI33" s="7">
        <f t="shared" si="33"/>
        <v>3.6809815950920246</v>
      </c>
    </row>
    <row r="34" spans="7:61" x14ac:dyDescent="0.25">
      <c r="G34" s="10"/>
      <c r="H34" s="10"/>
      <c r="I34" s="11"/>
      <c r="J34" s="4">
        <v>19</v>
      </c>
      <c r="K34" s="4">
        <v>70</v>
      </c>
      <c r="L34" s="4">
        <v>13</v>
      </c>
      <c r="M34" s="7">
        <f t="shared" si="7"/>
        <v>0.72222222222222221</v>
      </c>
      <c r="N34" s="4">
        <f t="shared" si="8"/>
        <v>247</v>
      </c>
      <c r="O34" s="4">
        <f t="shared" si="9"/>
        <v>-237.67500000000001</v>
      </c>
      <c r="P34" s="7">
        <f t="shared" si="10"/>
        <v>0.72647058823529409</v>
      </c>
      <c r="Q34" s="7">
        <f t="shared" si="11"/>
        <v>1.7013948682624418</v>
      </c>
      <c r="S34" s="4">
        <v>16</v>
      </c>
      <c r="T34" s="4">
        <v>112</v>
      </c>
      <c r="U34" s="4">
        <v>28</v>
      </c>
      <c r="V34" s="7">
        <f t="shared" si="12"/>
        <v>0.90322580645161288</v>
      </c>
      <c r="W34" s="4">
        <f t="shared" si="13"/>
        <v>448</v>
      </c>
      <c r="X34" s="4">
        <f t="shared" si="14"/>
        <v>-156.01999999999998</v>
      </c>
      <c r="Y34" s="7">
        <f t="shared" si="15"/>
        <v>0.82962962962962961</v>
      </c>
      <c r="Z34" s="7">
        <f t="shared" si="16"/>
        <v>1.5343516679224602</v>
      </c>
      <c r="AA34" s="11"/>
      <c r="AB34" s="4">
        <v>15</v>
      </c>
      <c r="AC34" s="4">
        <v>91</v>
      </c>
      <c r="AD34" s="4">
        <v>11</v>
      </c>
      <c r="AE34" s="4">
        <f t="shared" si="17"/>
        <v>165</v>
      </c>
      <c r="AF34" s="4">
        <f t="shared" si="18"/>
        <v>-165</v>
      </c>
      <c r="AG34" s="7">
        <f t="shared" si="19"/>
        <v>0.45833333333333331</v>
      </c>
      <c r="AH34" s="7">
        <f t="shared" si="20"/>
        <v>1.2528473804100229</v>
      </c>
      <c r="AI34" s="11"/>
      <c r="AJ34" s="4">
        <v>20</v>
      </c>
      <c r="AK34" s="4">
        <v>81</v>
      </c>
      <c r="AL34" s="4">
        <v>18</v>
      </c>
      <c r="AM34" s="7">
        <f t="shared" si="21"/>
        <v>0.9</v>
      </c>
      <c r="AN34" s="4">
        <f t="shared" si="22"/>
        <v>360</v>
      </c>
      <c r="AO34" s="4">
        <f t="shared" si="23"/>
        <v>-187.60416666666666</v>
      </c>
      <c r="AP34" s="7">
        <f t="shared" si="24"/>
        <v>0.75</v>
      </c>
      <c r="AQ34" s="7">
        <f t="shared" si="25"/>
        <v>2.0882175226586099</v>
      </c>
      <c r="AR34" s="11"/>
      <c r="AS34" s="4">
        <v>26</v>
      </c>
      <c r="AT34" s="6">
        <v>70</v>
      </c>
      <c r="AU34" s="6">
        <v>24</v>
      </c>
      <c r="AV34" s="7">
        <f t="shared" si="26"/>
        <v>0.6</v>
      </c>
      <c r="AW34" s="6">
        <f t="shared" si="27"/>
        <v>624</v>
      </c>
      <c r="AX34" s="4">
        <f t="shared" si="28"/>
        <v>-152.94444444444446</v>
      </c>
      <c r="AY34" s="18">
        <f t="shared" si="0"/>
        <v>0.58154706430568504</v>
      </c>
      <c r="AZ34" s="7">
        <f t="shared" si="1"/>
        <v>1.3246845146833353</v>
      </c>
      <c r="BA34" s="11"/>
      <c r="BB34" s="15">
        <v>31</v>
      </c>
      <c r="BC34" s="15">
        <v>71</v>
      </c>
      <c r="BD34" s="15">
        <v>39</v>
      </c>
      <c r="BE34" s="7">
        <f t="shared" si="29"/>
        <v>0.97499999999999998</v>
      </c>
      <c r="BF34" s="15">
        <f t="shared" si="30"/>
        <v>1209</v>
      </c>
      <c r="BG34" s="15">
        <f t="shared" si="31"/>
        <v>-883</v>
      </c>
      <c r="BH34" s="16">
        <f t="shared" si="32"/>
        <v>1</v>
      </c>
      <c r="BI34" s="7">
        <f t="shared" si="33"/>
        <v>3.7085889570552149</v>
      </c>
    </row>
    <row r="35" spans="7:61" x14ac:dyDescent="0.25">
      <c r="G35" s="10"/>
      <c r="H35" s="10"/>
      <c r="I35" s="11"/>
      <c r="J35" s="4">
        <v>17</v>
      </c>
      <c r="K35" s="6">
        <v>69</v>
      </c>
      <c r="L35" s="6">
        <v>14</v>
      </c>
      <c r="M35" s="7">
        <f t="shared" si="7"/>
        <v>0.77777777777777779</v>
      </c>
      <c r="N35" s="6">
        <f t="shared" si="8"/>
        <v>238</v>
      </c>
      <c r="O35" s="6">
        <f t="shared" si="9"/>
        <v>-228.67500000000001</v>
      </c>
      <c r="P35" s="18">
        <f t="shared" si="10"/>
        <v>0.7</v>
      </c>
      <c r="Q35" s="7">
        <f t="shared" si="11"/>
        <v>1.639400723265025</v>
      </c>
      <c r="S35" s="4">
        <v>17</v>
      </c>
      <c r="T35" s="4">
        <v>111</v>
      </c>
      <c r="U35" s="4">
        <v>30</v>
      </c>
      <c r="V35" s="7">
        <f t="shared" si="12"/>
        <v>0.967741935483871</v>
      </c>
      <c r="W35" s="4">
        <f t="shared" si="13"/>
        <v>510</v>
      </c>
      <c r="X35" s="4">
        <f t="shared" si="14"/>
        <v>-218.01999999999998</v>
      </c>
      <c r="Y35" s="7">
        <f t="shared" si="15"/>
        <v>0.94444444444444442</v>
      </c>
      <c r="Z35" s="7">
        <f t="shared" si="16"/>
        <v>1.7466949791081581</v>
      </c>
      <c r="AA35" s="11"/>
      <c r="AB35" s="4">
        <v>19</v>
      </c>
      <c r="AC35" s="4">
        <v>89</v>
      </c>
      <c r="AD35" s="4">
        <v>15</v>
      </c>
      <c r="AE35" s="4">
        <f t="shared" si="17"/>
        <v>285</v>
      </c>
      <c r="AF35" s="4">
        <f t="shared" si="18"/>
        <v>-285</v>
      </c>
      <c r="AG35" s="7">
        <f t="shared" si="19"/>
        <v>0.79166666666666663</v>
      </c>
      <c r="AH35" s="7">
        <f t="shared" si="20"/>
        <v>2.1640091116173124</v>
      </c>
      <c r="AI35" s="11"/>
      <c r="AJ35" s="4">
        <v>20</v>
      </c>
      <c r="AK35" s="4">
        <v>80</v>
      </c>
      <c r="AL35" s="4">
        <v>21</v>
      </c>
      <c r="AM35" s="7">
        <f t="shared" si="21"/>
        <v>1.05</v>
      </c>
      <c r="AN35" s="4">
        <f t="shared" si="22"/>
        <v>420</v>
      </c>
      <c r="AO35" s="4">
        <f t="shared" si="23"/>
        <v>-247.60416666666666</v>
      </c>
      <c r="AP35" s="7">
        <f t="shared" si="24"/>
        <v>0.875</v>
      </c>
      <c r="AQ35" s="7">
        <f t="shared" si="25"/>
        <v>2.4362537764350454</v>
      </c>
      <c r="AR35" s="11"/>
      <c r="AS35" s="4">
        <v>27</v>
      </c>
      <c r="AT35" s="4">
        <v>69</v>
      </c>
      <c r="AU35" s="4">
        <v>25</v>
      </c>
      <c r="AV35" s="7">
        <f t="shared" si="26"/>
        <v>0.625</v>
      </c>
      <c r="AW35" s="4">
        <f t="shared" si="27"/>
        <v>675</v>
      </c>
      <c r="AX35" s="4">
        <f t="shared" si="28"/>
        <v>-203.94444444444446</v>
      </c>
      <c r="AY35" s="7">
        <f t="shared" si="0"/>
        <v>0.62907735321528424</v>
      </c>
      <c r="AZ35" s="7">
        <f t="shared" si="1"/>
        <v>1.4329519990564925</v>
      </c>
      <c r="BA35" s="11"/>
      <c r="BB35" s="4">
        <v>30</v>
      </c>
      <c r="BC35" s="4">
        <v>69</v>
      </c>
      <c r="BD35" s="4">
        <v>34</v>
      </c>
      <c r="BE35" s="7">
        <f t="shared" si="29"/>
        <v>0.85</v>
      </c>
      <c r="BF35" s="4">
        <f t="shared" si="30"/>
        <v>1020</v>
      </c>
      <c r="BG35" s="4">
        <f t="shared" si="31"/>
        <v>-694</v>
      </c>
      <c r="BH35" s="7">
        <f t="shared" si="32"/>
        <v>0.84367245657568235</v>
      </c>
      <c r="BI35" s="7">
        <f t="shared" si="33"/>
        <v>3.128834355828221</v>
      </c>
    </row>
    <row r="36" spans="7:61" x14ac:dyDescent="0.25">
      <c r="G36" s="10"/>
      <c r="H36" s="10"/>
      <c r="I36" s="11"/>
      <c r="J36" s="4">
        <v>17</v>
      </c>
      <c r="K36" s="4">
        <v>68</v>
      </c>
      <c r="L36" s="4">
        <v>13</v>
      </c>
      <c r="M36" s="7">
        <f t="shared" si="7"/>
        <v>0.72222222222222221</v>
      </c>
      <c r="N36" s="4">
        <f t="shared" si="8"/>
        <v>221</v>
      </c>
      <c r="O36" s="4">
        <f t="shared" si="9"/>
        <v>-211.67500000000001</v>
      </c>
      <c r="P36" s="7">
        <f t="shared" si="10"/>
        <v>0.65</v>
      </c>
      <c r="Q36" s="7">
        <f t="shared" si="11"/>
        <v>1.5223006716032375</v>
      </c>
      <c r="S36" s="4">
        <v>18</v>
      </c>
      <c r="T36" s="15">
        <v>110</v>
      </c>
      <c r="U36" s="15">
        <v>30</v>
      </c>
      <c r="V36" s="7">
        <f t="shared" si="12"/>
        <v>0.967741935483871</v>
      </c>
      <c r="W36" s="15">
        <f t="shared" si="13"/>
        <v>540</v>
      </c>
      <c r="X36" s="15">
        <f t="shared" si="14"/>
        <v>-248.01999999999998</v>
      </c>
      <c r="Y36" s="16">
        <f t="shared" si="15"/>
        <v>1</v>
      </c>
      <c r="Z36" s="7">
        <f t="shared" si="16"/>
        <v>1.8494417425851084</v>
      </c>
      <c r="AA36" s="11"/>
      <c r="AB36" s="4">
        <v>17</v>
      </c>
      <c r="AC36" s="6">
        <v>88</v>
      </c>
      <c r="AD36" s="6">
        <v>15</v>
      </c>
      <c r="AE36" s="6">
        <f t="shared" si="17"/>
        <v>255</v>
      </c>
      <c r="AF36" s="6">
        <f t="shared" si="18"/>
        <v>-255</v>
      </c>
      <c r="AG36" s="18">
        <f t="shared" si="19"/>
        <v>0.70833333333333337</v>
      </c>
      <c r="AH36" s="7">
        <f t="shared" si="20"/>
        <v>1.9362186788154898</v>
      </c>
      <c r="AI36" s="11"/>
      <c r="AJ36" s="4">
        <v>19</v>
      </c>
      <c r="AK36" s="4">
        <v>79</v>
      </c>
      <c r="AL36" s="4">
        <v>20</v>
      </c>
      <c r="AM36" s="7">
        <f t="shared" si="21"/>
        <v>1</v>
      </c>
      <c r="AN36" s="4">
        <f t="shared" si="22"/>
        <v>380</v>
      </c>
      <c r="AO36" s="4">
        <f t="shared" si="23"/>
        <v>-207.60416666666666</v>
      </c>
      <c r="AP36" s="7">
        <f t="shared" si="24"/>
        <v>0.79166666666666663</v>
      </c>
      <c r="AQ36" s="7">
        <f t="shared" si="25"/>
        <v>2.2042296072507552</v>
      </c>
      <c r="AR36" s="11"/>
      <c r="AS36" s="4">
        <v>29</v>
      </c>
      <c r="AT36" s="4">
        <v>68</v>
      </c>
      <c r="AU36" s="4">
        <v>25</v>
      </c>
      <c r="AV36" s="7">
        <f t="shared" si="26"/>
        <v>0.625</v>
      </c>
      <c r="AW36" s="4">
        <f t="shared" si="27"/>
        <v>725</v>
      </c>
      <c r="AX36" s="4">
        <f t="shared" si="28"/>
        <v>-253.94444444444446</v>
      </c>
      <c r="AY36" s="7">
        <f t="shared" si="0"/>
        <v>0.67567567567567566</v>
      </c>
      <c r="AZ36" s="7">
        <f t="shared" si="1"/>
        <v>1.5390965915791956</v>
      </c>
      <c r="BA36" s="11"/>
      <c r="BB36" s="6">
        <v>26</v>
      </c>
      <c r="BC36" s="6">
        <v>67</v>
      </c>
      <c r="BD36" s="6">
        <v>28</v>
      </c>
      <c r="BE36" s="7">
        <f t="shared" si="29"/>
        <v>0.7</v>
      </c>
      <c r="BF36" s="6">
        <f t="shared" si="30"/>
        <v>728</v>
      </c>
      <c r="BG36" s="6">
        <f t="shared" si="31"/>
        <v>-402</v>
      </c>
      <c r="BH36" s="18">
        <f t="shared" si="32"/>
        <v>0.60215053763440862</v>
      </c>
      <c r="BI36" s="7">
        <f t="shared" si="33"/>
        <v>2.2331288343558282</v>
      </c>
    </row>
    <row r="37" spans="7:61" x14ac:dyDescent="0.25">
      <c r="G37" s="10"/>
      <c r="H37" s="10"/>
      <c r="I37" s="11"/>
      <c r="J37" s="4">
        <v>1</v>
      </c>
      <c r="K37" s="4">
        <v>0</v>
      </c>
      <c r="L37" s="4">
        <v>0</v>
      </c>
      <c r="M37" s="7">
        <f t="shared" si="7"/>
        <v>0</v>
      </c>
      <c r="N37" s="4">
        <f t="shared" si="8"/>
        <v>0</v>
      </c>
      <c r="O37" s="4">
        <f t="shared" si="9"/>
        <v>9.3249999999999993</v>
      </c>
      <c r="P37" s="7">
        <f t="shared" si="10"/>
        <v>0</v>
      </c>
      <c r="Q37" s="7">
        <f t="shared" si="11"/>
        <v>0</v>
      </c>
      <c r="S37" s="4">
        <v>17</v>
      </c>
      <c r="T37" s="4">
        <v>109</v>
      </c>
      <c r="U37" s="4">
        <v>27</v>
      </c>
      <c r="V37" s="7">
        <f t="shared" si="12"/>
        <v>0.87096774193548387</v>
      </c>
      <c r="W37" s="4">
        <f t="shared" si="13"/>
        <v>459</v>
      </c>
      <c r="X37" s="4">
        <f t="shared" si="14"/>
        <v>-167.01999999999998</v>
      </c>
      <c r="Y37" s="7">
        <f t="shared" si="15"/>
        <v>0.85</v>
      </c>
      <c r="Z37" s="7">
        <f t="shared" si="16"/>
        <v>1.5720254811973422</v>
      </c>
      <c r="AA37" s="11"/>
      <c r="AB37" s="4">
        <v>17</v>
      </c>
      <c r="AC37" s="4">
        <v>87</v>
      </c>
      <c r="AD37" s="4">
        <v>13</v>
      </c>
      <c r="AE37" s="4">
        <f t="shared" si="17"/>
        <v>221</v>
      </c>
      <c r="AF37" s="4">
        <f t="shared" si="18"/>
        <v>-221</v>
      </c>
      <c r="AG37" s="7">
        <f t="shared" si="19"/>
        <v>0.61388888888888893</v>
      </c>
      <c r="AH37" s="7">
        <f t="shared" si="20"/>
        <v>1.678056188306758</v>
      </c>
      <c r="AI37" s="11"/>
      <c r="AJ37" s="4">
        <v>21</v>
      </c>
      <c r="AK37" s="4">
        <v>77</v>
      </c>
      <c r="AL37" s="4">
        <v>19</v>
      </c>
      <c r="AM37" s="7">
        <f t="shared" si="21"/>
        <v>0.95</v>
      </c>
      <c r="AN37" s="4">
        <f t="shared" si="22"/>
        <v>399</v>
      </c>
      <c r="AO37" s="4">
        <f t="shared" si="23"/>
        <v>-226.60416666666666</v>
      </c>
      <c r="AP37" s="7">
        <f t="shared" si="24"/>
        <v>0.83125000000000004</v>
      </c>
      <c r="AQ37" s="7">
        <f t="shared" si="25"/>
        <v>2.314441087613293</v>
      </c>
      <c r="AR37" s="11"/>
      <c r="AS37" s="4">
        <v>19</v>
      </c>
      <c r="AT37" s="4">
        <v>67</v>
      </c>
      <c r="AU37" s="4">
        <v>19</v>
      </c>
      <c r="AV37" s="7">
        <f t="shared" si="26"/>
        <v>0.47499999999999998</v>
      </c>
      <c r="AW37" s="4">
        <f t="shared" si="27"/>
        <v>361</v>
      </c>
      <c r="AX37" s="4">
        <f t="shared" si="28"/>
        <v>110.05555555555554</v>
      </c>
      <c r="AY37" s="7">
        <f t="shared" si="0"/>
        <v>0.33643988816402609</v>
      </c>
      <c r="AZ37" s="7">
        <f t="shared" si="1"/>
        <v>0.76636395801391677</v>
      </c>
      <c r="BA37" s="11"/>
      <c r="BB37" s="4">
        <v>28</v>
      </c>
      <c r="BC37" s="4">
        <v>66</v>
      </c>
      <c r="BD37" s="4">
        <v>28</v>
      </c>
      <c r="BE37" s="7">
        <f t="shared" si="29"/>
        <v>0.7</v>
      </c>
      <c r="BF37" s="4">
        <f t="shared" si="30"/>
        <v>784</v>
      </c>
      <c r="BG37" s="4">
        <f t="shared" si="31"/>
        <v>-458</v>
      </c>
      <c r="BH37" s="7">
        <f t="shared" si="32"/>
        <v>0.64846980976013235</v>
      </c>
      <c r="BI37" s="7">
        <f t="shared" si="33"/>
        <v>2.4049079754601226</v>
      </c>
    </row>
    <row r="38" spans="7:61" x14ac:dyDescent="0.25">
      <c r="G38" s="10"/>
      <c r="H38" s="10"/>
      <c r="I38" s="11"/>
      <c r="J38" s="4">
        <v>1</v>
      </c>
      <c r="K38" s="4">
        <v>0</v>
      </c>
      <c r="L38" s="4">
        <v>0</v>
      </c>
      <c r="M38" s="7">
        <f t="shared" si="7"/>
        <v>0</v>
      </c>
      <c r="N38" s="4">
        <f t="shared" si="8"/>
        <v>0</v>
      </c>
      <c r="O38" s="4">
        <f t="shared" si="9"/>
        <v>9.3249999999999993</v>
      </c>
      <c r="P38" s="7">
        <f t="shared" si="10"/>
        <v>0</v>
      </c>
      <c r="Q38" s="7">
        <f t="shared" si="11"/>
        <v>0</v>
      </c>
      <c r="S38" s="4">
        <v>17</v>
      </c>
      <c r="T38" s="4">
        <v>108</v>
      </c>
      <c r="U38" s="4">
        <v>26</v>
      </c>
      <c r="V38" s="7">
        <f t="shared" si="12"/>
        <v>0.83870967741935487</v>
      </c>
      <c r="W38" s="4">
        <f t="shared" si="13"/>
        <v>442</v>
      </c>
      <c r="X38" s="4">
        <f t="shared" si="14"/>
        <v>-150.01999999999998</v>
      </c>
      <c r="Y38" s="7">
        <f t="shared" si="15"/>
        <v>0.81851851851851853</v>
      </c>
      <c r="Z38" s="7">
        <f t="shared" si="16"/>
        <v>1.5138023152270703</v>
      </c>
      <c r="AA38" s="11"/>
      <c r="AB38" s="4">
        <v>17</v>
      </c>
      <c r="AC38" s="4">
        <v>86</v>
      </c>
      <c r="AD38" s="4">
        <v>12</v>
      </c>
      <c r="AE38" s="4">
        <f t="shared" si="17"/>
        <v>204</v>
      </c>
      <c r="AF38" s="4">
        <f t="shared" si="18"/>
        <v>-204</v>
      </c>
      <c r="AG38" s="7">
        <f t="shared" si="19"/>
        <v>0.56666666666666665</v>
      </c>
      <c r="AH38" s="7">
        <f t="shared" si="20"/>
        <v>1.548974943052392</v>
      </c>
      <c r="AI38" s="11"/>
      <c r="AJ38" s="4">
        <v>25</v>
      </c>
      <c r="AK38" s="4">
        <v>76</v>
      </c>
      <c r="AL38" s="4">
        <v>18</v>
      </c>
      <c r="AM38" s="7">
        <f t="shared" si="21"/>
        <v>0.9</v>
      </c>
      <c r="AN38" s="4">
        <f t="shared" si="22"/>
        <v>450</v>
      </c>
      <c r="AO38" s="4">
        <f t="shared" si="23"/>
        <v>-277.60416666666663</v>
      </c>
      <c r="AP38" s="7">
        <f t="shared" si="24"/>
        <v>0.9375</v>
      </c>
      <c r="AQ38" s="7">
        <f t="shared" si="25"/>
        <v>2.6102719033232629</v>
      </c>
      <c r="AR38" s="11"/>
      <c r="AT38" s="4">
        <f>AVERAGE(AT11:AT37)</f>
        <v>77.333333333333329</v>
      </c>
      <c r="AU38" s="4">
        <f>AVERAGE(AU11:AU37)</f>
        <v>27.518518518518519</v>
      </c>
      <c r="AV38" s="7">
        <f t="shared" si="26"/>
        <v>0.687962962962963</v>
      </c>
      <c r="AW38" s="13">
        <f>MAX(AW2:AW37)</f>
        <v>1073</v>
      </c>
      <c r="AY38" s="7"/>
      <c r="AZ38" s="7"/>
      <c r="BA38" s="11"/>
      <c r="BB38" s="4">
        <v>29</v>
      </c>
      <c r="BC38" s="4">
        <v>64</v>
      </c>
      <c r="BD38" s="4">
        <v>26</v>
      </c>
      <c r="BE38" s="7">
        <f t="shared" si="29"/>
        <v>0.65</v>
      </c>
      <c r="BF38" s="4">
        <f t="shared" si="30"/>
        <v>754</v>
      </c>
    </row>
    <row r="39" spans="7:61" x14ac:dyDescent="0.25">
      <c r="G39" s="10"/>
      <c r="H39" s="10"/>
      <c r="I39" s="11"/>
      <c r="J39" s="4">
        <v>17</v>
      </c>
      <c r="K39" s="4">
        <v>67</v>
      </c>
      <c r="L39" s="4">
        <v>12</v>
      </c>
      <c r="M39" s="7">
        <f t="shared" si="7"/>
        <v>0.66666666666666663</v>
      </c>
      <c r="N39" s="4">
        <f t="shared" si="8"/>
        <v>204</v>
      </c>
      <c r="O39" s="4">
        <f t="shared" si="9"/>
        <v>-194.67500000000001</v>
      </c>
      <c r="P39" s="7">
        <f t="shared" si="10"/>
        <v>0.6</v>
      </c>
      <c r="Q39" s="7">
        <f t="shared" si="11"/>
        <v>1.40520061994145</v>
      </c>
      <c r="S39" s="4">
        <v>17</v>
      </c>
      <c r="T39" s="4">
        <v>107</v>
      </c>
      <c r="U39" s="4">
        <v>26</v>
      </c>
      <c r="V39" s="7">
        <f t="shared" si="12"/>
        <v>0.83870967741935487</v>
      </c>
      <c r="W39" s="4">
        <f t="shared" si="13"/>
        <v>442</v>
      </c>
      <c r="X39" s="4">
        <f t="shared" si="14"/>
        <v>-150.01999999999998</v>
      </c>
      <c r="Y39" s="7">
        <f t="shared" si="15"/>
        <v>0.81851851851851853</v>
      </c>
      <c r="Z39" s="7">
        <f t="shared" si="16"/>
        <v>1.5138023152270703</v>
      </c>
      <c r="AA39" s="11"/>
      <c r="AB39" s="4">
        <v>17</v>
      </c>
      <c r="AC39" s="4">
        <v>85</v>
      </c>
      <c r="AD39" s="4">
        <v>11</v>
      </c>
      <c r="AE39" s="4">
        <f t="shared" si="17"/>
        <v>187</v>
      </c>
      <c r="AF39" s="4">
        <f t="shared" si="18"/>
        <v>-187</v>
      </c>
      <c r="AG39" s="7">
        <f t="shared" si="19"/>
        <v>0.51944444444444449</v>
      </c>
      <c r="AH39" s="7">
        <f t="shared" si="20"/>
        <v>1.4198936977980259</v>
      </c>
      <c r="AI39" s="11"/>
      <c r="AJ39" s="4">
        <v>24</v>
      </c>
      <c r="AK39" s="15">
        <v>76</v>
      </c>
      <c r="AL39" s="15">
        <v>20</v>
      </c>
      <c r="AM39" s="7">
        <f t="shared" si="21"/>
        <v>1</v>
      </c>
      <c r="AN39" s="15">
        <f t="shared" si="22"/>
        <v>480</v>
      </c>
      <c r="AO39" s="4">
        <f t="shared" si="23"/>
        <v>-307.60416666666663</v>
      </c>
      <c r="AP39" s="16">
        <f t="shared" si="24"/>
        <v>1</v>
      </c>
      <c r="AQ39" s="7">
        <f t="shared" si="25"/>
        <v>2.7842900302114804</v>
      </c>
      <c r="AR39" s="11"/>
      <c r="AU39" s="4">
        <f>MAX(AU2:AU38)</f>
        <v>40</v>
      </c>
      <c r="AW39" s="13">
        <f>AVERAGE(AW2:AW37)</f>
        <v>471.05555555555554</v>
      </c>
      <c r="BA39" s="11"/>
      <c r="BB39" s="4">
        <v>30</v>
      </c>
      <c r="BC39" s="4">
        <v>62</v>
      </c>
      <c r="BD39" s="4">
        <v>25</v>
      </c>
      <c r="BE39" s="7">
        <f t="shared" si="29"/>
        <v>0.625</v>
      </c>
      <c r="BF39" s="4">
        <f t="shared" si="30"/>
        <v>750</v>
      </c>
    </row>
    <row r="40" spans="7:61" x14ac:dyDescent="0.25">
      <c r="G40" s="10"/>
      <c r="H40" s="10"/>
      <c r="I40" s="11"/>
      <c r="J40" s="4">
        <v>20</v>
      </c>
      <c r="K40" s="4">
        <v>66</v>
      </c>
      <c r="L40" s="4">
        <v>14</v>
      </c>
      <c r="M40" s="7">
        <f t="shared" si="7"/>
        <v>0.77777777777777779</v>
      </c>
      <c r="N40" s="4">
        <f t="shared" si="8"/>
        <v>280</v>
      </c>
      <c r="O40" s="4">
        <f t="shared" si="9"/>
        <v>-270.67500000000001</v>
      </c>
      <c r="P40" s="7">
        <f t="shared" si="10"/>
        <v>0.82352941176470584</v>
      </c>
      <c r="Q40" s="7">
        <f t="shared" si="11"/>
        <v>1.9287067332529704</v>
      </c>
      <c r="S40" s="4">
        <v>17</v>
      </c>
      <c r="T40" s="4">
        <v>105</v>
      </c>
      <c r="U40" s="4">
        <v>26</v>
      </c>
      <c r="V40" s="7">
        <f t="shared" si="12"/>
        <v>0.83870967741935487</v>
      </c>
      <c r="W40" s="4">
        <f t="shared" si="13"/>
        <v>442</v>
      </c>
      <c r="X40" s="4">
        <f t="shared" si="14"/>
        <v>-150.01999999999998</v>
      </c>
      <c r="Y40" s="7">
        <f t="shared" si="15"/>
        <v>0.81851851851851853</v>
      </c>
      <c r="Z40" s="7">
        <f t="shared" si="16"/>
        <v>1.5138023152270703</v>
      </c>
      <c r="AA40" s="11"/>
      <c r="AB40" s="4">
        <v>18</v>
      </c>
      <c r="AC40" s="4">
        <v>83</v>
      </c>
      <c r="AD40" s="4">
        <v>13</v>
      </c>
      <c r="AE40" s="4">
        <f t="shared" si="17"/>
        <v>234</v>
      </c>
      <c r="AF40" s="4">
        <f t="shared" si="18"/>
        <v>-234</v>
      </c>
      <c r="AG40" s="7">
        <f t="shared" si="19"/>
        <v>0.65</v>
      </c>
      <c r="AH40" s="7">
        <f t="shared" si="20"/>
        <v>1.7767653758542143</v>
      </c>
      <c r="AI40" s="11"/>
      <c r="AJ40" s="4">
        <v>19</v>
      </c>
      <c r="AK40" s="4">
        <v>74</v>
      </c>
      <c r="AL40" s="4">
        <v>18</v>
      </c>
      <c r="AM40" s="7">
        <f t="shared" si="21"/>
        <v>0.9</v>
      </c>
      <c r="AN40" s="4">
        <f t="shared" si="22"/>
        <v>342</v>
      </c>
      <c r="AO40" s="4">
        <f t="shared" si="23"/>
        <v>-169.60416666666666</v>
      </c>
      <c r="AP40" s="7">
        <f t="shared" si="24"/>
        <v>0.71250000000000002</v>
      </c>
      <c r="AQ40" s="7">
        <f t="shared" si="25"/>
        <v>1.9838066465256796</v>
      </c>
      <c r="AR40" s="11"/>
      <c r="BA40" s="11"/>
      <c r="BB40" s="4">
        <v>24</v>
      </c>
      <c r="BC40" s="4">
        <v>61</v>
      </c>
      <c r="BD40" s="4">
        <v>16</v>
      </c>
      <c r="BE40" s="7">
        <f t="shared" si="29"/>
        <v>0.4</v>
      </c>
      <c r="BF40" s="4">
        <f t="shared" si="30"/>
        <v>384</v>
      </c>
    </row>
    <row r="41" spans="7:61" x14ac:dyDescent="0.25">
      <c r="G41" s="10"/>
      <c r="H41" s="10"/>
      <c r="I41" s="11"/>
      <c r="J41" s="4">
        <v>17</v>
      </c>
      <c r="K41" s="4">
        <v>64</v>
      </c>
      <c r="L41" s="4">
        <v>10</v>
      </c>
      <c r="M41" s="7">
        <f t="shared" si="7"/>
        <v>0.55555555555555558</v>
      </c>
      <c r="N41" s="4">
        <f t="shared" si="8"/>
        <v>170</v>
      </c>
      <c r="O41" s="4">
        <f>L$42-N41</f>
        <v>-160.67500000000001</v>
      </c>
      <c r="P41" s="7">
        <f>N41/N$42</f>
        <v>0.5</v>
      </c>
      <c r="Q41" s="7">
        <f>N41/N$43</f>
        <v>1.171000516617875</v>
      </c>
      <c r="S41" s="4">
        <v>18</v>
      </c>
      <c r="T41" s="4">
        <v>104</v>
      </c>
      <c r="U41" s="4">
        <v>24</v>
      </c>
      <c r="V41" s="7">
        <f t="shared" si="12"/>
        <v>0.77419354838709675</v>
      </c>
      <c r="W41" s="4">
        <f t="shared" si="13"/>
        <v>432</v>
      </c>
      <c r="X41" s="4">
        <f t="shared" si="14"/>
        <v>-140.01999999999998</v>
      </c>
      <c r="Y41" s="7">
        <f t="shared" si="15"/>
        <v>0.8</v>
      </c>
      <c r="Z41" s="7">
        <f t="shared" si="16"/>
        <v>1.4795533940680867</v>
      </c>
      <c r="AA41" s="11"/>
      <c r="AB41" s="4">
        <v>19</v>
      </c>
      <c r="AC41" s="4">
        <v>82</v>
      </c>
      <c r="AD41" s="4">
        <v>13</v>
      </c>
      <c r="AE41" s="4">
        <f t="shared" si="17"/>
        <v>247</v>
      </c>
      <c r="AF41" s="4">
        <f t="shared" si="18"/>
        <v>-247</v>
      </c>
      <c r="AG41" s="7">
        <f t="shared" si="19"/>
        <v>0.68611111111111112</v>
      </c>
      <c r="AH41" s="7">
        <f t="shared" si="20"/>
        <v>1.8754745634016707</v>
      </c>
      <c r="AI41" s="11"/>
      <c r="AJ41" s="4">
        <v>18</v>
      </c>
      <c r="AK41" s="4">
        <v>72</v>
      </c>
      <c r="AL41" s="4">
        <v>15</v>
      </c>
      <c r="AM41" s="7">
        <f t="shared" si="21"/>
        <v>0.75</v>
      </c>
      <c r="AN41" s="4">
        <f t="shared" si="22"/>
        <v>270</v>
      </c>
      <c r="AO41" s="4">
        <f t="shared" si="23"/>
        <v>-97.604166666666657</v>
      </c>
      <c r="AP41" s="7">
        <f t="shared" si="24"/>
        <v>0.5625</v>
      </c>
      <c r="AQ41" s="7">
        <f t="shared" si="25"/>
        <v>1.5661631419939577</v>
      </c>
      <c r="AR41" s="11"/>
      <c r="BA41" s="11"/>
      <c r="BB41" s="4">
        <v>19</v>
      </c>
      <c r="BC41" s="4">
        <v>60</v>
      </c>
      <c r="BD41" s="4">
        <v>17</v>
      </c>
      <c r="BE41" s="7">
        <f t="shared" si="29"/>
        <v>0.42499999999999999</v>
      </c>
      <c r="BF41" s="4">
        <f t="shared" si="30"/>
        <v>323</v>
      </c>
    </row>
    <row r="42" spans="7:61" x14ac:dyDescent="0.25">
      <c r="K42" s="4">
        <f>AVERAGE(K2:K41)</f>
        <v>72.724999999999994</v>
      </c>
      <c r="L42" s="4">
        <f>AVERAGE(L2:L41)</f>
        <v>9.3249999999999993</v>
      </c>
      <c r="M42" s="7"/>
      <c r="N42" s="13">
        <f>MAX(N2:N41)</f>
        <v>340</v>
      </c>
      <c r="Q42" s="10"/>
      <c r="S42" s="4">
        <v>17</v>
      </c>
      <c r="T42" s="4">
        <v>103</v>
      </c>
      <c r="U42" s="4">
        <v>24</v>
      </c>
      <c r="V42" s="7">
        <f t="shared" si="12"/>
        <v>0.77419354838709675</v>
      </c>
      <c r="W42" s="4">
        <f t="shared" si="13"/>
        <v>408</v>
      </c>
      <c r="X42" s="4">
        <f t="shared" si="14"/>
        <v>-116.01999999999998</v>
      </c>
      <c r="Y42" s="7">
        <f t="shared" si="15"/>
        <v>0.75555555555555554</v>
      </c>
      <c r="Z42" s="7">
        <f t="shared" si="16"/>
        <v>1.3973559832865263</v>
      </c>
      <c r="AA42" s="11"/>
      <c r="AC42" s="4">
        <f>AVERAGE(AC3:AC41)</f>
        <v>94.897435897435898</v>
      </c>
      <c r="AD42" s="4">
        <f>AVERAGE(AD3:AD41)</f>
        <v>9.1794871794871788</v>
      </c>
      <c r="AE42" s="13">
        <f>MAX(AE3:AE41)</f>
        <v>360</v>
      </c>
      <c r="AG42" s="10"/>
      <c r="AH42" s="10"/>
      <c r="AI42" s="11"/>
      <c r="AJ42" s="4">
        <v>1</v>
      </c>
      <c r="AK42" s="4">
        <v>0</v>
      </c>
      <c r="AL42" s="4">
        <v>0</v>
      </c>
      <c r="AM42" s="7">
        <f t="shared" si="21"/>
        <v>0</v>
      </c>
      <c r="AN42" s="4">
        <f t="shared" si="22"/>
        <v>0</v>
      </c>
      <c r="AO42" s="4">
        <f t="shared" si="23"/>
        <v>172.39583333333334</v>
      </c>
      <c r="AP42" s="7">
        <f t="shared" si="24"/>
        <v>0</v>
      </c>
      <c r="AQ42" s="7">
        <f t="shared" si="25"/>
        <v>0</v>
      </c>
      <c r="AR42" s="11"/>
      <c r="BA42" s="11"/>
      <c r="BB42" s="4">
        <v>1</v>
      </c>
      <c r="BC42" s="4">
        <v>0</v>
      </c>
      <c r="BD42" s="4">
        <v>0</v>
      </c>
      <c r="BE42" s="7">
        <f t="shared" si="29"/>
        <v>0</v>
      </c>
      <c r="BF42" s="4">
        <f t="shared" si="30"/>
        <v>0</v>
      </c>
    </row>
    <row r="43" spans="7:61" x14ac:dyDescent="0.25">
      <c r="L43" s="4">
        <f>MAX(L2:L41)</f>
        <v>18</v>
      </c>
      <c r="N43" s="13">
        <f>AVERAGE(N2:N41)</f>
        <v>145.17500000000001</v>
      </c>
      <c r="S43" s="4">
        <v>17</v>
      </c>
      <c r="T43" s="4">
        <v>102</v>
      </c>
      <c r="U43" s="4">
        <v>26</v>
      </c>
      <c r="V43" s="7">
        <f t="shared" si="12"/>
        <v>0.83870967741935487</v>
      </c>
      <c r="W43" s="4">
        <f t="shared" si="13"/>
        <v>442</v>
      </c>
      <c r="X43" s="4">
        <f t="shared" si="14"/>
        <v>-150.01999999999998</v>
      </c>
      <c r="Y43" s="7">
        <f t="shared" si="15"/>
        <v>0.81851851851851853</v>
      </c>
      <c r="Z43" s="7">
        <f t="shared" si="16"/>
        <v>1.5138023152270703</v>
      </c>
      <c r="AA43" s="11"/>
      <c r="AE43" s="13">
        <f>AVERAGE(AE2:AE41)</f>
        <v>131.69999999999999</v>
      </c>
      <c r="AG43" s="10"/>
      <c r="AI43" s="11"/>
      <c r="AJ43" s="4">
        <v>22</v>
      </c>
      <c r="AK43" s="4">
        <v>71</v>
      </c>
      <c r="AL43" s="4">
        <v>18</v>
      </c>
      <c r="AM43" s="7">
        <f t="shared" si="21"/>
        <v>0.9</v>
      </c>
      <c r="AN43" s="4">
        <f t="shared" si="22"/>
        <v>396</v>
      </c>
      <c r="AO43" s="4">
        <f t="shared" si="23"/>
        <v>-223.60416666666666</v>
      </c>
      <c r="AP43" s="7">
        <f t="shared" si="24"/>
        <v>0.82499999999999996</v>
      </c>
      <c r="AQ43" s="7">
        <f t="shared" si="25"/>
        <v>2.297039274924471</v>
      </c>
      <c r="AR43" s="11"/>
      <c r="BA43" s="11"/>
      <c r="BB43" s="4">
        <v>1</v>
      </c>
      <c r="BC43" s="4">
        <v>0</v>
      </c>
      <c r="BD43" s="4">
        <v>0</v>
      </c>
      <c r="BE43" s="7">
        <f t="shared" si="29"/>
        <v>0</v>
      </c>
      <c r="BF43" s="4">
        <f t="shared" si="30"/>
        <v>0</v>
      </c>
    </row>
    <row r="44" spans="7:61" x14ac:dyDescent="0.25">
      <c r="S44" s="4">
        <v>18</v>
      </c>
      <c r="T44" s="4">
        <v>101</v>
      </c>
      <c r="U44" s="4">
        <v>25</v>
      </c>
      <c r="V44" s="7">
        <f t="shared" si="12"/>
        <v>0.80645161290322576</v>
      </c>
      <c r="W44" s="4">
        <f t="shared" si="13"/>
        <v>450</v>
      </c>
      <c r="X44" s="4">
        <f t="shared" si="14"/>
        <v>-158.01999999999998</v>
      </c>
      <c r="Y44" s="7">
        <f t="shared" si="15"/>
        <v>0.83333333333333337</v>
      </c>
      <c r="Z44" s="7">
        <f t="shared" si="16"/>
        <v>1.541201452154257</v>
      </c>
      <c r="AA44" s="11"/>
      <c r="AG44" s="10"/>
      <c r="AI44" s="11"/>
      <c r="AJ44" s="4">
        <v>23</v>
      </c>
      <c r="AK44" s="6">
        <v>70</v>
      </c>
      <c r="AL44" s="6">
        <v>17</v>
      </c>
      <c r="AM44" s="7">
        <f t="shared" si="21"/>
        <v>0.85</v>
      </c>
      <c r="AN44" s="6">
        <f t="shared" si="22"/>
        <v>391</v>
      </c>
      <c r="AO44" s="4">
        <f t="shared" si="23"/>
        <v>-218.60416666666666</v>
      </c>
      <c r="AP44" s="18">
        <f t="shared" si="24"/>
        <v>0.81458333333333333</v>
      </c>
      <c r="AQ44" s="7">
        <f t="shared" si="25"/>
        <v>2.2680362537764349</v>
      </c>
      <c r="AR44" s="11"/>
      <c r="BA44" s="11"/>
      <c r="BC44" s="4">
        <f>AVERAGE(BC17:BC43)</f>
        <v>53.296296296296298</v>
      </c>
      <c r="BD44" s="4">
        <f>AVERAGE(BD2:BD43)</f>
        <v>15.261904761904763</v>
      </c>
      <c r="BE44" s="7"/>
      <c r="BF44" s="13">
        <f>MAX(BF2:BF43)</f>
        <v>1209</v>
      </c>
    </row>
    <row r="45" spans="7:61" x14ac:dyDescent="0.25">
      <c r="S45" s="4">
        <v>17</v>
      </c>
      <c r="T45" s="4">
        <v>100</v>
      </c>
      <c r="U45" s="4">
        <v>23</v>
      </c>
      <c r="V45" s="7">
        <f t="shared" si="12"/>
        <v>0.74193548387096775</v>
      </c>
      <c r="W45" s="4">
        <f t="shared" si="13"/>
        <v>391</v>
      </c>
      <c r="X45" s="4">
        <f t="shared" si="14"/>
        <v>-99.019999999999982</v>
      </c>
      <c r="Y45" s="7">
        <f t="shared" si="15"/>
        <v>0.72407407407407409</v>
      </c>
      <c r="Z45" s="7">
        <f t="shared" si="16"/>
        <v>1.3391328173162544</v>
      </c>
      <c r="AA45" s="11"/>
      <c r="AG45" s="10"/>
      <c r="AI45" s="11"/>
      <c r="AJ45" s="4">
        <v>19</v>
      </c>
      <c r="AK45" s="6">
        <v>69</v>
      </c>
      <c r="AL45" s="6">
        <v>16</v>
      </c>
      <c r="AM45" s="7">
        <f t="shared" si="21"/>
        <v>0.8</v>
      </c>
      <c r="AN45" s="6">
        <f t="shared" si="22"/>
        <v>304</v>
      </c>
      <c r="AO45" s="4">
        <f t="shared" si="23"/>
        <v>-131.60416666666666</v>
      </c>
      <c r="AP45" s="18">
        <f t="shared" si="24"/>
        <v>0.6333333333333333</v>
      </c>
      <c r="AQ45" s="7">
        <f t="shared" si="25"/>
        <v>1.7633836858006042</v>
      </c>
      <c r="AR45" s="11"/>
      <c r="BA45" s="11"/>
      <c r="BD45" s="4">
        <f>MAX(BD2:BD43)</f>
        <v>40</v>
      </c>
      <c r="BF45" s="13">
        <f>AVERAGE(BF2:BF43)</f>
        <v>326</v>
      </c>
    </row>
    <row r="46" spans="7:61" x14ac:dyDescent="0.25">
      <c r="S46" s="4">
        <v>18</v>
      </c>
      <c r="T46" s="4">
        <v>99</v>
      </c>
      <c r="U46" s="4">
        <v>24</v>
      </c>
      <c r="V46" s="7">
        <f t="shared" si="12"/>
        <v>0.77419354838709675</v>
      </c>
      <c r="W46" s="4">
        <f t="shared" si="13"/>
        <v>432</v>
      </c>
      <c r="X46" s="4">
        <f t="shared" si="14"/>
        <v>-140.01999999999998</v>
      </c>
      <c r="Y46" s="7">
        <f t="shared" si="15"/>
        <v>0.8</v>
      </c>
      <c r="Z46" s="7">
        <f t="shared" si="16"/>
        <v>1.4795533940680867</v>
      </c>
      <c r="AA46" s="11"/>
      <c r="AG46" s="10"/>
      <c r="AI46" s="11"/>
      <c r="AJ46" s="4">
        <v>21</v>
      </c>
      <c r="AK46" s="4">
        <v>67</v>
      </c>
      <c r="AL46" s="4">
        <v>13</v>
      </c>
      <c r="AM46" s="7">
        <f t="shared" si="21"/>
        <v>0.65</v>
      </c>
      <c r="AN46" s="4">
        <f t="shared" si="22"/>
        <v>273</v>
      </c>
      <c r="AO46" s="4">
        <f t="shared" si="23"/>
        <v>-100.60416666666666</v>
      </c>
      <c r="AP46" s="7">
        <f t="shared" si="24"/>
        <v>0.56874999999999998</v>
      </c>
      <c r="AQ46" s="7">
        <f t="shared" si="25"/>
        <v>1.5835649546827795</v>
      </c>
      <c r="AR46" s="11"/>
      <c r="BA46" s="11"/>
    </row>
    <row r="47" spans="7:61" x14ac:dyDescent="0.25">
      <c r="S47" s="4">
        <v>19</v>
      </c>
      <c r="T47" s="4">
        <v>98</v>
      </c>
      <c r="U47" s="4">
        <v>23</v>
      </c>
      <c r="V47" s="7">
        <f t="shared" si="12"/>
        <v>0.74193548387096775</v>
      </c>
      <c r="W47" s="4">
        <f t="shared" si="13"/>
        <v>437</v>
      </c>
      <c r="X47" s="4">
        <f t="shared" si="14"/>
        <v>-145.01999999999998</v>
      </c>
      <c r="Y47" s="7">
        <f t="shared" si="15"/>
        <v>0.80925925925925923</v>
      </c>
      <c r="Z47" s="7">
        <f t="shared" si="16"/>
        <v>1.4966778546475785</v>
      </c>
      <c r="AA47" s="11"/>
      <c r="AG47" s="10"/>
      <c r="AI47" s="11"/>
      <c r="AJ47" s="4">
        <v>25</v>
      </c>
      <c r="AK47" s="4">
        <v>66</v>
      </c>
      <c r="AL47" s="4">
        <v>12</v>
      </c>
      <c r="AM47" s="7">
        <f t="shared" si="21"/>
        <v>0.6</v>
      </c>
      <c r="AN47" s="4">
        <f t="shared" si="22"/>
        <v>300</v>
      </c>
      <c r="AO47" s="4">
        <f t="shared" si="23"/>
        <v>-127.60416666666666</v>
      </c>
      <c r="AP47" s="7">
        <f t="shared" si="24"/>
        <v>0.625</v>
      </c>
      <c r="AQ47" s="7">
        <f t="shared" si="25"/>
        <v>1.7401812688821752</v>
      </c>
      <c r="AR47" s="11"/>
      <c r="BA47" s="11"/>
    </row>
    <row r="48" spans="7:61" x14ac:dyDescent="0.25">
      <c r="S48" s="4">
        <v>18</v>
      </c>
      <c r="T48" s="6">
        <v>97</v>
      </c>
      <c r="U48" s="6">
        <v>20</v>
      </c>
      <c r="V48" s="7">
        <f t="shared" si="12"/>
        <v>0.64516129032258063</v>
      </c>
      <c r="W48" s="6">
        <f t="shared" si="13"/>
        <v>360</v>
      </c>
      <c r="X48" s="6">
        <f t="shared" si="14"/>
        <v>-68.019999999999982</v>
      </c>
      <c r="Y48" s="18">
        <f t="shared" si="15"/>
        <v>0.66666666666666663</v>
      </c>
      <c r="Z48" s="7">
        <f t="shared" si="16"/>
        <v>1.2329611617234055</v>
      </c>
      <c r="AA48" s="11"/>
      <c r="AG48" s="10"/>
      <c r="AI48" s="11"/>
      <c r="AJ48" s="4">
        <v>20</v>
      </c>
      <c r="AK48" s="4">
        <v>66</v>
      </c>
      <c r="AL48" s="4">
        <v>13</v>
      </c>
      <c r="AM48" s="7">
        <f t="shared" si="21"/>
        <v>0.65</v>
      </c>
      <c r="AN48" s="4">
        <f t="shared" si="22"/>
        <v>260</v>
      </c>
      <c r="AO48" s="4">
        <f t="shared" si="23"/>
        <v>-87.604166666666657</v>
      </c>
      <c r="AP48" s="7">
        <f t="shared" si="24"/>
        <v>0.54166666666666663</v>
      </c>
      <c r="AQ48" s="7">
        <f t="shared" si="25"/>
        <v>1.508157099697885</v>
      </c>
      <c r="AR48" s="11"/>
      <c r="BA48" s="11"/>
    </row>
    <row r="49" spans="19:53" x14ac:dyDescent="0.25">
      <c r="S49" s="4">
        <v>17</v>
      </c>
      <c r="T49" s="4">
        <v>96</v>
      </c>
      <c r="U49" s="4">
        <v>19</v>
      </c>
      <c r="V49" s="7">
        <f t="shared" si="12"/>
        <v>0.61290322580645162</v>
      </c>
      <c r="W49" s="4">
        <f t="shared" si="13"/>
        <v>323</v>
      </c>
      <c r="X49" s="4">
        <f t="shared" si="14"/>
        <v>-31.019999999999982</v>
      </c>
      <c r="Y49" s="7">
        <f t="shared" si="15"/>
        <v>0.5981481481481481</v>
      </c>
      <c r="Z49" s="7">
        <f t="shared" si="16"/>
        <v>1.1062401534351667</v>
      </c>
      <c r="AA49" s="11"/>
      <c r="AG49" s="10"/>
      <c r="AI49" s="11"/>
      <c r="AJ49" s="4">
        <v>17</v>
      </c>
      <c r="AK49" s="4">
        <v>65</v>
      </c>
      <c r="AL49" s="4">
        <v>11</v>
      </c>
      <c r="AM49" s="7">
        <f t="shared" si="21"/>
        <v>0.55000000000000004</v>
      </c>
      <c r="AN49" s="4">
        <f t="shared" si="22"/>
        <v>187</v>
      </c>
      <c r="AO49" s="4">
        <f t="shared" si="23"/>
        <v>-14.604166666666657</v>
      </c>
      <c r="AP49" s="7">
        <f t="shared" si="24"/>
        <v>0.38958333333333334</v>
      </c>
      <c r="AQ49" s="7">
        <f t="shared" si="25"/>
        <v>1.0847129909365558</v>
      </c>
      <c r="AR49" s="11"/>
      <c r="BA49" s="11"/>
    </row>
    <row r="50" spans="19:53" x14ac:dyDescent="0.25">
      <c r="S50" s="4">
        <v>18</v>
      </c>
      <c r="T50" s="4">
        <v>95</v>
      </c>
      <c r="U50" s="4">
        <v>20</v>
      </c>
      <c r="V50" s="7">
        <f t="shared" si="12"/>
        <v>0.64516129032258063</v>
      </c>
      <c r="W50" s="4">
        <f t="shared" si="13"/>
        <v>360</v>
      </c>
      <c r="X50" s="4">
        <f t="shared" si="14"/>
        <v>-68.019999999999982</v>
      </c>
      <c r="Y50" s="7">
        <f t="shared" si="15"/>
        <v>0.66666666666666663</v>
      </c>
      <c r="Z50" s="7">
        <f t="shared" si="16"/>
        <v>1.2329611617234055</v>
      </c>
      <c r="AA50" s="11"/>
      <c r="AG50" s="10"/>
      <c r="AI50" s="11"/>
      <c r="AK50" s="4">
        <f>AVERAGE(AK11:AK49)</f>
        <v>64.769230769230774</v>
      </c>
      <c r="AL50" s="4">
        <f>AVERAGE(AL11:AL49)</f>
        <v>11.948717948717949</v>
      </c>
      <c r="AM50" s="7"/>
      <c r="AN50" s="13">
        <f>MAX(AN2:AN49)</f>
        <v>480</v>
      </c>
      <c r="AP50" s="7"/>
      <c r="AQ50" s="7"/>
      <c r="AR50" s="11"/>
      <c r="BA50" s="11"/>
    </row>
    <row r="51" spans="19:53" x14ac:dyDescent="0.25">
      <c r="S51" s="4">
        <v>17</v>
      </c>
      <c r="T51" s="4">
        <v>94</v>
      </c>
      <c r="U51" s="4">
        <v>19</v>
      </c>
      <c r="V51" s="7">
        <f t="shared" si="12"/>
        <v>0.61290322580645162</v>
      </c>
      <c r="W51" s="4">
        <f t="shared" si="13"/>
        <v>323</v>
      </c>
      <c r="X51" s="4">
        <f t="shared" si="14"/>
        <v>-31.019999999999982</v>
      </c>
      <c r="Y51" s="7">
        <f>W51/W$52</f>
        <v>0.5981481481481481</v>
      </c>
      <c r="Z51" s="7">
        <f t="shared" si="16"/>
        <v>1.1062401534351667</v>
      </c>
      <c r="AA51" s="11"/>
      <c r="AG51" s="10"/>
      <c r="AI51" s="11"/>
      <c r="AL51" s="4">
        <f>MAX(AL2:AL49)</f>
        <v>21</v>
      </c>
      <c r="AN51" s="13">
        <f>AVERAGE(AN2:AN49)</f>
        <v>172.39583333333334</v>
      </c>
      <c r="AR51" s="11"/>
      <c r="BA51" s="11"/>
    </row>
    <row r="52" spans="19:53" x14ac:dyDescent="0.25">
      <c r="T52" s="4">
        <f>AVERAGE(T12:T51)</f>
        <v>113.75</v>
      </c>
      <c r="U52" s="4">
        <f>AVERAGE(U2:U51)</f>
        <v>20.54</v>
      </c>
      <c r="V52" s="7"/>
      <c r="W52" s="13">
        <f>MAX(W12:W51)</f>
        <v>540</v>
      </c>
      <c r="Z52" s="10">
        <f t="shared" ref="Z52" si="34">W52/W$53</f>
        <v>1.8494417425851084</v>
      </c>
    </row>
    <row r="53" spans="19:53" x14ac:dyDescent="0.25">
      <c r="U53" s="4">
        <f>MAX(U2:U51)</f>
        <v>31</v>
      </c>
      <c r="W53" s="13">
        <f>AVERAGE(W2:W51)</f>
        <v>291.98</v>
      </c>
    </row>
  </sheetData>
  <mergeCells count="2">
    <mergeCell ref="S1:T1"/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workbookViewId="0">
      <selection activeCell="D3" sqref="D3:D17"/>
    </sheetView>
  </sheetViews>
  <sheetFormatPr baseColWidth="10" defaultRowHeight="15" x14ac:dyDescent="0.25"/>
  <cols>
    <col min="10" max="10" width="12" bestFit="1" customWidth="1"/>
    <col min="11" max="11" width="9.5703125" bestFit="1" customWidth="1"/>
    <col min="12" max="12" width="8.85546875" bestFit="1" customWidth="1"/>
    <col min="13" max="13" width="4" bestFit="1" customWidth="1"/>
    <col min="14" max="14" width="6.5703125" bestFit="1" customWidth="1"/>
    <col min="15" max="15" width="12.5703125" bestFit="1" customWidth="1"/>
  </cols>
  <sheetData>
    <row r="2" spans="1:15" x14ac:dyDescent="0.25">
      <c r="A2" s="2">
        <v>152</v>
      </c>
      <c r="B2" s="23">
        <f>A2*0.005</f>
        <v>0.76</v>
      </c>
      <c r="C2" s="5">
        <f>60/B2</f>
        <v>78.94736842105263</v>
      </c>
      <c r="D2" s="2">
        <f>60/B2</f>
        <v>78.94736842105263</v>
      </c>
      <c r="E2">
        <v>24.265999999999998</v>
      </c>
      <c r="F2">
        <v>25.027999999999999</v>
      </c>
      <c r="G2" s="1">
        <f>F2-E2</f>
        <v>0.76200000000000045</v>
      </c>
      <c r="H2" s="4">
        <f>60/G2</f>
        <v>78.74015748031492</v>
      </c>
      <c r="J2" t="s">
        <v>15</v>
      </c>
      <c r="K2" t="s">
        <v>16</v>
      </c>
      <c r="L2" t="s">
        <v>18</v>
      </c>
      <c r="M2" t="s">
        <v>19</v>
      </c>
      <c r="N2" s="21" t="s">
        <v>17</v>
      </c>
      <c r="O2" t="s">
        <v>20</v>
      </c>
    </row>
    <row r="3" spans="1:15" x14ac:dyDescent="0.25">
      <c r="A3">
        <v>152</v>
      </c>
      <c r="B3" s="1">
        <f t="shared" ref="B3:B17" si="0">A3*0.005</f>
        <v>0.76</v>
      </c>
      <c r="C3" s="4">
        <f t="shared" ref="C3:C17" si="1">60/B3</f>
        <v>78.94736842105263</v>
      </c>
      <c r="D3">
        <f t="shared" ref="D3:D17" si="2">60/B3</f>
        <v>78.94736842105263</v>
      </c>
      <c r="G3">
        <f>G2/9</f>
        <v>8.4666666666666723E-2</v>
      </c>
      <c r="H3" s="4">
        <f>60/G3</f>
        <v>708.66141732283415</v>
      </c>
      <c r="J3">
        <v>14745600</v>
      </c>
      <c r="K3">
        <v>1024</v>
      </c>
      <c r="L3">
        <v>184</v>
      </c>
      <c r="M3">
        <v>255</v>
      </c>
      <c r="N3" s="22">
        <f>J3/(K3)</f>
        <v>14400</v>
      </c>
      <c r="O3" s="4">
        <f>N3/(M3-L3)</f>
        <v>202.81690140845072</v>
      </c>
    </row>
    <row r="4" spans="1:15" x14ac:dyDescent="0.25">
      <c r="A4">
        <v>163</v>
      </c>
      <c r="B4" s="1">
        <f t="shared" si="0"/>
        <v>0.81500000000000006</v>
      </c>
      <c r="C4" s="4">
        <f t="shared" si="1"/>
        <v>73.619631901840492</v>
      </c>
      <c r="D4">
        <f t="shared" si="2"/>
        <v>73.619631901840492</v>
      </c>
      <c r="N4" s="20">
        <f>1/N3</f>
        <v>6.9444444444444444E-5</v>
      </c>
      <c r="O4" s="20">
        <f>1/O3</f>
        <v>4.9305555555555552E-3</v>
      </c>
    </row>
    <row r="5" spans="1:15" x14ac:dyDescent="0.25">
      <c r="A5">
        <v>157</v>
      </c>
      <c r="B5" s="1">
        <f t="shared" si="0"/>
        <v>0.78500000000000003</v>
      </c>
      <c r="C5" s="4">
        <f t="shared" si="1"/>
        <v>76.43312101910827</v>
      </c>
      <c r="D5">
        <f t="shared" si="2"/>
        <v>76.43312101910827</v>
      </c>
    </row>
    <row r="6" spans="1:15" x14ac:dyDescent="0.25">
      <c r="A6">
        <v>168</v>
      </c>
      <c r="B6" s="1">
        <f t="shared" si="0"/>
        <v>0.84</v>
      </c>
      <c r="C6" s="4">
        <f t="shared" si="1"/>
        <v>71.428571428571431</v>
      </c>
      <c r="D6">
        <f t="shared" si="2"/>
        <v>71.428571428571431</v>
      </c>
    </row>
    <row r="7" spans="1:15" x14ac:dyDescent="0.25">
      <c r="A7">
        <v>157</v>
      </c>
      <c r="B7" s="1">
        <f t="shared" si="0"/>
        <v>0.78500000000000003</v>
      </c>
      <c r="C7" s="4">
        <f t="shared" si="1"/>
        <v>76.43312101910827</v>
      </c>
      <c r="D7">
        <f t="shared" si="2"/>
        <v>76.43312101910827</v>
      </c>
    </row>
    <row r="8" spans="1:15" x14ac:dyDescent="0.25">
      <c r="A8">
        <v>153</v>
      </c>
      <c r="B8" s="1">
        <f t="shared" si="0"/>
        <v>0.76500000000000001</v>
      </c>
      <c r="C8" s="4">
        <f t="shared" si="1"/>
        <v>78.431372549019613</v>
      </c>
      <c r="D8">
        <f t="shared" si="2"/>
        <v>78.431372549019613</v>
      </c>
    </row>
    <row r="9" spans="1:15" x14ac:dyDescent="0.25">
      <c r="A9">
        <v>152</v>
      </c>
      <c r="B9" s="1">
        <f t="shared" si="0"/>
        <v>0.76</v>
      </c>
      <c r="C9" s="4">
        <f t="shared" si="1"/>
        <v>78.94736842105263</v>
      </c>
      <c r="D9">
        <f t="shared" si="2"/>
        <v>78.94736842105263</v>
      </c>
    </row>
    <row r="10" spans="1:15" x14ac:dyDescent="0.25">
      <c r="A10">
        <v>152</v>
      </c>
      <c r="B10" s="1">
        <f t="shared" si="0"/>
        <v>0.76</v>
      </c>
      <c r="C10" s="4">
        <f t="shared" si="1"/>
        <v>78.94736842105263</v>
      </c>
      <c r="D10">
        <f t="shared" si="2"/>
        <v>78.94736842105263</v>
      </c>
    </row>
    <row r="11" spans="1:15" x14ac:dyDescent="0.25">
      <c r="A11">
        <v>158</v>
      </c>
      <c r="B11" s="1">
        <f t="shared" si="0"/>
        <v>0.79</v>
      </c>
      <c r="C11" s="4">
        <f t="shared" si="1"/>
        <v>75.949367088607588</v>
      </c>
      <c r="D11">
        <f t="shared" si="2"/>
        <v>75.949367088607588</v>
      </c>
    </row>
    <row r="12" spans="1:15" x14ac:dyDescent="0.25">
      <c r="A12">
        <v>147</v>
      </c>
      <c r="B12" s="1">
        <f t="shared" si="0"/>
        <v>0.73499999999999999</v>
      </c>
      <c r="C12" s="4">
        <f t="shared" si="1"/>
        <v>81.632653061224488</v>
      </c>
      <c r="D12">
        <f t="shared" si="2"/>
        <v>81.632653061224488</v>
      </c>
    </row>
    <row r="13" spans="1:15" x14ac:dyDescent="0.25">
      <c r="A13">
        <v>147</v>
      </c>
      <c r="B13" s="1">
        <f t="shared" si="0"/>
        <v>0.73499999999999999</v>
      </c>
      <c r="C13" s="4">
        <f t="shared" si="1"/>
        <v>81.632653061224488</v>
      </c>
      <c r="D13">
        <f t="shared" si="2"/>
        <v>81.632653061224488</v>
      </c>
    </row>
    <row r="14" spans="1:15" x14ac:dyDescent="0.25">
      <c r="A14">
        <v>153</v>
      </c>
      <c r="B14" s="1">
        <f t="shared" si="0"/>
        <v>0.76500000000000001</v>
      </c>
      <c r="C14" s="4">
        <f t="shared" si="1"/>
        <v>78.431372549019613</v>
      </c>
      <c r="D14">
        <f t="shared" si="2"/>
        <v>78.431372549019613</v>
      </c>
    </row>
    <row r="15" spans="1:15" x14ac:dyDescent="0.25">
      <c r="A15">
        <v>152</v>
      </c>
      <c r="B15" s="1">
        <f t="shared" si="0"/>
        <v>0.76</v>
      </c>
      <c r="C15" s="4">
        <f t="shared" si="1"/>
        <v>78.94736842105263</v>
      </c>
      <c r="D15">
        <f t="shared" si="2"/>
        <v>78.94736842105263</v>
      </c>
    </row>
    <row r="16" spans="1:15" x14ac:dyDescent="0.25">
      <c r="A16">
        <v>158</v>
      </c>
      <c r="B16" s="1">
        <f t="shared" si="0"/>
        <v>0.79</v>
      </c>
      <c r="C16" s="4">
        <f t="shared" si="1"/>
        <v>75.949367088607588</v>
      </c>
      <c r="D16">
        <f t="shared" si="2"/>
        <v>75.949367088607588</v>
      </c>
    </row>
    <row r="17" spans="1:4" x14ac:dyDescent="0.25">
      <c r="A17">
        <v>147</v>
      </c>
      <c r="B17" s="1">
        <f t="shared" si="0"/>
        <v>0.73499999999999999</v>
      </c>
      <c r="C17" s="4">
        <f t="shared" si="1"/>
        <v>81.632653061224488</v>
      </c>
      <c r="D17">
        <f t="shared" si="2"/>
        <v>81.632653061224488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Hoja4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Morales</dc:creator>
  <cp:lastModifiedBy>Gaby Morales</cp:lastModifiedBy>
  <dcterms:created xsi:type="dcterms:W3CDTF">2022-10-25T14:22:39Z</dcterms:created>
  <dcterms:modified xsi:type="dcterms:W3CDTF">2022-11-16T18:37:48Z</dcterms:modified>
</cp:coreProperties>
</file>